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johnyyy/Downloads/"/>
    </mc:Choice>
  </mc:AlternateContent>
  <xr:revisionPtr revIDLastSave="0" documentId="13_ncr:1_{9015C432-0255-0C47-BB8A-31C529C93AFB}" xr6:coauthVersionLast="47" xr6:coauthVersionMax="47" xr10:uidLastSave="{00000000-0000-0000-0000-000000000000}"/>
  <bookViews>
    <workbookView xWindow="0" yWindow="600" windowWidth="28800" windowHeight="17400" activeTab="1" xr2:uid="{00000000-000D-0000-FFFF-FFFF00000000}"/>
  </bookViews>
  <sheets>
    <sheet name="Filtered G500" sheetId="2" r:id="rId1"/>
    <sheet name="BIS + EDBA Final" sheetId="8" r:id="rId2"/>
    <sheet name="CBG Final" sheetId="9" r:id="rId3"/>
  </sheets>
  <definedNames>
    <definedName name="_xlnm._FilterDatabase" localSheetId="1" hidden="1">'BIS + EDBA Final'!$A$1:$L$115</definedName>
    <definedName name="_xlnm._FilterDatabase" localSheetId="2" hidden="1">'CBG Final'!$A$1:$AA$231</definedName>
    <definedName name="_xlnm._FilterDatabase" localSheetId="0" hidden="1">'Filtered G500'!$A$1:$AH$231</definedName>
    <definedName name="japan">'BIS + EDBA Final'!$D$116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9" roundtripDataChecksum="SkcGx6toMRBY1CosRk9epDWiRmgxKtBuLBInSvD5JoQ="/>
    </ext>
  </extLst>
</workbook>
</file>

<file path=xl/calcChain.xml><?xml version="1.0" encoding="utf-8"?>
<calcChain xmlns="http://schemas.openxmlformats.org/spreadsheetml/2006/main">
  <c r="L3" i="8" l="1"/>
  <c r="L22" i="8"/>
  <c r="L29" i="8"/>
  <c r="L30" i="8"/>
  <c r="L5" i="8"/>
  <c r="L7" i="8"/>
  <c r="L8" i="8"/>
  <c r="L9" i="8"/>
  <c r="L33" i="8"/>
  <c r="L10" i="8"/>
  <c r="L12" i="8"/>
  <c r="L13" i="8"/>
  <c r="L14" i="8"/>
  <c r="L15" i="8"/>
  <c r="L16" i="8"/>
  <c r="L17" i="8"/>
  <c r="L36" i="8"/>
  <c r="L68" i="8"/>
  <c r="L18" i="8"/>
  <c r="L19" i="8"/>
  <c r="L20" i="8"/>
  <c r="L21" i="8"/>
  <c r="L23" i="8"/>
  <c r="L24" i="8"/>
  <c r="L42" i="8"/>
  <c r="L25" i="8"/>
  <c r="L28" i="8"/>
  <c r="L55" i="8"/>
  <c r="L6" i="8"/>
  <c r="L31" i="8"/>
  <c r="L34" i="8"/>
  <c r="L11" i="8"/>
  <c r="L49" i="8"/>
  <c r="L51" i="8"/>
  <c r="L35" i="8"/>
  <c r="L37" i="8"/>
  <c r="L38" i="8"/>
  <c r="L39" i="8"/>
  <c r="L40" i="8"/>
  <c r="L69" i="8"/>
  <c r="L41" i="8"/>
  <c r="L43" i="8"/>
  <c r="L44" i="8"/>
  <c r="L70" i="8"/>
  <c r="L74" i="8"/>
  <c r="L4" i="8"/>
  <c r="L26" i="8"/>
  <c r="L27" i="8"/>
  <c r="L32" i="8"/>
  <c r="L46" i="8"/>
  <c r="L47" i="8"/>
  <c r="L48" i="8"/>
  <c r="L50" i="8"/>
  <c r="L52" i="8"/>
  <c r="L53" i="8"/>
  <c r="L54" i="8"/>
  <c r="L56" i="8"/>
  <c r="L57" i="8"/>
  <c r="L61" i="8"/>
  <c r="L62" i="8"/>
  <c r="L63" i="8"/>
  <c r="L64" i="8"/>
  <c r="L66" i="8"/>
  <c r="L67" i="8"/>
  <c r="L45" i="8"/>
  <c r="L71" i="8"/>
  <c r="L72" i="8"/>
  <c r="L73" i="8"/>
  <c r="L75" i="8"/>
  <c r="L76" i="8"/>
  <c r="L60" i="8"/>
  <c r="L78" i="8"/>
  <c r="L81" i="8"/>
  <c r="L65" i="8"/>
  <c r="L82" i="8"/>
  <c r="L83" i="8"/>
  <c r="L84" i="8"/>
  <c r="L85" i="8"/>
  <c r="L86" i="8"/>
  <c r="L87" i="8"/>
  <c r="L88" i="8"/>
  <c r="L89" i="8"/>
  <c r="L90" i="8"/>
  <c r="L91" i="8"/>
  <c r="L58" i="8"/>
  <c r="L59" i="8"/>
  <c r="L92" i="8"/>
  <c r="L93" i="8"/>
  <c r="L94" i="8"/>
  <c r="L95" i="8"/>
  <c r="L96" i="8"/>
  <c r="L97" i="8"/>
  <c r="L79" i="8"/>
  <c r="L80" i="8"/>
  <c r="L98" i="8"/>
  <c r="L99" i="8"/>
  <c r="L100" i="8"/>
  <c r="L101" i="8"/>
  <c r="L102" i="8"/>
  <c r="L103" i="8"/>
  <c r="L104" i="8"/>
  <c r="L77" i="8"/>
  <c r="L105" i="8"/>
  <c r="L106" i="8"/>
  <c r="L107" i="8"/>
  <c r="L108" i="8"/>
  <c r="L109" i="8"/>
  <c r="L110" i="8"/>
  <c r="L111" i="8"/>
  <c r="L112" i="8"/>
  <c r="L113" i="8"/>
  <c r="L114" i="8"/>
  <c r="L115" i="8"/>
  <c r="H8" i="9"/>
  <c r="H34" i="9"/>
  <c r="H9" i="9"/>
  <c r="H10" i="9"/>
  <c r="H11" i="9"/>
  <c r="H13" i="9"/>
  <c r="H3" i="9"/>
  <c r="H14" i="9"/>
  <c r="H15" i="9"/>
  <c r="H16" i="9"/>
  <c r="H17" i="9"/>
  <c r="H18" i="9"/>
  <c r="H19" i="9"/>
  <c r="H22" i="9"/>
  <c r="H23" i="9"/>
  <c r="H24" i="9"/>
  <c r="H25" i="9"/>
  <c r="H5" i="9"/>
  <c r="H26" i="9"/>
  <c r="H27" i="9"/>
  <c r="H29" i="9"/>
  <c r="H58" i="9"/>
  <c r="H59" i="9"/>
  <c r="H30" i="9"/>
  <c r="H6" i="9"/>
  <c r="H7" i="9"/>
  <c r="H31" i="9"/>
  <c r="H32" i="9"/>
  <c r="H35" i="9"/>
  <c r="H60" i="9"/>
  <c r="H12" i="9"/>
  <c r="H36" i="9"/>
  <c r="H39" i="9"/>
  <c r="H20" i="9"/>
  <c r="H40" i="9"/>
  <c r="H41" i="9"/>
  <c r="H42" i="9"/>
  <c r="H43" i="9"/>
  <c r="H44" i="9"/>
  <c r="H45" i="9"/>
  <c r="H46" i="9"/>
  <c r="H48" i="9"/>
  <c r="H28" i="9"/>
  <c r="H49" i="9"/>
  <c r="H50" i="9"/>
  <c r="H51" i="9"/>
  <c r="H85" i="9"/>
  <c r="H55" i="9"/>
  <c r="H61" i="9"/>
  <c r="H62" i="9"/>
  <c r="H63" i="9"/>
  <c r="H37" i="9"/>
  <c r="H64" i="9"/>
  <c r="H38" i="9"/>
  <c r="H65" i="9"/>
  <c r="H66" i="9"/>
  <c r="H67" i="9"/>
  <c r="H33" i="9"/>
  <c r="H68" i="9"/>
  <c r="H69" i="9"/>
  <c r="H118" i="9"/>
  <c r="H119" i="9"/>
  <c r="H97" i="9"/>
  <c r="H70" i="9"/>
  <c r="H71" i="9"/>
  <c r="H72" i="9"/>
  <c r="H73" i="9"/>
  <c r="H74" i="9"/>
  <c r="H75" i="9"/>
  <c r="H76" i="9"/>
  <c r="H77" i="9"/>
  <c r="H78" i="9"/>
  <c r="H79" i="9"/>
  <c r="H100" i="9"/>
  <c r="H80" i="9"/>
  <c r="H81" i="9"/>
  <c r="H82" i="9"/>
  <c r="H83" i="9"/>
  <c r="H21" i="9"/>
  <c r="H47" i="9"/>
  <c r="H84" i="9"/>
  <c r="H52" i="9"/>
  <c r="H86" i="9"/>
  <c r="H87" i="9"/>
  <c r="H88" i="9"/>
  <c r="H53" i="9"/>
  <c r="H89" i="9"/>
  <c r="H90" i="9"/>
  <c r="H158" i="9"/>
  <c r="H91" i="9"/>
  <c r="H56" i="9"/>
  <c r="H54" i="9"/>
  <c r="H92" i="9"/>
  <c r="H93" i="9"/>
  <c r="H94" i="9"/>
  <c r="H95" i="9"/>
  <c r="H96" i="9"/>
  <c r="H98" i="9"/>
  <c r="H140" i="9"/>
  <c r="H141" i="9"/>
  <c r="H99" i="9"/>
  <c r="H101" i="9"/>
  <c r="H102" i="9"/>
  <c r="H103" i="9"/>
  <c r="H104" i="9"/>
  <c r="H105" i="9"/>
  <c r="H106" i="9"/>
  <c r="H107" i="9"/>
  <c r="H108" i="9"/>
  <c r="H109" i="9"/>
  <c r="H110" i="9"/>
  <c r="H111" i="9"/>
  <c r="H112" i="9"/>
  <c r="H113" i="9"/>
  <c r="H114" i="9"/>
  <c r="H115" i="9"/>
  <c r="H116" i="9"/>
  <c r="H117" i="9"/>
  <c r="H120" i="9"/>
  <c r="H121" i="9"/>
  <c r="H122" i="9"/>
  <c r="H123" i="9"/>
  <c r="H124" i="9"/>
  <c r="H125" i="9"/>
  <c r="H126" i="9"/>
  <c r="H127" i="9"/>
  <c r="H128" i="9"/>
  <c r="H129" i="9"/>
  <c r="H130" i="9"/>
  <c r="H131" i="9"/>
  <c r="H132" i="9"/>
  <c r="H133" i="9"/>
  <c r="H134" i="9"/>
  <c r="H135" i="9"/>
  <c r="H136" i="9"/>
  <c r="H137" i="9"/>
  <c r="H138" i="9"/>
  <c r="H139" i="9"/>
  <c r="H142" i="9"/>
  <c r="H143" i="9"/>
  <c r="H144" i="9"/>
  <c r="H145" i="9"/>
  <c r="H146" i="9"/>
  <c r="H147" i="9"/>
  <c r="H148" i="9"/>
  <c r="H149" i="9"/>
  <c r="H150" i="9"/>
  <c r="H151" i="9"/>
  <c r="H152" i="9"/>
  <c r="H153" i="9"/>
  <c r="H154" i="9"/>
  <c r="H155" i="9"/>
  <c r="H156" i="9"/>
  <c r="H157" i="9"/>
  <c r="H159" i="9"/>
  <c r="H160" i="9"/>
  <c r="H161" i="9"/>
  <c r="H162" i="9"/>
  <c r="H163" i="9"/>
  <c r="H164" i="9"/>
  <c r="H165" i="9"/>
  <c r="H166" i="9"/>
  <c r="H167" i="9"/>
  <c r="H168" i="9"/>
  <c r="H169" i="9"/>
  <c r="H170" i="9"/>
  <c r="H171" i="9"/>
  <c r="H172" i="9"/>
  <c r="H173" i="9"/>
  <c r="H174" i="9"/>
  <c r="H175" i="9"/>
  <c r="H176" i="9"/>
  <c r="H177" i="9"/>
  <c r="H178" i="9"/>
  <c r="H179" i="9"/>
  <c r="H180" i="9"/>
  <c r="H181" i="9"/>
  <c r="H182" i="9"/>
  <c r="H183" i="9"/>
  <c r="H184" i="9"/>
  <c r="H185" i="9"/>
  <c r="H186" i="9"/>
  <c r="H187" i="9"/>
  <c r="H188" i="9"/>
  <c r="H189" i="9"/>
  <c r="H190" i="9"/>
  <c r="H191" i="9"/>
  <c r="H192" i="9"/>
  <c r="H193" i="9"/>
  <c r="H194" i="9"/>
  <c r="H195" i="9"/>
  <c r="H196" i="9"/>
  <c r="H197" i="9"/>
  <c r="H198" i="9"/>
  <c r="H199" i="9"/>
  <c r="H200" i="9"/>
  <c r="H201" i="9"/>
  <c r="H202" i="9"/>
  <c r="H203" i="9"/>
  <c r="H204" i="9"/>
  <c r="H205" i="9"/>
  <c r="H206" i="9"/>
  <c r="H207" i="9"/>
  <c r="H208" i="9"/>
  <c r="H209" i="9"/>
  <c r="H210" i="9"/>
  <c r="H211" i="9"/>
  <c r="H212" i="9"/>
  <c r="H213" i="9"/>
  <c r="H214" i="9"/>
  <c r="H215" i="9"/>
  <c r="H216" i="9"/>
  <c r="H217" i="9"/>
  <c r="H218" i="9"/>
  <c r="H219" i="9"/>
  <c r="H220" i="9"/>
  <c r="H221" i="9"/>
  <c r="H222" i="9"/>
  <c r="H223" i="9"/>
  <c r="H224" i="9"/>
  <c r="H225" i="9"/>
  <c r="H226" i="9"/>
  <c r="H227" i="9"/>
  <c r="H228" i="9"/>
  <c r="H229" i="9"/>
  <c r="H230" i="9"/>
  <c r="H231" i="9"/>
  <c r="H4" i="9"/>
  <c r="H57" i="9"/>
  <c r="H2" i="9"/>
  <c r="G4" i="2" a="1"/>
  <c r="G4" i="2" s="1"/>
  <c r="G57" i="2" a="1"/>
  <c r="G57" i="2" s="1"/>
  <c r="G8" i="2" a="1"/>
  <c r="G8" i="2" s="1"/>
  <c r="G34" i="2" a="1"/>
  <c r="G34" i="2" s="1"/>
  <c r="G9" i="2" a="1"/>
  <c r="G9" i="2" s="1"/>
  <c r="G10" i="2" a="1"/>
  <c r="G10" i="2" s="1"/>
  <c r="G11" i="2" a="1"/>
  <c r="G11" i="2" s="1"/>
  <c r="G13" i="2" a="1"/>
  <c r="G13" i="2" s="1"/>
  <c r="G3" i="2" a="1"/>
  <c r="G3" i="2" s="1"/>
  <c r="G14" i="2" a="1"/>
  <c r="G14" i="2" s="1"/>
  <c r="G15" i="2" a="1"/>
  <c r="G15" i="2" s="1"/>
  <c r="G16" i="2" a="1"/>
  <c r="G16" i="2" s="1"/>
  <c r="G17" i="2" a="1"/>
  <c r="G17" i="2" s="1"/>
  <c r="G18" i="2" a="1"/>
  <c r="G18" i="2" s="1"/>
  <c r="G19" i="2" a="1"/>
  <c r="G19" i="2" s="1"/>
  <c r="G22" i="2" a="1"/>
  <c r="G22" i="2" s="1"/>
  <c r="G23" i="2" a="1"/>
  <c r="G23" i="2" s="1"/>
  <c r="G24" i="2" a="1"/>
  <c r="G24" i="2" s="1"/>
  <c r="G25" i="2" a="1"/>
  <c r="G25" i="2" s="1"/>
  <c r="G5" i="2" a="1"/>
  <c r="G5" i="2" s="1"/>
  <c r="G26" i="2" a="1"/>
  <c r="G26" i="2" s="1"/>
  <c r="G27" i="2" a="1"/>
  <c r="G27" i="2" s="1"/>
  <c r="G29" i="2" a="1"/>
  <c r="G29" i="2"/>
  <c r="G58" i="2" a="1"/>
  <c r="G58" i="2" s="1"/>
  <c r="G59" i="2" a="1"/>
  <c r="G59" i="2" s="1"/>
  <c r="G30" i="2" a="1"/>
  <c r="G30" i="2" s="1"/>
  <c r="G6" i="2" a="1"/>
  <c r="G6" i="2" s="1"/>
  <c r="G7" i="2" a="1"/>
  <c r="G7" i="2" s="1"/>
  <c r="G31" i="2" a="1"/>
  <c r="G31" i="2" s="1"/>
  <c r="G32" i="2" a="1"/>
  <c r="G32" i="2" s="1"/>
  <c r="G35" i="2" a="1"/>
  <c r="G35" i="2" s="1"/>
  <c r="G60" i="2" a="1"/>
  <c r="G60" i="2" s="1"/>
  <c r="G12" i="2" a="1"/>
  <c r="G12" i="2" s="1"/>
  <c r="G36" i="2" a="1"/>
  <c r="G36" i="2" s="1"/>
  <c r="G39" i="2" a="1"/>
  <c r="G39" i="2" s="1"/>
  <c r="G20" i="2" a="1"/>
  <c r="G20" i="2" s="1"/>
  <c r="G40" i="2" a="1"/>
  <c r="G40" i="2" s="1"/>
  <c r="G41" i="2" a="1"/>
  <c r="G41" i="2" s="1"/>
  <c r="G42" i="2" a="1"/>
  <c r="G42" i="2" s="1"/>
  <c r="G43" i="2" a="1"/>
  <c r="G43" i="2" s="1"/>
  <c r="G44" i="2" a="1"/>
  <c r="G44" i="2" s="1"/>
  <c r="G45" i="2" a="1"/>
  <c r="G45" i="2" s="1"/>
  <c r="G46" i="2" a="1"/>
  <c r="G46" i="2" s="1"/>
  <c r="G48" i="2" a="1"/>
  <c r="G48" i="2" s="1"/>
  <c r="G28" i="2" a="1"/>
  <c r="G28" i="2" s="1"/>
  <c r="G49" i="2" a="1"/>
  <c r="G49" i="2" s="1"/>
  <c r="G50" i="2" a="1"/>
  <c r="G50" i="2" s="1"/>
  <c r="G51" i="2" a="1"/>
  <c r="G51" i="2" s="1"/>
  <c r="G85" i="2" a="1"/>
  <c r="G85" i="2" s="1"/>
  <c r="G55" i="2" a="1"/>
  <c r="G55" i="2" s="1"/>
  <c r="G61" i="2" a="1"/>
  <c r="G61" i="2" s="1"/>
  <c r="G62" i="2" a="1"/>
  <c r="G62" i="2" s="1"/>
  <c r="G63" i="2" a="1"/>
  <c r="G63" i="2" s="1"/>
  <c r="G37" i="2" a="1"/>
  <c r="G37" i="2" s="1"/>
  <c r="G64" i="2" a="1"/>
  <c r="G64" i="2" s="1"/>
  <c r="G38" i="2" a="1"/>
  <c r="G38" i="2" s="1"/>
  <c r="G65" i="2" a="1"/>
  <c r="G65" i="2" s="1"/>
  <c r="G66" i="2" a="1"/>
  <c r="G66" i="2" s="1"/>
  <c r="G67" i="2" a="1"/>
  <c r="G67" i="2" s="1"/>
  <c r="G33" i="2" a="1"/>
  <c r="G33" i="2" s="1"/>
  <c r="G68" i="2" a="1"/>
  <c r="G68" i="2" s="1"/>
  <c r="G69" i="2" a="1"/>
  <c r="G69" i="2" s="1"/>
  <c r="G118" i="2" a="1"/>
  <c r="G118" i="2" s="1"/>
  <c r="G119" i="2" a="1"/>
  <c r="G119" i="2" s="1"/>
  <c r="G97" i="2" a="1"/>
  <c r="G97" i="2" s="1"/>
  <c r="G70" i="2" a="1"/>
  <c r="G70" i="2" s="1"/>
  <c r="G71" i="2" a="1"/>
  <c r="G71" i="2" s="1"/>
  <c r="G72" i="2" a="1"/>
  <c r="G72" i="2" s="1"/>
  <c r="G73" i="2" a="1"/>
  <c r="G73" i="2" s="1"/>
  <c r="G74" i="2" a="1"/>
  <c r="G74" i="2"/>
  <c r="G75" i="2" a="1"/>
  <c r="G75" i="2" s="1"/>
  <c r="G76" i="2" a="1"/>
  <c r="G76" i="2" s="1"/>
  <c r="G77" i="2" a="1"/>
  <c r="G77" i="2" s="1"/>
  <c r="G78" i="2" a="1"/>
  <c r="G78" i="2" s="1"/>
  <c r="G79" i="2" a="1"/>
  <c r="G79" i="2" s="1"/>
  <c r="G100" i="2" a="1"/>
  <c r="G100" i="2" s="1"/>
  <c r="G80" i="2" a="1"/>
  <c r="G80" i="2" s="1"/>
  <c r="G81" i="2" a="1"/>
  <c r="G81" i="2" s="1"/>
  <c r="G82" i="2" a="1"/>
  <c r="G82" i="2" s="1"/>
  <c r="G83" i="2" a="1"/>
  <c r="G83" i="2" s="1"/>
  <c r="G21" i="2" a="1"/>
  <c r="G21" i="2" s="1"/>
  <c r="G47" i="2" a="1"/>
  <c r="G47" i="2" s="1"/>
  <c r="G84" i="2" a="1"/>
  <c r="G84" i="2" s="1"/>
  <c r="G52" i="2" a="1"/>
  <c r="G52" i="2" s="1"/>
  <c r="G86" i="2" a="1"/>
  <c r="G86" i="2" s="1"/>
  <c r="G87" i="2" a="1"/>
  <c r="G87" i="2" s="1"/>
  <c r="G88" i="2" a="1"/>
  <c r="G88" i="2" s="1"/>
  <c r="G53" i="2" a="1"/>
  <c r="G53" i="2" s="1"/>
  <c r="G89" i="2" a="1"/>
  <c r="G89" i="2" s="1"/>
  <c r="G90" i="2" a="1"/>
  <c r="G90" i="2" s="1"/>
  <c r="G158" i="2" a="1"/>
  <c r="G158" i="2" s="1"/>
  <c r="G91" i="2" a="1"/>
  <c r="G91" i="2" s="1"/>
  <c r="G56" i="2" a="1"/>
  <c r="G56" i="2" s="1"/>
  <c r="G54" i="2" a="1"/>
  <c r="G54" i="2" s="1"/>
  <c r="G92" i="2" a="1"/>
  <c r="G92" i="2" s="1"/>
  <c r="G93" i="2" a="1"/>
  <c r="G93" i="2" s="1"/>
  <c r="G94" i="2" a="1"/>
  <c r="G94" i="2" s="1"/>
  <c r="G95" i="2" a="1"/>
  <c r="G95" i="2" s="1"/>
  <c r="G96" i="2" a="1"/>
  <c r="G96" i="2" s="1"/>
  <c r="G98" i="2" a="1"/>
  <c r="G98" i="2" s="1"/>
  <c r="G140" i="2" a="1"/>
  <c r="G140" i="2" s="1"/>
  <c r="G141" i="2" a="1"/>
  <c r="G141" i="2" s="1"/>
  <c r="G99" i="2" a="1"/>
  <c r="G99" i="2" s="1"/>
  <c r="G101" i="2" a="1"/>
  <c r="G101" i="2" s="1"/>
  <c r="G102" i="2" a="1"/>
  <c r="G102" i="2" s="1"/>
  <c r="G103" i="2" a="1"/>
  <c r="G103" i="2" s="1"/>
  <c r="G104" i="2" a="1"/>
  <c r="G104" i="2" s="1"/>
  <c r="G105" i="2" a="1"/>
  <c r="G105" i="2" s="1"/>
  <c r="G106" i="2" a="1"/>
  <c r="G106" i="2" s="1"/>
  <c r="G107" i="2" a="1"/>
  <c r="G107" i="2" s="1"/>
  <c r="G108" i="2" a="1"/>
  <c r="G108" i="2" s="1"/>
  <c r="G109" i="2" a="1"/>
  <c r="G109" i="2" s="1"/>
  <c r="G110" i="2" a="1"/>
  <c r="G110" i="2" s="1"/>
  <c r="G111" i="2" a="1"/>
  <c r="G111" i="2" s="1"/>
  <c r="G112" i="2" a="1"/>
  <c r="G112" i="2" s="1"/>
  <c r="G113" i="2" a="1"/>
  <c r="G113" i="2" s="1"/>
  <c r="G114" i="2" a="1"/>
  <c r="G114" i="2" s="1"/>
  <c r="G115" i="2" a="1"/>
  <c r="G115" i="2" s="1"/>
  <c r="G116" i="2" a="1"/>
  <c r="G116" i="2" s="1"/>
  <c r="G117" i="2" a="1"/>
  <c r="G117" i="2" s="1"/>
  <c r="G120" i="2" a="1"/>
  <c r="G120" i="2" s="1"/>
  <c r="G121" i="2" a="1"/>
  <c r="G121" i="2" s="1"/>
  <c r="G122" i="2" a="1"/>
  <c r="G122" i="2" s="1"/>
  <c r="G123" i="2" a="1"/>
  <c r="G123" i="2" s="1"/>
  <c r="G124" i="2" a="1"/>
  <c r="G124" i="2" s="1"/>
  <c r="G125" i="2" a="1"/>
  <c r="G125" i="2" s="1"/>
  <c r="G126" i="2" a="1"/>
  <c r="G126" i="2" s="1"/>
  <c r="G127" i="2" a="1"/>
  <c r="G127" i="2" s="1"/>
  <c r="G128" i="2" a="1"/>
  <c r="G128" i="2" s="1"/>
  <c r="G129" i="2" a="1"/>
  <c r="G129" i="2" s="1"/>
  <c r="G130" i="2" a="1"/>
  <c r="G130" i="2" s="1"/>
  <c r="G131" i="2" a="1"/>
  <c r="G131" i="2" s="1"/>
  <c r="G132" i="2" a="1"/>
  <c r="G132" i="2" s="1"/>
  <c r="G133" i="2" a="1"/>
  <c r="G133" i="2" s="1"/>
  <c r="G134" i="2" a="1"/>
  <c r="G134" i="2" s="1"/>
  <c r="G135" i="2" a="1"/>
  <c r="G135" i="2" s="1"/>
  <c r="G136" i="2" a="1"/>
  <c r="G136" i="2" s="1"/>
  <c r="G137" i="2" a="1"/>
  <c r="G137" i="2" s="1"/>
  <c r="G138" i="2" a="1"/>
  <c r="G138" i="2" s="1"/>
  <c r="G139" i="2" a="1"/>
  <c r="G139" i="2" s="1"/>
  <c r="G142" i="2" a="1"/>
  <c r="G142" i="2" s="1"/>
  <c r="G143" i="2" a="1"/>
  <c r="G143" i="2" s="1"/>
  <c r="G144" i="2" a="1"/>
  <c r="G144" i="2" s="1"/>
  <c r="G145" i="2" a="1"/>
  <c r="G145" i="2" s="1"/>
  <c r="G146" i="2" a="1"/>
  <c r="G146" i="2" s="1"/>
  <c r="G147" i="2" a="1"/>
  <c r="G147" i="2" s="1"/>
  <c r="G148" i="2" a="1"/>
  <c r="G148" i="2" s="1"/>
  <c r="G149" i="2" a="1"/>
  <c r="G149" i="2" s="1"/>
  <c r="G150" i="2" a="1"/>
  <c r="G150" i="2" s="1"/>
  <c r="G151" i="2" a="1"/>
  <c r="G151" i="2" s="1"/>
  <c r="G152" i="2" a="1"/>
  <c r="G152" i="2" s="1"/>
  <c r="G153" i="2" a="1"/>
  <c r="G153" i="2" s="1"/>
  <c r="G154" i="2" a="1"/>
  <c r="G154" i="2" s="1"/>
  <c r="G155" i="2" a="1"/>
  <c r="G155" i="2" s="1"/>
  <c r="G156" i="2" a="1"/>
  <c r="G156" i="2" s="1"/>
  <c r="G157" i="2" a="1"/>
  <c r="G157" i="2" s="1"/>
  <c r="G159" i="2" a="1"/>
  <c r="G159" i="2" s="1"/>
  <c r="G160" i="2" a="1"/>
  <c r="G160" i="2" s="1"/>
  <c r="G161" i="2" a="1"/>
  <c r="G161" i="2" s="1"/>
  <c r="G162" i="2" a="1"/>
  <c r="G162" i="2" s="1"/>
  <c r="G163" i="2" a="1"/>
  <c r="G163" i="2" s="1"/>
  <c r="G164" i="2" a="1"/>
  <c r="G164" i="2" s="1"/>
  <c r="G165" i="2" a="1"/>
  <c r="G165" i="2" s="1"/>
  <c r="G166" i="2" a="1"/>
  <c r="G166" i="2" s="1"/>
  <c r="G167" i="2" a="1"/>
  <c r="G167" i="2" s="1"/>
  <c r="G168" i="2" a="1"/>
  <c r="G168" i="2" s="1"/>
  <c r="G169" i="2" a="1"/>
  <c r="G169" i="2" s="1"/>
  <c r="G170" i="2" a="1"/>
  <c r="G170" i="2" s="1"/>
  <c r="G171" i="2" a="1"/>
  <c r="G171" i="2" s="1"/>
  <c r="G172" i="2" a="1"/>
  <c r="G172" i="2" s="1"/>
  <c r="G173" i="2" a="1"/>
  <c r="G173" i="2" s="1"/>
  <c r="G174" i="2" a="1"/>
  <c r="G174" i="2" s="1"/>
  <c r="G175" i="2" a="1"/>
  <c r="G175" i="2" s="1"/>
  <c r="G176" i="2" a="1"/>
  <c r="G176" i="2" s="1"/>
  <c r="G177" i="2" a="1"/>
  <c r="G177" i="2" s="1"/>
  <c r="G178" i="2" a="1"/>
  <c r="G178" i="2" s="1"/>
  <c r="G179" i="2" a="1"/>
  <c r="G179" i="2" s="1"/>
  <c r="G180" i="2" a="1"/>
  <c r="G180" i="2" s="1"/>
  <c r="G181" i="2" a="1"/>
  <c r="G181" i="2" s="1"/>
  <c r="G182" i="2" a="1"/>
  <c r="G182" i="2" s="1"/>
  <c r="G183" i="2" a="1"/>
  <c r="G183" i="2" s="1"/>
  <c r="G184" i="2" a="1"/>
  <c r="G184" i="2" s="1"/>
  <c r="G185" i="2" a="1"/>
  <c r="G185" i="2" s="1"/>
  <c r="G186" i="2" a="1"/>
  <c r="G186" i="2" s="1"/>
  <c r="G187" i="2" a="1"/>
  <c r="G187" i="2" s="1"/>
  <c r="G188" i="2" a="1"/>
  <c r="G188" i="2"/>
  <c r="G189" i="2" a="1"/>
  <c r="G189" i="2" s="1"/>
  <c r="G190" i="2" a="1"/>
  <c r="G190" i="2" s="1"/>
  <c r="G191" i="2" a="1"/>
  <c r="G191" i="2" s="1"/>
  <c r="G192" i="2" a="1"/>
  <c r="G192" i="2" s="1"/>
  <c r="G193" i="2" a="1"/>
  <c r="G193" i="2" s="1"/>
  <c r="G194" i="2" a="1"/>
  <c r="G194" i="2" s="1"/>
  <c r="G195" i="2" a="1"/>
  <c r="G195" i="2" s="1"/>
  <c r="G196" i="2" a="1"/>
  <c r="G196" i="2" s="1"/>
  <c r="G197" i="2" a="1"/>
  <c r="G197" i="2" s="1"/>
  <c r="G198" i="2" a="1"/>
  <c r="G198" i="2" s="1"/>
  <c r="G199" i="2" a="1"/>
  <c r="G199" i="2" s="1"/>
  <c r="G200" i="2" a="1"/>
  <c r="G200" i="2" s="1"/>
  <c r="G201" i="2" a="1"/>
  <c r="G201" i="2" s="1"/>
  <c r="G202" i="2" a="1"/>
  <c r="G202" i="2" s="1"/>
  <c r="G203" i="2" a="1"/>
  <c r="G203" i="2" s="1"/>
  <c r="G204" i="2" a="1"/>
  <c r="G204" i="2" s="1"/>
  <c r="G205" i="2" a="1"/>
  <c r="G205" i="2" s="1"/>
  <c r="G206" i="2" a="1"/>
  <c r="G206" i="2" s="1"/>
  <c r="G207" i="2" a="1"/>
  <c r="G207" i="2" s="1"/>
  <c r="G208" i="2" a="1"/>
  <c r="G208" i="2" s="1"/>
  <c r="G209" i="2" a="1"/>
  <c r="G209" i="2" s="1"/>
  <c r="G210" i="2" a="1"/>
  <c r="G210" i="2" s="1"/>
  <c r="G211" i="2" a="1"/>
  <c r="G211" i="2" s="1"/>
  <c r="G212" i="2" a="1"/>
  <c r="G212" i="2" s="1"/>
  <c r="G213" i="2" a="1"/>
  <c r="G213" i="2" s="1"/>
  <c r="G214" i="2" a="1"/>
  <c r="G214" i="2" s="1"/>
  <c r="G215" i="2" a="1"/>
  <c r="G215" i="2" s="1"/>
  <c r="G216" i="2" a="1"/>
  <c r="G216" i="2" s="1"/>
  <c r="G217" i="2" a="1"/>
  <c r="G217" i="2" s="1"/>
  <c r="G218" i="2" a="1"/>
  <c r="G218" i="2" s="1"/>
  <c r="G219" i="2" a="1"/>
  <c r="G219" i="2" s="1"/>
  <c r="G220" i="2" a="1"/>
  <c r="G220" i="2" s="1"/>
  <c r="G221" i="2" a="1"/>
  <c r="G221" i="2" s="1"/>
  <c r="G222" i="2" a="1"/>
  <c r="G222" i="2" s="1"/>
  <c r="G223" i="2" a="1"/>
  <c r="G223" i="2" s="1"/>
  <c r="G224" i="2" a="1"/>
  <c r="G224" i="2" s="1"/>
  <c r="G225" i="2" a="1"/>
  <c r="G225" i="2" s="1"/>
  <c r="G226" i="2" a="1"/>
  <c r="G226" i="2" s="1"/>
  <c r="G227" i="2" a="1"/>
  <c r="G227" i="2" s="1"/>
  <c r="G228" i="2" a="1"/>
  <c r="G228" i="2" s="1"/>
  <c r="G229" i="2" a="1"/>
  <c r="G229" i="2" s="1"/>
  <c r="G230" i="2" a="1"/>
  <c r="G230" i="2" s="1"/>
  <c r="G231" i="2" a="1"/>
  <c r="G231" i="2" s="1"/>
  <c r="G2" i="2" a="1"/>
  <c r="G2" i="2" s="1"/>
  <c r="F230" i="8"/>
  <c r="I193" i="2" s="1"/>
  <c r="F229" i="8"/>
  <c r="I139" i="2" s="1"/>
  <c r="F228" i="8"/>
  <c r="F225" i="8"/>
  <c r="I230" i="2" s="1"/>
  <c r="F224" i="8"/>
  <c r="I220" i="2" s="1"/>
  <c r="F221" i="8"/>
  <c r="I162" i="2" s="1"/>
  <c r="F217" i="8"/>
  <c r="I219" i="2" s="1"/>
  <c r="F214" i="8"/>
  <c r="I78" i="2" s="1"/>
  <c r="F213" i="8"/>
  <c r="I210" i="2" s="1"/>
  <c r="F212" i="8"/>
  <c r="I186" i="2" s="1"/>
  <c r="F210" i="8"/>
  <c r="I116" i="2" s="1"/>
  <c r="F208" i="8"/>
  <c r="I208" i="2" s="1"/>
  <c r="F207" i="8"/>
  <c r="I115" i="2" s="1"/>
  <c r="F206" i="8"/>
  <c r="I185" i="2" s="1"/>
  <c r="F204" i="8"/>
  <c r="I216" i="2" s="1"/>
  <c r="F200" i="8"/>
  <c r="I229" i="2" s="1"/>
  <c r="F196" i="8"/>
  <c r="I205" i="2" s="1"/>
  <c r="F195" i="8"/>
  <c r="I77" i="2" s="1"/>
  <c r="F194" i="8"/>
  <c r="I114" i="2" s="1"/>
  <c r="F189" i="8"/>
  <c r="I137" i="2" s="1"/>
  <c r="F188" i="8"/>
  <c r="I136" i="2" s="1"/>
  <c r="F187" i="8"/>
  <c r="I135" i="2" s="1"/>
  <c r="F186" i="8"/>
  <c r="I134" i="2" s="1"/>
  <c r="L2" i="8"/>
  <c r="E247" i="2"/>
  <c r="E246" i="2"/>
  <c r="E245" i="2"/>
  <c r="E243" i="2"/>
  <c r="E240" i="2"/>
  <c r="E239" i="2"/>
  <c r="E238" i="2"/>
  <c r="D233" i="2" a="1"/>
  <c r="D330" i="2" s="1"/>
  <c r="J231" i="2"/>
  <c r="I231" i="2"/>
  <c r="H231" i="2"/>
  <c r="J230" i="2"/>
  <c r="H230" i="2"/>
  <c r="J229" i="2"/>
  <c r="H229" i="2"/>
  <c r="J228" i="2"/>
  <c r="I228" i="2"/>
  <c r="H228" i="2"/>
  <c r="J227" i="2"/>
  <c r="I227" i="2"/>
  <c r="H227" i="2"/>
  <c r="J226" i="2"/>
  <c r="I226" i="2"/>
  <c r="H226" i="2"/>
  <c r="J225" i="2"/>
  <c r="I225" i="2"/>
  <c r="H225" i="2"/>
  <c r="J224" i="2"/>
  <c r="I224" i="2"/>
  <c r="H224" i="2"/>
  <c r="J223" i="2"/>
  <c r="I223" i="2"/>
  <c r="H223" i="2"/>
  <c r="J222" i="2"/>
  <c r="I222" i="2"/>
  <c r="J221" i="2"/>
  <c r="I221" i="2"/>
  <c r="H221" i="2"/>
  <c r="J220" i="2"/>
  <c r="H220" i="2"/>
  <c r="J219" i="2"/>
  <c r="H219" i="2"/>
  <c r="J218" i="2"/>
  <c r="I218" i="2"/>
  <c r="H218" i="2"/>
  <c r="J217" i="2"/>
  <c r="I217" i="2"/>
  <c r="H217" i="2"/>
  <c r="J216" i="2"/>
  <c r="H216" i="2"/>
  <c r="J215" i="2"/>
  <c r="I215" i="2"/>
  <c r="J214" i="2"/>
  <c r="I214" i="2"/>
  <c r="J213" i="2"/>
  <c r="I213" i="2"/>
  <c r="J212" i="2"/>
  <c r="I212" i="2"/>
  <c r="J211" i="2"/>
  <c r="I211" i="2"/>
  <c r="H211" i="2"/>
  <c r="J210" i="2"/>
  <c r="H210" i="2"/>
  <c r="J209" i="2"/>
  <c r="I209" i="2"/>
  <c r="H209" i="2"/>
  <c r="J208" i="2"/>
  <c r="H208" i="2"/>
  <c r="J207" i="2"/>
  <c r="I207" i="2"/>
  <c r="H207" i="2"/>
  <c r="J206" i="2"/>
  <c r="I206" i="2"/>
  <c r="H206" i="2"/>
  <c r="J205" i="2"/>
  <c r="H205" i="2"/>
  <c r="J204" i="2"/>
  <c r="I204" i="2"/>
  <c r="J203" i="2"/>
  <c r="I203" i="2"/>
  <c r="J202" i="2"/>
  <c r="I202" i="2"/>
  <c r="J201" i="2"/>
  <c r="I201" i="2"/>
  <c r="J200" i="2"/>
  <c r="I200" i="2"/>
  <c r="H200" i="2"/>
  <c r="J199" i="2"/>
  <c r="I199" i="2"/>
  <c r="H199" i="2"/>
  <c r="J198" i="2"/>
  <c r="I198" i="2"/>
  <c r="J197" i="2"/>
  <c r="I197" i="2"/>
  <c r="J196" i="2"/>
  <c r="I196" i="2"/>
  <c r="J195" i="2"/>
  <c r="I195" i="2"/>
  <c r="J194" i="2"/>
  <c r="I194" i="2"/>
  <c r="H194" i="2"/>
  <c r="J193" i="2"/>
  <c r="H193" i="2"/>
  <c r="J192" i="2"/>
  <c r="I192" i="2"/>
  <c r="H192" i="2"/>
  <c r="J191" i="2"/>
  <c r="I191" i="2"/>
  <c r="H191" i="2"/>
  <c r="J190" i="2"/>
  <c r="I190" i="2"/>
  <c r="H190" i="2"/>
  <c r="J189" i="2"/>
  <c r="I189" i="2"/>
  <c r="J188" i="2"/>
  <c r="I188" i="2"/>
  <c r="J187" i="2"/>
  <c r="I187" i="2"/>
  <c r="J186" i="2"/>
  <c r="H186" i="2"/>
  <c r="J185" i="2"/>
  <c r="H185" i="2"/>
  <c r="J184" i="2"/>
  <c r="I184" i="2"/>
  <c r="J183" i="2"/>
  <c r="I183" i="2"/>
  <c r="J182" i="2"/>
  <c r="I182" i="2"/>
  <c r="J181" i="2"/>
  <c r="I181" i="2"/>
  <c r="J180" i="2"/>
  <c r="I180" i="2"/>
  <c r="J179" i="2"/>
  <c r="I179" i="2"/>
  <c r="H179" i="2"/>
  <c r="J178" i="2"/>
  <c r="I178" i="2"/>
  <c r="H178" i="2"/>
  <c r="J177" i="2"/>
  <c r="I177" i="2"/>
  <c r="H177" i="2"/>
  <c r="J176" i="2"/>
  <c r="I176" i="2"/>
  <c r="H176" i="2"/>
  <c r="J175" i="2"/>
  <c r="I175" i="2"/>
  <c r="J174" i="2"/>
  <c r="I174" i="2"/>
  <c r="H174" i="2"/>
  <c r="J173" i="2"/>
  <c r="I173" i="2"/>
  <c r="H173" i="2"/>
  <c r="J172" i="2"/>
  <c r="I172" i="2"/>
  <c r="H172" i="2"/>
  <c r="J171" i="2"/>
  <c r="I171" i="2"/>
  <c r="J170" i="2"/>
  <c r="I170" i="2"/>
  <c r="J169" i="2"/>
  <c r="I169" i="2"/>
  <c r="J168" i="2"/>
  <c r="I168" i="2"/>
  <c r="J167" i="2"/>
  <c r="I167" i="2"/>
  <c r="J166" i="2"/>
  <c r="I166" i="2"/>
  <c r="J165" i="2"/>
  <c r="I165" i="2"/>
  <c r="J164" i="2"/>
  <c r="I164" i="2"/>
  <c r="J163" i="2"/>
  <c r="I163" i="2"/>
  <c r="J162" i="2"/>
  <c r="H162" i="2"/>
  <c r="J161" i="2"/>
  <c r="I161" i="2"/>
  <c r="H161" i="2"/>
  <c r="J160" i="2"/>
  <c r="I160" i="2"/>
  <c r="J159" i="2"/>
  <c r="I159" i="2"/>
  <c r="J157" i="2"/>
  <c r="I157" i="2"/>
  <c r="J156" i="2"/>
  <c r="I156" i="2"/>
  <c r="J155" i="2"/>
  <c r="I155" i="2"/>
  <c r="J154" i="2"/>
  <c r="I154" i="2"/>
  <c r="J153" i="2"/>
  <c r="I153" i="2"/>
  <c r="J152" i="2"/>
  <c r="I152" i="2"/>
  <c r="H152" i="2"/>
  <c r="J151" i="2"/>
  <c r="I151" i="2"/>
  <c r="H151" i="2"/>
  <c r="J150" i="2"/>
  <c r="I150" i="2"/>
  <c r="H150" i="2"/>
  <c r="J149" i="2"/>
  <c r="I149" i="2"/>
  <c r="H149" i="2"/>
  <c r="J148" i="2"/>
  <c r="I148" i="2"/>
  <c r="J147" i="2"/>
  <c r="I147" i="2"/>
  <c r="J146" i="2"/>
  <c r="I146" i="2"/>
  <c r="J145" i="2"/>
  <c r="I145" i="2"/>
  <c r="J144" i="2"/>
  <c r="I144" i="2"/>
  <c r="J143" i="2"/>
  <c r="I143" i="2"/>
  <c r="J142" i="2"/>
  <c r="I142" i="2"/>
  <c r="J139" i="2"/>
  <c r="H139" i="2"/>
  <c r="J138" i="2"/>
  <c r="I138" i="2"/>
  <c r="H138" i="2"/>
  <c r="J137" i="2"/>
  <c r="H137" i="2"/>
  <c r="J136" i="2"/>
  <c r="H136" i="2"/>
  <c r="J135" i="2"/>
  <c r="H135" i="2"/>
  <c r="J134" i="2"/>
  <c r="H134" i="2"/>
  <c r="J133" i="2"/>
  <c r="I133" i="2"/>
  <c r="J132" i="2"/>
  <c r="I132" i="2"/>
  <c r="J131" i="2"/>
  <c r="I131" i="2"/>
  <c r="J130" i="2"/>
  <c r="I130" i="2"/>
  <c r="J129" i="2"/>
  <c r="I129" i="2"/>
  <c r="J128" i="2"/>
  <c r="I128" i="2"/>
  <c r="J127" i="2"/>
  <c r="I127" i="2"/>
  <c r="J126" i="2"/>
  <c r="I126" i="2"/>
  <c r="J125" i="2"/>
  <c r="I125" i="2"/>
  <c r="J124" i="2"/>
  <c r="I124" i="2"/>
  <c r="H124" i="2"/>
  <c r="J123" i="2"/>
  <c r="I123" i="2"/>
  <c r="H123" i="2"/>
  <c r="J122" i="2"/>
  <c r="I122" i="2"/>
  <c r="H122" i="2"/>
  <c r="J121" i="2"/>
  <c r="I121" i="2"/>
  <c r="H121" i="2"/>
  <c r="J120" i="2"/>
  <c r="I120" i="2"/>
  <c r="H120" i="2"/>
  <c r="J117" i="2"/>
  <c r="I117" i="2"/>
  <c r="J116" i="2"/>
  <c r="H116" i="2"/>
  <c r="J115" i="2"/>
  <c r="H115" i="2"/>
  <c r="J114" i="2"/>
  <c r="H114" i="2"/>
  <c r="J113" i="2"/>
  <c r="I113" i="2"/>
  <c r="J112" i="2"/>
  <c r="I112" i="2"/>
  <c r="J111" i="2"/>
  <c r="I111" i="2"/>
  <c r="J110" i="2"/>
  <c r="I110" i="2"/>
  <c r="J109" i="2"/>
  <c r="I109" i="2"/>
  <c r="J108" i="2"/>
  <c r="I108" i="2"/>
  <c r="J107" i="2"/>
  <c r="I107" i="2"/>
  <c r="J106" i="2"/>
  <c r="I106" i="2"/>
  <c r="J105" i="2"/>
  <c r="I105" i="2"/>
  <c r="J104" i="2"/>
  <c r="I104" i="2"/>
  <c r="J103" i="2"/>
  <c r="I103" i="2"/>
  <c r="J102" i="2"/>
  <c r="I102" i="2"/>
  <c r="H102" i="2"/>
  <c r="J101" i="2"/>
  <c r="I101" i="2"/>
  <c r="H101" i="2"/>
  <c r="J99" i="2"/>
  <c r="I99" i="2"/>
  <c r="J141" i="2"/>
  <c r="I141" i="2"/>
  <c r="J140" i="2"/>
  <c r="I140" i="2"/>
  <c r="J98" i="2"/>
  <c r="I98" i="2"/>
  <c r="J96" i="2"/>
  <c r="I96" i="2"/>
  <c r="J95" i="2"/>
  <c r="I95" i="2"/>
  <c r="J94" i="2"/>
  <c r="I94" i="2"/>
  <c r="J93" i="2"/>
  <c r="I93" i="2"/>
  <c r="J92" i="2"/>
  <c r="I92" i="2"/>
  <c r="J54" i="2"/>
  <c r="I54" i="2"/>
  <c r="J56" i="2"/>
  <c r="I56" i="2"/>
  <c r="J91" i="2"/>
  <c r="I91" i="2"/>
  <c r="J158" i="2"/>
  <c r="I158" i="2"/>
  <c r="J90" i="2"/>
  <c r="I90" i="2"/>
  <c r="J89" i="2"/>
  <c r="I89" i="2"/>
  <c r="J53" i="2"/>
  <c r="I53" i="2"/>
  <c r="J88" i="2"/>
  <c r="I88" i="2"/>
  <c r="J87" i="2"/>
  <c r="I87" i="2"/>
  <c r="J86" i="2"/>
  <c r="I86" i="2"/>
  <c r="H86" i="2"/>
  <c r="J52" i="2"/>
  <c r="I52" i="2"/>
  <c r="H52" i="2"/>
  <c r="J84" i="2"/>
  <c r="I84" i="2"/>
  <c r="J47" i="2"/>
  <c r="I47" i="2"/>
  <c r="J21" i="2"/>
  <c r="I21" i="2"/>
  <c r="J83" i="2"/>
  <c r="I83" i="2"/>
  <c r="J82" i="2"/>
  <c r="I82" i="2"/>
  <c r="J81" i="2"/>
  <c r="I81" i="2"/>
  <c r="J80" i="2"/>
  <c r="I80" i="2"/>
  <c r="J100" i="2"/>
  <c r="I100" i="2"/>
  <c r="H100" i="2"/>
  <c r="J79" i="2"/>
  <c r="I79" i="2"/>
  <c r="H79" i="2"/>
  <c r="J78" i="2"/>
  <c r="H78" i="2"/>
  <c r="J77" i="2"/>
  <c r="H77" i="2"/>
  <c r="J76" i="2"/>
  <c r="I76" i="2"/>
  <c r="J75" i="2"/>
  <c r="I75" i="2"/>
  <c r="J74" i="2"/>
  <c r="I74" i="2"/>
  <c r="J73" i="2"/>
  <c r="I73" i="2"/>
  <c r="J72" i="2"/>
  <c r="I72" i="2"/>
  <c r="H72" i="2"/>
  <c r="J71" i="2"/>
  <c r="I71" i="2"/>
  <c r="H71" i="2"/>
  <c r="J70" i="2"/>
  <c r="I70" i="2"/>
  <c r="H70" i="2"/>
  <c r="J97" i="2"/>
  <c r="I97" i="2"/>
  <c r="H97" i="2"/>
  <c r="J119" i="2"/>
  <c r="I119" i="2"/>
  <c r="J118" i="2"/>
  <c r="I118" i="2"/>
  <c r="J69" i="2"/>
  <c r="I69" i="2"/>
  <c r="J68" i="2"/>
  <c r="I68" i="2"/>
  <c r="J33" i="2"/>
  <c r="I33" i="2"/>
  <c r="J67" i="2"/>
  <c r="I67" i="2"/>
  <c r="J66" i="2"/>
  <c r="I66" i="2"/>
  <c r="J65" i="2"/>
  <c r="I65" i="2"/>
  <c r="J38" i="2"/>
  <c r="I38" i="2"/>
  <c r="J64" i="2"/>
  <c r="I64" i="2"/>
  <c r="H64" i="2"/>
  <c r="J37" i="2"/>
  <c r="I37" i="2"/>
  <c r="H37" i="2"/>
  <c r="J63" i="2"/>
  <c r="I63" i="2"/>
  <c r="H63" i="2"/>
  <c r="J62" i="2"/>
  <c r="I62" i="2"/>
  <c r="H62" i="2"/>
  <c r="AD61" i="2"/>
  <c r="J61" i="2"/>
  <c r="I61" i="2"/>
  <c r="H61" i="2"/>
  <c r="J55" i="2"/>
  <c r="I55" i="2"/>
  <c r="J85" i="2"/>
  <c r="I85" i="2"/>
  <c r="H85" i="2"/>
  <c r="J51" i="2"/>
  <c r="I51" i="2"/>
  <c r="J50" i="2"/>
  <c r="I50" i="2"/>
  <c r="J49" i="2"/>
  <c r="I49" i="2"/>
  <c r="H49" i="2"/>
  <c r="J28" i="2"/>
  <c r="I28" i="2"/>
  <c r="J48" i="2"/>
  <c r="I48" i="2"/>
  <c r="J46" i="2"/>
  <c r="I46" i="2"/>
  <c r="J45" i="2"/>
  <c r="I45" i="2"/>
  <c r="J44" i="2"/>
  <c r="I44" i="2"/>
  <c r="J43" i="2"/>
  <c r="I43" i="2"/>
  <c r="J42" i="2"/>
  <c r="I42" i="2"/>
  <c r="J41" i="2"/>
  <c r="I41" i="2"/>
  <c r="J40" i="2"/>
  <c r="I40" i="2"/>
  <c r="J20" i="2"/>
  <c r="I20" i="2"/>
  <c r="J39" i="2"/>
  <c r="I39" i="2"/>
  <c r="J36" i="2"/>
  <c r="I36" i="2"/>
  <c r="J12" i="2"/>
  <c r="I12" i="2"/>
  <c r="J60" i="2"/>
  <c r="I60" i="2"/>
  <c r="H60" i="2"/>
  <c r="J35" i="2"/>
  <c r="I35" i="2"/>
  <c r="H35" i="2"/>
  <c r="J32" i="2"/>
  <c r="I32" i="2"/>
  <c r="J31" i="2"/>
  <c r="I31" i="2"/>
  <c r="J7" i="2"/>
  <c r="I7" i="2"/>
  <c r="J6" i="2"/>
  <c r="I6" i="2"/>
  <c r="J30" i="2"/>
  <c r="I30" i="2"/>
  <c r="J59" i="2"/>
  <c r="I59" i="2"/>
  <c r="J58" i="2"/>
  <c r="I58" i="2"/>
  <c r="H58" i="2"/>
  <c r="AD29" i="2"/>
  <c r="J29" i="2"/>
  <c r="I29" i="2"/>
  <c r="H29" i="2"/>
  <c r="J27" i="2"/>
  <c r="I27" i="2"/>
  <c r="J26" i="2"/>
  <c r="I26" i="2"/>
  <c r="J5" i="2"/>
  <c r="I5" i="2"/>
  <c r="J25" i="2"/>
  <c r="I25" i="2"/>
  <c r="J24" i="2"/>
  <c r="I24" i="2"/>
  <c r="J23" i="2"/>
  <c r="I23" i="2"/>
  <c r="H23" i="2"/>
  <c r="J22" i="2"/>
  <c r="I22" i="2"/>
  <c r="H22" i="2"/>
  <c r="J19" i="2"/>
  <c r="I19" i="2"/>
  <c r="J18" i="2"/>
  <c r="I18" i="2"/>
  <c r="J17" i="2"/>
  <c r="I17" i="2"/>
  <c r="J16" i="2"/>
  <c r="I16" i="2"/>
  <c r="J15" i="2"/>
  <c r="I15" i="2"/>
  <c r="J14" i="2"/>
  <c r="I14" i="2"/>
  <c r="J3" i="2"/>
  <c r="I3" i="2"/>
  <c r="H3" i="2"/>
  <c r="AD13" i="2"/>
  <c r="J13" i="2"/>
  <c r="I13" i="2"/>
  <c r="H13" i="2"/>
  <c r="J11" i="2"/>
  <c r="I11" i="2"/>
  <c r="J10" i="2"/>
  <c r="I10" i="2"/>
  <c r="H10" i="2"/>
  <c r="J9" i="2"/>
  <c r="I9" i="2"/>
  <c r="H9" i="2"/>
  <c r="J34" i="2"/>
  <c r="I34" i="2"/>
  <c r="H34" i="2"/>
  <c r="J8" i="2"/>
  <c r="I8" i="2"/>
  <c r="H8" i="2"/>
  <c r="J57" i="2"/>
  <c r="I57" i="2"/>
  <c r="H57" i="2"/>
  <c r="J4" i="2"/>
  <c r="I4" i="2"/>
  <c r="H4" i="2"/>
  <c r="J2" i="2"/>
  <c r="I2" i="2"/>
  <c r="H2" i="2"/>
  <c r="F7" i="2" l="1" a="1"/>
  <c r="F7" i="2" s="1"/>
  <c r="K7" i="2" s="1"/>
  <c r="F180" i="2" a="1"/>
  <c r="F180" i="2" s="1"/>
  <c r="K180" i="2" s="1"/>
  <c r="F53" i="2" a="1"/>
  <c r="F53" i="2" s="1"/>
  <c r="F76" i="2" a="1"/>
  <c r="F76" i="2" s="1"/>
  <c r="F87" i="2" a="1"/>
  <c r="F87" i="2" s="1"/>
  <c r="F211" i="2" a="1"/>
  <c r="F211" i="2" s="1"/>
  <c r="F101" i="2" a="1"/>
  <c r="F101" i="2" s="1"/>
  <c r="F210" i="2" a="1"/>
  <c r="F210" i="2" s="1"/>
  <c r="F16" i="2" a="1"/>
  <c r="F16" i="2" s="1"/>
  <c r="K16" i="2" s="1"/>
  <c r="F196" i="2" a="1"/>
  <c r="F196" i="2" s="1"/>
  <c r="K196" i="2" s="1"/>
  <c r="F99" i="2" a="1"/>
  <c r="F99" i="2" s="1"/>
  <c r="F195" i="2" a="1"/>
  <c r="F195" i="2" s="1"/>
  <c r="K195" i="2" s="1"/>
  <c r="F89" i="2" a="1"/>
  <c r="F89" i="2" s="1"/>
  <c r="K89" i="2" s="1"/>
  <c r="F194" i="2" a="1"/>
  <c r="F194" i="2" s="1"/>
  <c r="K194" i="2" s="1"/>
  <c r="F88" i="2" a="1"/>
  <c r="F88" i="2" s="1"/>
  <c r="F181" i="2" a="1"/>
  <c r="F181" i="2" s="1"/>
  <c r="K181" i="2" s="1"/>
  <c r="F19" i="2" a="1"/>
  <c r="F19" i="2" s="1"/>
  <c r="K19" i="2" s="1"/>
  <c r="F166" i="2" a="1"/>
  <c r="F166" i="2" s="1"/>
  <c r="K166" i="2" s="1"/>
  <c r="F75" i="2" a="1"/>
  <c r="F75" i="2" s="1"/>
  <c r="K75" i="2" s="1"/>
  <c r="F11" i="2" a="1"/>
  <c r="F11" i="2" s="1"/>
  <c r="K11" i="2" s="1"/>
  <c r="F66" i="2" a="1"/>
  <c r="F66" i="2" s="1"/>
  <c r="K66" i="2" s="1"/>
  <c r="F165" i="2" a="1"/>
  <c r="F165" i="2" s="1"/>
  <c r="K165" i="2" s="1"/>
  <c r="F151" i="2" a="1"/>
  <c r="F151" i="2" s="1"/>
  <c r="K151" i="2" s="1"/>
  <c r="F65" i="2" a="1"/>
  <c r="F65" i="2" s="1"/>
  <c r="K65" i="2" s="1"/>
  <c r="F150" i="2" a="1"/>
  <c r="F150" i="2" s="1"/>
  <c r="K150" i="2" s="1"/>
  <c r="F149" i="2" a="1"/>
  <c r="F149" i="2" s="1"/>
  <c r="K149" i="2" s="1"/>
  <c r="F46" i="2" a="1"/>
  <c r="F46" i="2" s="1"/>
  <c r="K46" i="2" s="1"/>
  <c r="F148" i="2" a="1"/>
  <c r="F148" i="2" s="1"/>
  <c r="K148" i="2" s="1"/>
  <c r="F132" i="2" a="1"/>
  <c r="F132" i="2" s="1"/>
  <c r="K132" i="2" s="1"/>
  <c r="F45" i="2" a="1"/>
  <c r="F45" i="2" s="1"/>
  <c r="F31" i="2" a="1"/>
  <c r="F31" i="2" s="1"/>
  <c r="F227" i="2" a="1"/>
  <c r="F227" i="2" s="1"/>
  <c r="K227" i="2" s="1"/>
  <c r="F131" i="2" a="1"/>
  <c r="F131" i="2" s="1"/>
  <c r="K131" i="2" s="1"/>
  <c r="F226" i="2" a="1"/>
  <c r="F226" i="2" s="1"/>
  <c r="K226" i="2" s="1"/>
  <c r="F115" i="2" a="1"/>
  <c r="F115" i="2" s="1"/>
  <c r="F6" i="2" a="1"/>
  <c r="F6" i="2" s="1"/>
  <c r="F18" i="2" a="1"/>
  <c r="F18" i="2" s="1"/>
  <c r="K18" i="2" s="1"/>
  <c r="F212" i="2" a="1"/>
  <c r="F212" i="2" s="1"/>
  <c r="K212" i="2" s="1"/>
  <c r="F114" i="2" a="1"/>
  <c r="F114" i="2" s="1"/>
  <c r="K114" i="2" s="1"/>
  <c r="F17" i="2" a="1"/>
  <c r="F17" i="2" s="1"/>
  <c r="K17" i="2" s="1"/>
  <c r="F225" i="2" a="1"/>
  <c r="F225" i="2" s="1"/>
  <c r="K225" i="2" s="1"/>
  <c r="F209" i="2" a="1"/>
  <c r="F209" i="2" s="1"/>
  <c r="K209" i="2" s="1"/>
  <c r="F179" i="2" a="1"/>
  <c r="F179" i="2" s="1"/>
  <c r="K179" i="2" s="1"/>
  <c r="F147" i="2" a="1"/>
  <c r="F147" i="2" s="1"/>
  <c r="K147" i="2" s="1"/>
  <c r="F130" i="2" a="1"/>
  <c r="F130" i="2" s="1"/>
  <c r="K130" i="2" s="1"/>
  <c r="F141" i="2" a="1"/>
  <c r="F141" i="2" s="1"/>
  <c r="K141" i="2" s="1"/>
  <c r="F86" i="2" a="1"/>
  <c r="F86" i="2" s="1"/>
  <c r="K86" i="2" s="1"/>
  <c r="F38" i="2" a="1"/>
  <c r="F38" i="2" s="1"/>
  <c r="K38" i="2" s="1"/>
  <c r="F44" i="2" a="1"/>
  <c r="F44" i="2" s="1"/>
  <c r="K44" i="2" s="1"/>
  <c r="F30" i="2" a="1"/>
  <c r="F30" i="2" s="1"/>
  <c r="K30" i="2" s="1"/>
  <c r="F208" i="2" a="1"/>
  <c r="F208" i="2" s="1"/>
  <c r="K208" i="2" s="1"/>
  <c r="F193" i="2" a="1"/>
  <c r="F193" i="2" s="1"/>
  <c r="K193" i="2" s="1"/>
  <c r="F164" i="2" a="1"/>
  <c r="F164" i="2" s="1"/>
  <c r="K164" i="2" s="1"/>
  <c r="F146" i="2" a="1"/>
  <c r="F146" i="2" s="1"/>
  <c r="K146" i="2" s="1"/>
  <c r="F113" i="2" a="1"/>
  <c r="F113" i="2" s="1"/>
  <c r="K113" i="2" s="1"/>
  <c r="F140" i="2" a="1"/>
  <c r="F140" i="2" s="1"/>
  <c r="K140" i="2" s="1"/>
  <c r="F74" i="2" a="1"/>
  <c r="F74" i="2" s="1"/>
  <c r="K74" i="2" s="1"/>
  <c r="F59" i="2" a="1"/>
  <c r="F59" i="2" s="1"/>
  <c r="K59" i="2" s="1"/>
  <c r="F15" i="2" a="1"/>
  <c r="F15" i="2" s="1"/>
  <c r="K15" i="2" s="1"/>
  <c r="F224" i="2" a="1"/>
  <c r="F224" i="2" s="1"/>
  <c r="K224" i="2" s="1"/>
  <c r="F207" i="2" a="1"/>
  <c r="F207" i="2" s="1"/>
  <c r="K207" i="2" s="1"/>
  <c r="F178" i="2" a="1"/>
  <c r="F178" i="2" s="1"/>
  <c r="K178" i="2" s="1"/>
  <c r="F163" i="2" a="1"/>
  <c r="F163" i="2" s="1"/>
  <c r="K163" i="2" s="1"/>
  <c r="F129" i="2" a="1"/>
  <c r="F129" i="2" s="1"/>
  <c r="K129" i="2" s="1"/>
  <c r="F98" i="2" a="1"/>
  <c r="F98" i="2" s="1"/>
  <c r="K98" i="2" s="1"/>
  <c r="F52" i="2" a="1"/>
  <c r="F52" i="2" s="1"/>
  <c r="K52" i="2" s="1"/>
  <c r="F64" i="2" a="1"/>
  <c r="F64" i="2" s="1"/>
  <c r="K64" i="2" s="1"/>
  <c r="F43" i="2" a="1"/>
  <c r="F43" i="2" s="1"/>
  <c r="K43" i="2" s="1"/>
  <c r="K88" i="2"/>
  <c r="F206" i="2" a="1"/>
  <c r="F206" i="2" s="1"/>
  <c r="K206" i="2" s="1"/>
  <c r="F177" i="2" a="1"/>
  <c r="F177" i="2" s="1"/>
  <c r="K177" i="2" s="1"/>
  <c r="F161" i="2" a="1"/>
  <c r="F161" i="2" s="1"/>
  <c r="K161" i="2" s="1"/>
  <c r="F128" i="2" a="1"/>
  <c r="F128" i="2" s="1"/>
  <c r="K128" i="2" s="1"/>
  <c r="F84" i="2" a="1"/>
  <c r="F84" i="2" s="1"/>
  <c r="K84" i="2" s="1"/>
  <c r="F37" i="2" a="1"/>
  <c r="F37" i="2" s="1"/>
  <c r="K37" i="2" s="1"/>
  <c r="F41" i="2" a="1"/>
  <c r="F41" i="2" s="1"/>
  <c r="K41" i="2" s="1"/>
  <c r="F221" i="2" a="1"/>
  <c r="F221" i="2" s="1"/>
  <c r="K221" i="2" s="1"/>
  <c r="F160" i="2" a="1"/>
  <c r="F160" i="2" s="1"/>
  <c r="K160" i="2" s="1"/>
  <c r="F144" i="2" a="1"/>
  <c r="F144" i="2" s="1"/>
  <c r="K144" i="2" s="1"/>
  <c r="F111" i="2" a="1"/>
  <c r="F111" i="2" s="1"/>
  <c r="F94" i="2" a="1"/>
  <c r="F94" i="2" s="1"/>
  <c r="K94" i="2" s="1"/>
  <c r="F72" i="2" a="1"/>
  <c r="F72" i="2" s="1"/>
  <c r="K72" i="2" s="1"/>
  <c r="F63" i="2" a="1"/>
  <c r="F63" i="2" s="1"/>
  <c r="K63" i="2" s="1"/>
  <c r="F40" i="2" a="1"/>
  <c r="F40" i="2" s="1"/>
  <c r="K40" i="2" s="1"/>
  <c r="F29" i="2" a="1"/>
  <c r="F29" i="2" s="1"/>
  <c r="K29" i="2" s="1"/>
  <c r="F3" i="2" a="1"/>
  <c r="F3" i="2" s="1"/>
  <c r="K3" i="2" s="1"/>
  <c r="F220" i="2" a="1"/>
  <c r="F220" i="2" s="1"/>
  <c r="K220" i="2" s="1"/>
  <c r="F205" i="2" a="1"/>
  <c r="F205" i="2" s="1"/>
  <c r="K205" i="2" s="1"/>
  <c r="F176" i="2" a="1"/>
  <c r="F176" i="2" s="1"/>
  <c r="K176" i="2" s="1"/>
  <c r="F159" i="2" a="1"/>
  <c r="F159" i="2" s="1"/>
  <c r="K159" i="2" s="1"/>
  <c r="F127" i="2" a="1"/>
  <c r="F127" i="2" s="1"/>
  <c r="K127" i="2" s="1"/>
  <c r="F110" i="2" a="1"/>
  <c r="F110" i="2" s="1"/>
  <c r="K110" i="2" s="1"/>
  <c r="F47" i="2" a="1"/>
  <c r="F47" i="2" s="1"/>
  <c r="K47" i="2" s="1"/>
  <c r="F62" i="2" a="1"/>
  <c r="F62" i="2" s="1"/>
  <c r="K62" i="2" s="1"/>
  <c r="F145" i="2" a="1"/>
  <c r="F145" i="2" s="1"/>
  <c r="K145" i="2" s="1"/>
  <c r="F222" i="2" a="1"/>
  <c r="F222" i="2" s="1"/>
  <c r="K222" i="2" s="1"/>
  <c r="F95" i="2" a="1"/>
  <c r="F95" i="2" s="1"/>
  <c r="K95" i="2" s="1"/>
  <c r="F191" i="2" a="1"/>
  <c r="F191" i="2" s="1"/>
  <c r="F219" i="2" a="1"/>
  <c r="F219" i="2" s="1"/>
  <c r="K219" i="2" s="1"/>
  <c r="F190" i="2" a="1"/>
  <c r="F190" i="2" s="1"/>
  <c r="K190" i="2" s="1"/>
  <c r="F175" i="2" a="1"/>
  <c r="F175" i="2" s="1"/>
  <c r="F143" i="2" a="1"/>
  <c r="F143" i="2" s="1"/>
  <c r="K143" i="2" s="1"/>
  <c r="F109" i="2" a="1"/>
  <c r="F109" i="2" s="1"/>
  <c r="K109" i="2" s="1"/>
  <c r="F93" i="2" a="1"/>
  <c r="F93" i="2" s="1"/>
  <c r="K93" i="2" s="1"/>
  <c r="F71" i="2" a="1"/>
  <c r="F71" i="2" s="1"/>
  <c r="K71" i="2" s="1"/>
  <c r="F61" i="2" a="1"/>
  <c r="F61" i="2" s="1"/>
  <c r="K61" i="2" s="1"/>
  <c r="F20" i="2" a="1"/>
  <c r="F20" i="2" s="1"/>
  <c r="K20" i="2" s="1"/>
  <c r="F27" i="2" a="1"/>
  <c r="F27" i="2" s="1"/>
  <c r="K27" i="2" s="1"/>
  <c r="F13" i="2" a="1"/>
  <c r="F13" i="2" s="1"/>
  <c r="K13" i="2" s="1"/>
  <c r="F162" i="2" a="1"/>
  <c r="F162" i="2" s="1"/>
  <c r="K162" i="2" s="1"/>
  <c r="F70" i="2" a="1"/>
  <c r="F70" i="2" s="1"/>
  <c r="K70" i="2" s="1"/>
  <c r="F51" i="2" a="1"/>
  <c r="F51" i="2" s="1"/>
  <c r="K51" i="2" s="1"/>
  <c r="F188" i="2" a="1"/>
  <c r="F188" i="2" s="1"/>
  <c r="K188" i="2" s="1"/>
  <c r="F124" i="2" a="1"/>
  <c r="F124" i="2" s="1"/>
  <c r="K124" i="2" s="1"/>
  <c r="F10" i="2" a="1"/>
  <c r="F10" i="2" s="1"/>
  <c r="K10" i="2" s="1"/>
  <c r="F187" i="2" a="1"/>
  <c r="F187" i="2" s="1"/>
  <c r="K187" i="2" s="1"/>
  <c r="F105" i="2" a="1"/>
  <c r="F105" i="2" s="1"/>
  <c r="K105" i="2" s="1"/>
  <c r="F82" i="2" a="1"/>
  <c r="F82" i="2" s="1"/>
  <c r="K82" i="2" s="1"/>
  <c r="F216" i="2" a="1"/>
  <c r="F216" i="2" s="1"/>
  <c r="K216" i="2" s="1"/>
  <c r="F186" i="2" a="1"/>
  <c r="F186" i="2" s="1"/>
  <c r="K186" i="2" s="1"/>
  <c r="F170" i="2" a="1"/>
  <c r="F170" i="2" s="1"/>
  <c r="K170" i="2" s="1"/>
  <c r="F138" i="2" a="1"/>
  <c r="F138" i="2" s="1"/>
  <c r="K138" i="2" s="1"/>
  <c r="F122" i="2" a="1"/>
  <c r="F122" i="2" s="1"/>
  <c r="K122" i="2" s="1"/>
  <c r="F56" i="2" a="1"/>
  <c r="F56" i="2" s="1"/>
  <c r="K56" i="2" s="1"/>
  <c r="F69" i="2" a="1"/>
  <c r="F69" i="2" s="1"/>
  <c r="F50" i="2" a="1"/>
  <c r="F50" i="2" s="1"/>
  <c r="K50" i="2" s="1"/>
  <c r="F12" i="2" a="1"/>
  <c r="F12" i="2" s="1"/>
  <c r="F25" i="2" a="1"/>
  <c r="F25" i="2" s="1"/>
  <c r="K25" i="2" s="1"/>
  <c r="F9" i="2" a="1"/>
  <c r="F9" i="2" s="1"/>
  <c r="K9" i="2" s="1"/>
  <c r="F58" i="2" a="1"/>
  <c r="F58" i="2" s="1"/>
  <c r="K58" i="2" s="1"/>
  <c r="F157" i="2" a="1"/>
  <c r="F157" i="2" s="1"/>
  <c r="K157" i="2" s="1"/>
  <c r="F126" i="2" a="1"/>
  <c r="F126" i="2" s="1"/>
  <c r="K126" i="2" s="1"/>
  <c r="F55" i="2" a="1"/>
  <c r="F55" i="2" s="1"/>
  <c r="K55" i="2" s="1"/>
  <c r="F189" i="2" a="1"/>
  <c r="F189" i="2" s="1"/>
  <c r="K189" i="2" s="1"/>
  <c r="F142" i="2" a="1"/>
  <c r="F142" i="2" s="1"/>
  <c r="K142" i="2" s="1"/>
  <c r="F92" i="2" a="1"/>
  <c r="F92" i="2" s="1"/>
  <c r="K92" i="2" s="1"/>
  <c r="F85" i="2" a="1"/>
  <c r="F85" i="2" s="1"/>
  <c r="K85" i="2" s="1"/>
  <c r="F26" i="2" a="1"/>
  <c r="F26" i="2" s="1"/>
  <c r="K26" i="2" s="1"/>
  <c r="F172" i="2" a="1"/>
  <c r="F172" i="2" s="1"/>
  <c r="K172" i="2" s="1"/>
  <c r="F156" i="2" a="1"/>
  <c r="F156" i="2" s="1"/>
  <c r="K156" i="2" s="1"/>
  <c r="F83" i="2" a="1"/>
  <c r="F83" i="2" s="1"/>
  <c r="K83" i="2" s="1"/>
  <c r="F2" i="2" a="1"/>
  <c r="F2" i="2" s="1"/>
  <c r="K2" i="2" s="1"/>
  <c r="F171" i="2" a="1"/>
  <c r="F171" i="2" s="1"/>
  <c r="K171" i="2" s="1"/>
  <c r="F139" i="2" a="1"/>
  <c r="F139" i="2" s="1"/>
  <c r="K139" i="2" s="1"/>
  <c r="F54" i="2" a="1"/>
  <c r="F54" i="2" s="1"/>
  <c r="K54" i="2" s="1"/>
  <c r="F119" i="2" a="1"/>
  <c r="F119" i="2" s="1"/>
  <c r="F36" i="2" a="1"/>
  <c r="F36" i="2" s="1"/>
  <c r="K36" i="2" s="1"/>
  <c r="F5" i="2" a="1"/>
  <c r="F5" i="2" s="1"/>
  <c r="K5" i="2" s="1"/>
  <c r="F231" i="2" a="1"/>
  <c r="F231" i="2" s="1"/>
  <c r="K231" i="2" s="1"/>
  <c r="F202" i="2" a="1"/>
  <c r="F202" i="2" s="1"/>
  <c r="K202" i="2" s="1"/>
  <c r="F155" i="2" a="1"/>
  <c r="F155" i="2" s="1"/>
  <c r="K155" i="2" s="1"/>
  <c r="F123" i="2" a="1"/>
  <c r="F123" i="2" s="1"/>
  <c r="K123" i="2" s="1"/>
  <c r="F118" i="2" a="1"/>
  <c r="F118" i="2" s="1"/>
  <c r="K118" i="2" s="1"/>
  <c r="F230" i="2" a="1"/>
  <c r="F230" i="2" s="1"/>
  <c r="K230" i="2" s="1"/>
  <c r="F201" i="2" a="1"/>
  <c r="F201" i="2" s="1"/>
  <c r="K201" i="2" s="1"/>
  <c r="F185" i="2" a="1"/>
  <c r="F185" i="2" s="1"/>
  <c r="K185" i="2" s="1"/>
  <c r="F154" i="2" a="1"/>
  <c r="F154" i="2" s="1"/>
  <c r="K154" i="2" s="1"/>
  <c r="F121" i="2" a="1"/>
  <c r="F121" i="2" s="1"/>
  <c r="K121" i="2" s="1"/>
  <c r="F104" i="2" a="1"/>
  <c r="F104" i="2" s="1"/>
  <c r="F81" i="2" a="1"/>
  <c r="F81" i="2" s="1"/>
  <c r="K81" i="2" s="1"/>
  <c r="F68" i="2" a="1"/>
  <c r="F68" i="2" s="1"/>
  <c r="K68" i="2" s="1"/>
  <c r="F223" i="2" a="1"/>
  <c r="F223" i="2" s="1"/>
  <c r="K223" i="2" s="1"/>
  <c r="F112" i="2" a="1"/>
  <c r="F112" i="2" s="1"/>
  <c r="K112" i="2" s="1"/>
  <c r="F42" i="2" a="1"/>
  <c r="F42" i="2" s="1"/>
  <c r="K42" i="2" s="1"/>
  <c r="F125" i="2" a="1"/>
  <c r="F125" i="2" s="1"/>
  <c r="K125" i="2" s="1"/>
  <c r="F97" i="2" a="1"/>
  <c r="F97" i="2" s="1"/>
  <c r="K97" i="2" s="1"/>
  <c r="F215" i="2" a="1"/>
  <c r="F215" i="2" s="1"/>
  <c r="K215" i="2" s="1"/>
  <c r="F184" i="2" a="1"/>
  <c r="F184" i="2" s="1"/>
  <c r="K184" i="2" s="1"/>
  <c r="F169" i="2" a="1"/>
  <c r="F169" i="2" s="1"/>
  <c r="K169" i="2" s="1"/>
  <c r="F137" i="2" a="1"/>
  <c r="F137" i="2" s="1"/>
  <c r="K137" i="2" s="1"/>
  <c r="F120" i="2" a="1"/>
  <c r="F120" i="2" s="1"/>
  <c r="K120" i="2" s="1"/>
  <c r="F91" i="2" a="1"/>
  <c r="F91" i="2" s="1"/>
  <c r="K91" i="2" s="1"/>
  <c r="F80" i="2" a="1"/>
  <c r="F80" i="2" s="1"/>
  <c r="K80" i="2" s="1"/>
  <c r="F49" i="2" a="1"/>
  <c r="F49" i="2" s="1"/>
  <c r="K49" i="2" s="1"/>
  <c r="F60" i="2" a="1"/>
  <c r="F60" i="2" s="1"/>
  <c r="K60" i="2" s="1"/>
  <c r="F24" i="2" a="1"/>
  <c r="F24" i="2" s="1"/>
  <c r="K24" i="2" s="1"/>
  <c r="F34" i="2" a="1"/>
  <c r="F34" i="2" s="1"/>
  <c r="K34" i="2" s="1"/>
  <c r="F229" i="2" a="1"/>
  <c r="F229" i="2" s="1"/>
  <c r="K229" i="2" s="1"/>
  <c r="F200" i="2" a="1"/>
  <c r="F200" i="2" s="1"/>
  <c r="K200" i="2" s="1"/>
  <c r="F183" i="2" a="1"/>
  <c r="F183" i="2" s="1"/>
  <c r="K183" i="2" s="1"/>
  <c r="F153" i="2" a="1"/>
  <c r="F153" i="2" s="1"/>
  <c r="K153" i="2" s="1"/>
  <c r="F136" i="2" a="1"/>
  <c r="F136" i="2" s="1"/>
  <c r="K136" i="2" s="1"/>
  <c r="F103" i="2" a="1"/>
  <c r="F103" i="2" s="1"/>
  <c r="K103" i="2" s="1"/>
  <c r="F100" i="2" a="1"/>
  <c r="F100" i="2" s="1"/>
  <c r="K100" i="2" s="1"/>
  <c r="F33" i="2" a="1"/>
  <c r="F33" i="2" s="1"/>
  <c r="K33" i="2" s="1"/>
  <c r="F23" i="2" a="1"/>
  <c r="F23" i="2" s="1"/>
  <c r="K23" i="2" s="1"/>
  <c r="F8" i="2" a="1"/>
  <c r="F8" i="2" s="1"/>
  <c r="K8" i="2" s="1"/>
  <c r="F192" i="2" a="1"/>
  <c r="F192" i="2" s="1"/>
  <c r="K192" i="2" s="1"/>
  <c r="F218" i="2" a="1"/>
  <c r="F218" i="2" s="1"/>
  <c r="K218" i="2" s="1"/>
  <c r="F214" i="2" a="1"/>
  <c r="F214" i="2" s="1"/>
  <c r="K214" i="2" s="1"/>
  <c r="F199" i="2" a="1"/>
  <c r="F199" i="2" s="1"/>
  <c r="K199" i="2" s="1"/>
  <c r="F168" i="2" a="1"/>
  <c r="F168" i="2" s="1"/>
  <c r="K168" i="2" s="1"/>
  <c r="F135" i="2" a="1"/>
  <c r="F135" i="2" s="1"/>
  <c r="K135" i="2" s="1"/>
  <c r="F117" i="2" a="1"/>
  <c r="F117" i="2" s="1"/>
  <c r="K117" i="2" s="1"/>
  <c r="F158" i="2" a="1"/>
  <c r="F158" i="2" s="1"/>
  <c r="K158" i="2" s="1"/>
  <c r="F79" i="2" a="1"/>
  <c r="F79" i="2" s="1"/>
  <c r="K79" i="2" s="1"/>
  <c r="F28" i="2" a="1"/>
  <c r="F28" i="2" s="1"/>
  <c r="K28" i="2" s="1"/>
  <c r="F35" i="2" a="1"/>
  <c r="F35" i="2" s="1"/>
  <c r="K35" i="2" s="1"/>
  <c r="F57" i="2" a="1"/>
  <c r="F57" i="2" s="1"/>
  <c r="K57" i="2" s="1"/>
  <c r="F96" i="2" a="1"/>
  <c r="F96" i="2" s="1"/>
  <c r="K96" i="2" s="1"/>
  <c r="F73" i="2" a="1"/>
  <c r="F73" i="2" s="1"/>
  <c r="K73" i="2" s="1"/>
  <c r="F14" i="2" a="1"/>
  <c r="F14" i="2" s="1"/>
  <c r="K14" i="2" s="1"/>
  <c r="F204" i="2" a="1"/>
  <c r="F204" i="2" s="1"/>
  <c r="K204" i="2" s="1"/>
  <c r="F174" i="2" a="1"/>
  <c r="F174" i="2" s="1"/>
  <c r="K174" i="2" s="1"/>
  <c r="F108" i="2" a="1"/>
  <c r="F108" i="2" s="1"/>
  <c r="K108" i="2" s="1"/>
  <c r="F21" i="2" a="1"/>
  <c r="F21" i="2" s="1"/>
  <c r="K21" i="2" s="1"/>
  <c r="F173" i="2" a="1"/>
  <c r="F173" i="2" s="1"/>
  <c r="K173" i="2" s="1"/>
  <c r="F107" i="2" a="1"/>
  <c r="F107" i="2" s="1"/>
  <c r="K107" i="2" s="1"/>
  <c r="F39" i="2" a="1"/>
  <c r="F39" i="2" s="1"/>
  <c r="K39" i="2" s="1"/>
  <c r="F203" i="2" a="1"/>
  <c r="F203" i="2" s="1"/>
  <c r="K203" i="2" s="1"/>
  <c r="F106" i="2" a="1"/>
  <c r="F106" i="2" s="1"/>
  <c r="K106" i="2" s="1"/>
  <c r="F217" i="2" a="1"/>
  <c r="F217" i="2" s="1"/>
  <c r="K217" i="2" s="1"/>
  <c r="F228" i="2" a="1"/>
  <c r="F228" i="2" s="1"/>
  <c r="K228" i="2" s="1"/>
  <c r="F198" i="2" a="1"/>
  <c r="F198" i="2" s="1"/>
  <c r="K198" i="2" s="1"/>
  <c r="F182" i="2" a="1"/>
  <c r="F182" i="2" s="1"/>
  <c r="K182" i="2" s="1"/>
  <c r="F152" i="2" a="1"/>
  <c r="F152" i="2" s="1"/>
  <c r="K152" i="2" s="1"/>
  <c r="F134" i="2" a="1"/>
  <c r="F134" i="2" s="1"/>
  <c r="K134" i="2" s="1"/>
  <c r="F102" i="2" a="1"/>
  <c r="F102" i="2" s="1"/>
  <c r="K102" i="2" s="1"/>
  <c r="F78" i="2" a="1"/>
  <c r="F78" i="2" s="1"/>
  <c r="K78" i="2" s="1"/>
  <c r="F67" i="2" a="1"/>
  <c r="F67" i="2" s="1"/>
  <c r="K67" i="2" s="1"/>
  <c r="F22" i="2" a="1"/>
  <c r="F22" i="2" s="1"/>
  <c r="F4" i="2" a="1"/>
  <c r="F4" i="2" s="1"/>
  <c r="K4" i="2" s="1"/>
  <c r="F213" i="2" a="1"/>
  <c r="F213" i="2" s="1"/>
  <c r="K213" i="2" s="1"/>
  <c r="F197" i="2" a="1"/>
  <c r="F197" i="2" s="1"/>
  <c r="K197" i="2" s="1"/>
  <c r="F167" i="2" a="1"/>
  <c r="F167" i="2" s="1"/>
  <c r="K167" i="2" s="1"/>
  <c r="F133" i="2" a="1"/>
  <c r="F133" i="2" s="1"/>
  <c r="K133" i="2" s="1"/>
  <c r="F116" i="2" a="1"/>
  <c r="F116" i="2" s="1"/>
  <c r="K116" i="2" s="1"/>
  <c r="F90" i="2" a="1"/>
  <c r="F90" i="2" s="1"/>
  <c r="K90" i="2" s="1"/>
  <c r="F77" i="2" a="1"/>
  <c r="F77" i="2" s="1"/>
  <c r="K77" i="2" s="1"/>
  <c r="F48" i="2" a="1"/>
  <c r="F48" i="2" s="1"/>
  <c r="K48" i="2" s="1"/>
  <c r="F32" i="2" a="1"/>
  <c r="F32" i="2" s="1"/>
  <c r="K32" i="2" s="1"/>
  <c r="K87" i="2"/>
  <c r="K45" i="2"/>
  <c r="K99" i="2"/>
  <c r="D322" i="2"/>
  <c r="D331" i="2"/>
  <c r="D324" i="2"/>
  <c r="D332" i="2"/>
  <c r="D333" i="2"/>
  <c r="D334" i="2"/>
  <c r="D323" i="2"/>
  <c r="D335" i="2"/>
  <c r="D337" i="2"/>
  <c r="D260" i="2"/>
  <c r="D336" i="2"/>
  <c r="D263" i="2"/>
  <c r="D264" i="2"/>
  <c r="D265" i="2"/>
  <c r="D285" i="2"/>
  <c r="D286" i="2"/>
  <c r="K6" i="2"/>
  <c r="K104" i="2"/>
  <c r="K111" i="2"/>
  <c r="D287" i="2"/>
  <c r="D252" i="2"/>
  <c r="D261" i="2"/>
  <c r="K53" i="2"/>
  <c r="D288" i="2"/>
  <c r="D259" i="2"/>
  <c r="D289" i="2"/>
  <c r="D290" i="2"/>
  <c r="D262" i="2"/>
  <c r="D291" i="2"/>
  <c r="D292" i="2"/>
  <c r="D293" i="2"/>
  <c r="D294" i="2"/>
  <c r="D295" i="2"/>
  <c r="D245" i="2"/>
  <c r="D298" i="2"/>
  <c r="D246" i="2"/>
  <c r="D299" i="2"/>
  <c r="K175" i="2"/>
  <c r="D247" i="2"/>
  <c r="D317" i="2"/>
  <c r="D250" i="2"/>
  <c r="D318" i="2"/>
  <c r="D251" i="2"/>
  <c r="D319" i="2"/>
  <c r="D266" i="2"/>
  <c r="D300" i="2"/>
  <c r="D338" i="2"/>
  <c r="D235" i="2"/>
  <c r="D267" i="2"/>
  <c r="D307" i="2"/>
  <c r="D236" i="2"/>
  <c r="D268" i="2"/>
  <c r="D308" i="2"/>
  <c r="D237" i="2"/>
  <c r="D309" i="2"/>
  <c r="D239" i="2"/>
  <c r="D269" i="2"/>
  <c r="D271" i="2"/>
  <c r="D310" i="2"/>
  <c r="D311" i="2"/>
  <c r="D240" i="2"/>
  <c r="D274" i="2"/>
  <c r="D312" i="2"/>
  <c r="D241" i="2"/>
  <c r="D275" i="2"/>
  <c r="D313" i="2"/>
  <c r="K76" i="2"/>
  <c r="D243" i="2"/>
  <c r="D283" i="2"/>
  <c r="D315" i="2"/>
  <c r="D238" i="2"/>
  <c r="D270" i="2"/>
  <c r="D242" i="2"/>
  <c r="D276" i="2"/>
  <c r="D314" i="2"/>
  <c r="K119" i="2"/>
  <c r="D244" i="2"/>
  <c r="D284" i="2"/>
  <c r="D316" i="2"/>
  <c r="K69" i="2"/>
  <c r="K211" i="2"/>
  <c r="K210" i="2"/>
  <c r="K191" i="2"/>
  <c r="K12" i="2"/>
  <c r="K101" i="2"/>
  <c r="K31" i="2"/>
  <c r="K115" i="2"/>
  <c r="K22" i="2"/>
  <c r="D248" i="2"/>
  <c r="D272" i="2"/>
  <c r="D296" i="2"/>
  <c r="D320" i="2"/>
  <c r="D249" i="2"/>
  <c r="D273" i="2"/>
  <c r="D297" i="2"/>
  <c r="D321" i="2"/>
  <c r="D253" i="2"/>
  <c r="D277" i="2"/>
  <c r="D301" i="2"/>
  <c r="D325" i="2"/>
  <c r="D254" i="2"/>
  <c r="D278" i="2"/>
  <c r="D302" i="2"/>
  <c r="D326" i="2"/>
  <c r="D255" i="2"/>
  <c r="D279" i="2"/>
  <c r="D303" i="2"/>
  <c r="D327" i="2"/>
  <c r="D233" i="2"/>
  <c r="D256" i="2"/>
  <c r="D280" i="2"/>
  <c r="D304" i="2"/>
  <c r="D328" i="2"/>
  <c r="D257" i="2"/>
  <c r="D281" i="2"/>
  <c r="D305" i="2"/>
  <c r="D329" i="2"/>
  <c r="D234" i="2"/>
  <c r="D258" i="2"/>
  <c r="D282" i="2"/>
  <c r="D306"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<sst xmlns="http://schemas.openxmlformats.org/spreadsheetml/2006/main" count="5643" uniqueCount="3102">
  <si>
    <t>Company</t>
  </si>
  <si>
    <t>BIS</t>
  </si>
  <si>
    <t>Employees</t>
  </si>
  <si>
    <t>HQ</t>
  </si>
  <si>
    <t>Industry</t>
  </si>
  <si>
    <t>Revenues ($M)</t>
  </si>
  <si>
    <t>Profits ($M)</t>
  </si>
  <si>
    <t>Profits % Change</t>
  </si>
  <si>
    <t>Assets ($M)</t>
  </si>
  <si>
    <t>Change in Rank</t>
  </si>
  <si>
    <t>Years on Global 500 List</t>
  </si>
  <si>
    <t>Nestlé</t>
  </si>
  <si>
    <t>Switzerland</t>
  </si>
  <si>
    <t>Food &amp; Beverage</t>
  </si>
  <si>
    <t>103,749.5</t>
  </si>
  <si>
    <t>0.2%</t>
  </si>
  <si>
    <t>12,360.8</t>
  </si>
  <si>
    <t>-0.9%</t>
  </si>
  <si>
    <t>153,713</t>
  </si>
  <si>
    <t>-1</t>
  </si>
  <si>
    <t>31</t>
  </si>
  <si>
    <t>Reliance Industries</t>
  </si>
  <si>
    <t>India</t>
  </si>
  <si>
    <t>Conglomerate &amp; Energy</t>
  </si>
  <si>
    <t>114,121.6</t>
  </si>
  <si>
    <t>4.8%</t>
  </si>
  <si>
    <t>8,239.3</t>
  </si>
  <si>
    <t>-2.1%</t>
  </si>
  <si>
    <t>228,260.5</t>
  </si>
  <si>
    <t>-2</t>
  </si>
  <si>
    <t>22</t>
  </si>
  <si>
    <t>0.5%</t>
  </si>
  <si>
    <t>9.1%</t>
  </si>
  <si>
    <t>-</t>
  </si>
  <si>
    <t>25</t>
  </si>
  <si>
    <t>Amazon</t>
  </si>
  <si>
    <t>United States</t>
  </si>
  <si>
    <t>E-commerce &amp; Cloud Computing</t>
  </si>
  <si>
    <t>Schneider Electric</t>
  </si>
  <si>
    <t>France</t>
  </si>
  <si>
    <t>Energy Management</t>
  </si>
  <si>
    <t>41,259.9</t>
  </si>
  <si>
    <t>6.3%</t>
  </si>
  <si>
    <t>4,616.6</t>
  </si>
  <si>
    <t>6.7%</t>
  </si>
  <si>
    <t>68,278.1</t>
  </si>
  <si>
    <t>9</t>
  </si>
  <si>
    <t>24</t>
  </si>
  <si>
    <t>-2.2%</t>
  </si>
  <si>
    <t>5.3%</t>
  </si>
  <si>
    <t>1</t>
  </si>
  <si>
    <t>Saudi Aramco</t>
  </si>
  <si>
    <t>Saudi Arabia</t>
  </si>
  <si>
    <t>-14.5%</t>
  </si>
  <si>
    <t>27</t>
  </si>
  <si>
    <t>Apple</t>
  </si>
  <si>
    <t>Technology &amp; Consumer Electronics</t>
  </si>
  <si>
    <t>7.7%</t>
  </si>
  <si>
    <t>29</t>
  </si>
  <si>
    <t>CVS Health</t>
  </si>
  <si>
    <t>Healthcare &amp; Pharmacy</t>
  </si>
  <si>
    <t>AEON</t>
  </si>
  <si>
    <t>Japan</t>
  </si>
  <si>
    <t>Retail</t>
  </si>
  <si>
    <t>66,457.7</t>
  </si>
  <si>
    <t>-0.4%</t>
  </si>
  <si>
    <t>188.7</t>
  </si>
  <si>
    <t>-39.5%</t>
  </si>
  <si>
    <t>91,812</t>
  </si>
  <si>
    <t>-4</t>
  </si>
  <si>
    <t>BASF</t>
  </si>
  <si>
    <t>Germany</t>
  </si>
  <si>
    <t>Chemicals</t>
  </si>
  <si>
    <t>70,574.2</t>
  </si>
  <si>
    <t>-5.3%</t>
  </si>
  <si>
    <t>1,403.7</t>
  </si>
  <si>
    <t>477.1%</t>
  </si>
  <si>
    <t>83,262.6</t>
  </si>
  <si>
    <t>-18</t>
  </si>
  <si>
    <t>1.9%</t>
  </si>
  <si>
    <t>Alphabet</t>
  </si>
  <si>
    <t>Technology &amp; Internet Services</t>
  </si>
  <si>
    <t>5</t>
  </si>
  <si>
    <t>Exxon Mobil</t>
  </si>
  <si>
    <t>Oil &amp; Gas</t>
  </si>
  <si>
    <t>BMW Group</t>
  </si>
  <si>
    <t>Automotive</t>
  </si>
  <si>
    <t>153,974.3</t>
  </si>
  <si>
    <t>-8.4%</t>
  </si>
  <si>
    <t>7,883.6</t>
  </si>
  <si>
    <t>-35.4%</t>
  </si>
  <si>
    <t>277,212.7</t>
  </si>
  <si>
    <t>-8</t>
  </si>
  <si>
    <t>BP</t>
  </si>
  <si>
    <t>United Kingdom</t>
  </si>
  <si>
    <t>194,629</t>
  </si>
  <si>
    <t>-8.6%</t>
  </si>
  <si>
    <t>381</t>
  </si>
  <si>
    <t>-97.5%</t>
  </si>
  <si>
    <t>282,228</t>
  </si>
  <si>
    <t>Compass Group</t>
  </si>
  <si>
    <t>Food Services</t>
  </si>
  <si>
    <t>42,002</t>
  </si>
  <si>
    <t>10.5%</t>
  </si>
  <si>
    <t>1,404</t>
  </si>
  <si>
    <t>-12.8%</t>
  </si>
  <si>
    <t>24,349</t>
  </si>
  <si>
    <t>28</t>
  </si>
  <si>
    <t>23</t>
  </si>
  <si>
    <t>Maersk Group</t>
  </si>
  <si>
    <t>Denmark</t>
  </si>
  <si>
    <t>Shipping &amp; Logistics</t>
  </si>
  <si>
    <t>55,482</t>
  </si>
  <si>
    <t>8.7%</t>
  </si>
  <si>
    <t>6,109</t>
  </si>
  <si>
    <t>59.8%</t>
  </si>
  <si>
    <t>87,697</t>
  </si>
  <si>
    <t>14</t>
  </si>
  <si>
    <t>26</t>
  </si>
  <si>
    <t>Microsoft</t>
  </si>
  <si>
    <t>Technology &amp; Software</t>
  </si>
  <si>
    <t>Medtronic</t>
  </si>
  <si>
    <t>Ireland</t>
  </si>
  <si>
    <t>Medical Devices</t>
  </si>
  <si>
    <t>32,364</t>
  </si>
  <si>
    <t>3.6%</t>
  </si>
  <si>
    <t>3,676</t>
  </si>
  <si>
    <t>89,981</t>
  </si>
  <si>
    <t>8</t>
  </si>
  <si>
    <t>Metro</t>
  </si>
  <si>
    <t>Wholesale Retail</t>
  </si>
  <si>
    <t>33,636.1</t>
  </si>
  <si>
    <t>3.2%</t>
  </si>
  <si>
    <t>-130.1</t>
  </si>
  <si>
    <t>-127.8%</t>
  </si>
  <si>
    <t>13,079.2</t>
  </si>
  <si>
    <t>17</t>
  </si>
  <si>
    <t>TotalEnergies</t>
  </si>
  <si>
    <t>195,610</t>
  </si>
  <si>
    <t>-10.7%</t>
  </si>
  <si>
    <t>15,758</t>
  </si>
  <si>
    <t>-26.3%</t>
  </si>
  <si>
    <t>285,487</t>
  </si>
  <si>
    <t>-9</t>
  </si>
  <si>
    <t>12</t>
  </si>
  <si>
    <t>30</t>
  </si>
  <si>
    <t>Costco Wholesale</t>
  </si>
  <si>
    <t>Veolia Environnement</t>
  </si>
  <si>
    <t>Environmental Services</t>
  </si>
  <si>
    <t>48,331.4</t>
  </si>
  <si>
    <t>-1.4%</t>
  </si>
  <si>
    <t>1,187.4</t>
  </si>
  <si>
    <t>17.2%</t>
  </si>
  <si>
    <t>75,542.6</t>
  </si>
  <si>
    <t>-5</t>
  </si>
  <si>
    <t>11</t>
  </si>
  <si>
    <t>Bank of America</t>
  </si>
  <si>
    <t>Banking</t>
  </si>
  <si>
    <t>ACS</t>
  </si>
  <si>
    <t>Spain</t>
  </si>
  <si>
    <t>Construction</t>
  </si>
  <si>
    <t>45,023.4</t>
  </si>
  <si>
    <t>16.5%</t>
  </si>
  <si>
    <t>895</t>
  </si>
  <si>
    <t>6.1%</t>
  </si>
  <si>
    <t>43,513.4</t>
  </si>
  <si>
    <t>54</t>
  </si>
  <si>
    <t>21</t>
  </si>
  <si>
    <t>10.6%</t>
  </si>
  <si>
    <t>2</t>
  </si>
  <si>
    <t>Ford Motor</t>
  </si>
  <si>
    <t>-1.1%</t>
  </si>
  <si>
    <t>Air France-KLM Group</t>
  </si>
  <si>
    <t>Airlines</t>
  </si>
  <si>
    <t>34,020.8</t>
  </si>
  <si>
    <t>342.8</t>
  </si>
  <si>
    <t>-66.1%</t>
  </si>
  <si>
    <t>37,435.3</t>
  </si>
  <si>
    <t>8%</t>
  </si>
  <si>
    <t>4.3%</t>
  </si>
  <si>
    <t>4</t>
  </si>
  <si>
    <t>Samsung Electronics</t>
  </si>
  <si>
    <t>South Korea</t>
  </si>
  <si>
    <t>Stellantis</t>
  </si>
  <si>
    <t>0.9%</t>
  </si>
  <si>
    <t>-17.4%</t>
  </si>
  <si>
    <t>Meta Platforms</t>
  </si>
  <si>
    <t>Social Media &amp; Technology</t>
  </si>
  <si>
    <t>2.6%</t>
  </si>
  <si>
    <t>3%</t>
  </si>
  <si>
    <t>-1.6%</t>
  </si>
  <si>
    <t>-0.8%</t>
  </si>
  <si>
    <t>Home Depot</t>
  </si>
  <si>
    <t>Home Improvement Retail</t>
  </si>
  <si>
    <t>Airbus</t>
  </si>
  <si>
    <t>Netherlands</t>
  </si>
  <si>
    <t>Aerospace</t>
  </si>
  <si>
    <t>74,867.5</t>
  </si>
  <si>
    <t>5.8%</t>
  </si>
  <si>
    <t>4,576.6</t>
  </si>
  <si>
    <t>11.7%</t>
  </si>
  <si>
    <t>133,788.6</t>
  </si>
  <si>
    <t>ArcelorMittal</t>
  </si>
  <si>
    <t>Luxembourg</t>
  </si>
  <si>
    <t>Steel</t>
  </si>
  <si>
    <t>62,441</t>
  </si>
  <si>
    <t>-8.5%</t>
  </si>
  <si>
    <t>1,339</t>
  </si>
  <si>
    <t>45.7%</t>
  </si>
  <si>
    <t>89,385</t>
  </si>
  <si>
    <t>-33</t>
  </si>
  <si>
    <t>BAE Systems</t>
  </si>
  <si>
    <t>Aerospace &amp; Defense</t>
  </si>
  <si>
    <t>33,614.1</t>
  </si>
  <si>
    <t>2,498.8</t>
  </si>
  <si>
    <t>8.3%</t>
  </si>
  <si>
    <t>47,773.1</t>
  </si>
  <si>
    <t>Bouygues</t>
  </si>
  <si>
    <t>Construction &amp; Telecom</t>
  </si>
  <si>
    <t>61,423.2</t>
  </si>
  <si>
    <t>1.4%</t>
  </si>
  <si>
    <t>1,144.2</t>
  </si>
  <si>
    <t>1.8%</t>
  </si>
  <si>
    <t>65,317.9</t>
  </si>
  <si>
    <t>Carrefour</t>
  </si>
  <si>
    <t>94,376.6</t>
  </si>
  <si>
    <t>2.8%</t>
  </si>
  <si>
    <t>781.9</t>
  </si>
  <si>
    <t>-56.4%</t>
  </si>
  <si>
    <t>59,394.3</t>
  </si>
  <si>
    <t>3.3%</t>
  </si>
  <si>
    <t>-0.1%</t>
  </si>
  <si>
    <t>3</t>
  </si>
  <si>
    <t>Banco Santander</t>
  </si>
  <si>
    <t>HSBC Holdings</t>
  </si>
  <si>
    <t>E.ON</t>
  </si>
  <si>
    <t>Utilities</t>
  </si>
  <si>
    <t>86,643.2</t>
  </si>
  <si>
    <t>4,900</t>
  </si>
  <si>
    <t>776.7%</t>
  </si>
  <si>
    <t>115,304.4</t>
  </si>
  <si>
    <t>-39</t>
  </si>
  <si>
    <t>Engie</t>
  </si>
  <si>
    <t>Utilities &amp; Energy</t>
  </si>
  <si>
    <t>79,822.7</t>
  </si>
  <si>
    <t>-10.6%</t>
  </si>
  <si>
    <t>4,440.4</t>
  </si>
  <si>
    <t>86%</t>
  </si>
  <si>
    <t>196,256</t>
  </si>
  <si>
    <t>-26</t>
  </si>
  <si>
    <t>Heineken</t>
  </si>
  <si>
    <t>Beverage</t>
  </si>
  <si>
    <t>32,249.4</t>
  </si>
  <si>
    <t>-1.8%</t>
  </si>
  <si>
    <t>538.6</t>
  </si>
  <si>
    <t>-57.6%</t>
  </si>
  <si>
    <t>55,368.6</t>
  </si>
  <si>
    <t>-13</t>
  </si>
  <si>
    <t>16</t>
  </si>
  <si>
    <t>5.9%</t>
  </si>
  <si>
    <t>22.3%</t>
  </si>
  <si>
    <t>10</t>
  </si>
  <si>
    <t>Electricité de France</t>
  </si>
  <si>
    <t>Wells Fargo</t>
  </si>
  <si>
    <t>5.1%</t>
  </si>
  <si>
    <t>Deutsche Telekom</t>
  </si>
  <si>
    <t>Telecommunications</t>
  </si>
  <si>
    <t>Comcast</t>
  </si>
  <si>
    <t>Media &amp; Telecommunications</t>
  </si>
  <si>
    <t>International Airlines Group</t>
  </si>
  <si>
    <t>34,714</t>
  </si>
  <si>
    <t>9%</t>
  </si>
  <si>
    <t>2,954.5</t>
  </si>
  <si>
    <t>2.9%</t>
  </si>
  <si>
    <t>45,355.2</t>
  </si>
  <si>
    <t>8.8%</t>
  </si>
  <si>
    <t>6</t>
  </si>
  <si>
    <t>JBS</t>
  </si>
  <si>
    <t>Brazil</t>
  </si>
  <si>
    <t>Food Processing</t>
  </si>
  <si>
    <t>77,182.6</t>
  </si>
  <si>
    <t>1,766.9</t>
  </si>
  <si>
    <t>40,685.4</t>
  </si>
  <si>
    <t>Koç Holding</t>
  </si>
  <si>
    <t>Turkey</t>
  </si>
  <si>
    <t>Conglomerate</t>
  </si>
  <si>
    <t>70,543.2</t>
  </si>
  <si>
    <t>4.5%</t>
  </si>
  <si>
    <t>39.8</t>
  </si>
  <si>
    <t>-98.7%</t>
  </si>
  <si>
    <t>110,532.5</t>
  </si>
  <si>
    <t>8.1%</t>
  </si>
  <si>
    <t>-2.5%</t>
  </si>
  <si>
    <t>Linde</t>
  </si>
  <si>
    <t>Industrial Gases</t>
  </si>
  <si>
    <t>33,005</t>
  </si>
  <si>
    <t>6,565</t>
  </si>
  <si>
    <t>80,147</t>
  </si>
  <si>
    <t>Lufthansa Group</t>
  </si>
  <si>
    <t>40,641.3</t>
  </si>
  <si>
    <t>1,492.4</t>
  </si>
  <si>
    <t>-17.5%</t>
  </si>
  <si>
    <t>48,718.2</t>
  </si>
  <si>
    <t>-10</t>
  </si>
  <si>
    <t>Nippon Steel</t>
  </si>
  <si>
    <t>57,040.7</t>
  </si>
  <si>
    <t>-7%</t>
  </si>
  <si>
    <t>2,297.4</t>
  </si>
  <si>
    <t>-39.6%</t>
  </si>
  <si>
    <t>73,003.3</t>
  </si>
  <si>
    <t>-24</t>
  </si>
  <si>
    <t>Olam Group</t>
  </si>
  <si>
    <t>Singapore</t>
  </si>
  <si>
    <t>Agribusiness</t>
  </si>
  <si>
    <t>42,028.3</t>
  </si>
  <si>
    <t>16.9%</t>
  </si>
  <si>
    <t>64.7</t>
  </si>
  <si>
    <t>-68.8%</t>
  </si>
  <si>
    <t>33,161.5</t>
  </si>
  <si>
    <t>56</t>
  </si>
  <si>
    <t>Orlen</t>
  </si>
  <si>
    <t>Poland</t>
  </si>
  <si>
    <t>74,121.3</t>
  </si>
  <si>
    <t>-16.5%</t>
  </si>
  <si>
    <t>369.1</t>
  </si>
  <si>
    <t>-92.5%</t>
  </si>
  <si>
    <t>61,826.5</t>
  </si>
  <si>
    <t>-44</t>
  </si>
  <si>
    <t>-2.9%</t>
  </si>
  <si>
    <t>13</t>
  </si>
  <si>
    <t>-3</t>
  </si>
  <si>
    <t>-3.6%</t>
  </si>
  <si>
    <t>Royal Ahold Delhaize</t>
  </si>
  <si>
    <t>Grocery Retail</t>
  </si>
  <si>
    <t>96,632.4</t>
  </si>
  <si>
    <t>0.8%</t>
  </si>
  <si>
    <t>1,907.7</t>
  </si>
  <si>
    <t>-5.8%</t>
  </si>
  <si>
    <t>53,677.8</t>
  </si>
  <si>
    <t>18</t>
  </si>
  <si>
    <t>-4.2%</t>
  </si>
  <si>
    <t>Honda Motor</t>
  </si>
  <si>
    <t>Bosch Group</t>
  </si>
  <si>
    <t>Industrial Engineering &amp; Electronics</t>
  </si>
  <si>
    <t>7</t>
  </si>
  <si>
    <t>Tesla</t>
  </si>
  <si>
    <t>Automotive &amp; Energy</t>
  </si>
  <si>
    <t>480,193.5</t>
  </si>
  <si>
    <t>-3%</t>
  </si>
  <si>
    <t>104,982.3</t>
  </si>
  <si>
    <t>-13%</t>
  </si>
  <si>
    <t>645,097.2</t>
  </si>
  <si>
    <t>1.5%</t>
  </si>
  <si>
    <t>19</t>
  </si>
  <si>
    <t>Verizon Communications</t>
  </si>
  <si>
    <t>Itochu</t>
  </si>
  <si>
    <t>Trading &amp; Conglomerate</t>
  </si>
  <si>
    <t>Mitsui</t>
  </si>
  <si>
    <t>2.7%</t>
  </si>
  <si>
    <t>Dell Technologies</t>
  </si>
  <si>
    <t>Technology Hardware</t>
  </si>
  <si>
    <t>Shell</t>
  </si>
  <si>
    <t>289,029</t>
  </si>
  <si>
    <t>16,094</t>
  </si>
  <si>
    <t>-16.9%</t>
  </si>
  <si>
    <t>387,609</t>
  </si>
  <si>
    <t>Siemens</t>
  </si>
  <si>
    <t>Industrial Manufacturing</t>
  </si>
  <si>
    <t>85,432.8</t>
  </si>
  <si>
    <t>8,998.5</t>
  </si>
  <si>
    <t>6.2%</t>
  </si>
  <si>
    <t>164,729.7</t>
  </si>
  <si>
    <t>SK</t>
  </si>
  <si>
    <t>Tesco</t>
  </si>
  <si>
    <t>89,745.6</t>
  </si>
  <si>
    <t>4.1%</t>
  </si>
  <si>
    <t>2,071</t>
  </si>
  <si>
    <t>39.3%</t>
  </si>
  <si>
    <t>48,961.4</t>
  </si>
  <si>
    <t>ThyssenKrupp</t>
  </si>
  <si>
    <t>37,985.2</t>
  </si>
  <si>
    <t>-5.1%</t>
  </si>
  <si>
    <t>-1,632.5</t>
  </si>
  <si>
    <t>32,690.3</t>
  </si>
  <si>
    <t>0.1%</t>
  </si>
  <si>
    <t>-29</t>
  </si>
  <si>
    <t>Walt Disney</t>
  </si>
  <si>
    <t>Entertainment &amp; Media</t>
  </si>
  <si>
    <t>United Parcel Service</t>
  </si>
  <si>
    <t>Logistics</t>
  </si>
  <si>
    <t>Vale</t>
  </si>
  <si>
    <t>Mining</t>
  </si>
  <si>
    <t>38,056</t>
  </si>
  <si>
    <t>-8.9%</t>
  </si>
  <si>
    <t>6,166</t>
  </si>
  <si>
    <t>-22.8%</t>
  </si>
  <si>
    <t>80,152</t>
  </si>
  <si>
    <t>-46</t>
  </si>
  <si>
    <t>8.5%</t>
  </si>
  <si>
    <t>Crédit Agricole</t>
  </si>
  <si>
    <t>18%</t>
  </si>
  <si>
    <t>NTT</t>
  </si>
  <si>
    <t>Vinci</t>
  </si>
  <si>
    <t>Construction &amp; Infrastructure</t>
  </si>
  <si>
    <t>78,692.6</t>
  </si>
  <si>
    <t>4.2%</t>
  </si>
  <si>
    <t>5,259</t>
  </si>
  <si>
    <t>3.5%</t>
  </si>
  <si>
    <t>134,076.4</t>
  </si>
  <si>
    <t>Volkswagen</t>
  </si>
  <si>
    <t>351,093.3</t>
  </si>
  <si>
    <t>12,275.3</t>
  </si>
  <si>
    <t>-31.6%</t>
  </si>
  <si>
    <t>655,316.8</t>
  </si>
  <si>
    <t>13%</t>
  </si>
  <si>
    <t>Toronto-Dominion Bank</t>
  </si>
  <si>
    <t>5.6%</t>
  </si>
  <si>
    <t>Mitsubishi</t>
  </si>
  <si>
    <t>FedEx</t>
  </si>
  <si>
    <t>-7</t>
  </si>
  <si>
    <t>UBS Group</t>
  </si>
  <si>
    <t>Banking &amp; Wealth Management</t>
  </si>
  <si>
    <t>20</t>
  </si>
  <si>
    <t>-0.2%</t>
  </si>
  <si>
    <t>6.8%</t>
  </si>
  <si>
    <t>-6</t>
  </si>
  <si>
    <t>Brookfield</t>
  </si>
  <si>
    <t>Asset Management</t>
  </si>
  <si>
    <t>20.6%</t>
  </si>
  <si>
    <t>-17</t>
  </si>
  <si>
    <t>Enel</t>
  </si>
  <si>
    <t>15</t>
  </si>
  <si>
    <t>Sony</t>
  </si>
  <si>
    <t>Electronics &amp; Entertainment</t>
  </si>
  <si>
    <t>Wilmar International</t>
  </si>
  <si>
    <t>67,379.1</t>
  </si>
  <si>
    <t>0.3%</t>
  </si>
  <si>
    <t>1,169.8</t>
  </si>
  <si>
    <t>-23.3%</t>
  </si>
  <si>
    <t>59,572.2</t>
  </si>
  <si>
    <t>Woolworths Group</t>
  </si>
  <si>
    <t>Australia</t>
  </si>
  <si>
    <t>44,521.5</t>
  </si>
  <si>
    <t>70.8</t>
  </si>
  <si>
    <t>-93.5%</t>
  </si>
  <si>
    <t>22,645.1</t>
  </si>
  <si>
    <t>1.6%</t>
  </si>
  <si>
    <t>Société Générale</t>
  </si>
  <si>
    <t>Nissan Motor</t>
  </si>
  <si>
    <t>Groupe BPCE</t>
  </si>
  <si>
    <t>8.9%</t>
  </si>
  <si>
    <t>RTX</t>
  </si>
  <si>
    <t>Marubeni</t>
  </si>
  <si>
    <t>Trading Company</t>
  </si>
  <si>
    <t>51,101.8</t>
  </si>
  <si>
    <t>3,299.3</t>
  </si>
  <si>
    <t>1.2%</t>
  </si>
  <si>
    <t>61,391.5</t>
  </si>
  <si>
    <t>ABB</t>
  </si>
  <si>
    <t>Industrial Automation</t>
  </si>
  <si>
    <t>32,850</t>
  </si>
  <si>
    <t>3,935</t>
  </si>
  <si>
    <t>40,357</t>
  </si>
  <si>
    <t>Target</t>
  </si>
  <si>
    <t>U.S. Postal Service</t>
  </si>
  <si>
    <t>Postal &amp; Logistics</t>
  </si>
  <si>
    <t>-3.2%</t>
  </si>
  <si>
    <t>-25.9%</t>
  </si>
  <si>
    <t>Sysco</t>
  </si>
  <si>
    <t>Food Distribution</t>
  </si>
  <si>
    <t>Abbott Laboratories</t>
  </si>
  <si>
    <t>Healthcare &amp; Medical Devices</t>
  </si>
  <si>
    <t>41,950</t>
  </si>
  <si>
    <t>4.6%</t>
  </si>
  <si>
    <t>13,402</t>
  </si>
  <si>
    <t>134.2%</t>
  </si>
  <si>
    <t>81,414</t>
  </si>
  <si>
    <t>-9.1%</t>
  </si>
  <si>
    <t>Seven &amp; I Holdings</t>
  </si>
  <si>
    <t>9.4%</t>
  </si>
  <si>
    <t>State Bank of India</t>
  </si>
  <si>
    <t>-21.8%</t>
  </si>
  <si>
    <t>AbbVie</t>
  </si>
  <si>
    <t>Pharmaceuticals</t>
  </si>
  <si>
    <t>56,334</t>
  </si>
  <si>
    <t>3.7%</t>
  </si>
  <si>
    <t>4,278</t>
  </si>
  <si>
    <t>-12%</t>
  </si>
  <si>
    <t>135,161</t>
  </si>
  <si>
    <t>-4%</t>
  </si>
  <si>
    <t>Royal Bank of Canada</t>
  </si>
  <si>
    <t>Canada</t>
  </si>
  <si>
    <t>Japan Post Holdings</t>
  </si>
  <si>
    <t>Postal &amp; Financial Services</t>
  </si>
  <si>
    <t>4.7%</t>
  </si>
  <si>
    <t>American Express</t>
  </si>
  <si>
    <t>Financial Services</t>
  </si>
  <si>
    <t>Accenture</t>
  </si>
  <si>
    <t>IT Consulting</t>
  </si>
  <si>
    <t>64,896.5</t>
  </si>
  <si>
    <t>7,264.8</t>
  </si>
  <si>
    <t>5.7%</t>
  </si>
  <si>
    <t>55,932.4</t>
  </si>
  <si>
    <t>Albertsons</t>
  </si>
  <si>
    <t>80,390.9</t>
  </si>
  <si>
    <t>958.6</t>
  </si>
  <si>
    <t>-26%</t>
  </si>
  <si>
    <t>26,755.7</t>
  </si>
  <si>
    <t>Lloyds Banking Group</t>
  </si>
  <si>
    <t>Alimentation Couche-Tard</t>
  </si>
  <si>
    <t>Convenience Retail</t>
  </si>
  <si>
    <t>69,263.5</t>
  </si>
  <si>
    <t>2,729.7</t>
  </si>
  <si>
    <t>-11.7%</t>
  </si>
  <si>
    <t>36,942.1</t>
  </si>
  <si>
    <t>350,018</t>
  </si>
  <si>
    <t>13.9%</t>
  </si>
  <si>
    <t>100,118</t>
  </si>
  <si>
    <t>35.7%</t>
  </si>
  <si>
    <t>450,256</t>
  </si>
  <si>
    <t>637,959</t>
  </si>
  <si>
    <t>11%</t>
  </si>
  <si>
    <t>59,248</t>
  </si>
  <si>
    <t>94.7%</t>
  </si>
  <si>
    <t>624,894</t>
  </si>
  <si>
    <t>America Movil</t>
  </si>
  <si>
    <t>Mexico</t>
  </si>
  <si>
    <t>47,484.7</t>
  </si>
  <si>
    <t>1,251.1</t>
  </si>
  <si>
    <t>-70.9%</t>
  </si>
  <si>
    <t>86,233.8</t>
  </si>
  <si>
    <t>American Airlines Group</t>
  </si>
  <si>
    <t>54,211</t>
  </si>
  <si>
    <t>846</t>
  </si>
  <si>
    <t>61,783</t>
  </si>
  <si>
    <t>74,201</t>
  </si>
  <si>
    <t>10.2%</t>
  </si>
  <si>
    <t>10,129</t>
  </si>
  <si>
    <t>21%</t>
  </si>
  <si>
    <t>271,461</t>
  </si>
  <si>
    <t>Anheuser-Busch InBev</t>
  </si>
  <si>
    <t>Belgium</t>
  </si>
  <si>
    <t>59,768</t>
  </si>
  <si>
    <t>0.7%</t>
  </si>
  <si>
    <t>5,855</t>
  </si>
  <si>
    <t>9.6%</t>
  </si>
  <si>
    <t>206,637</t>
  </si>
  <si>
    <t>391,035</t>
  </si>
  <si>
    <t>2%</t>
  </si>
  <si>
    <t>93,736</t>
  </si>
  <si>
    <t>-3.4%</t>
  </si>
  <si>
    <t>364,980</t>
  </si>
  <si>
    <t>PepsiCo</t>
  </si>
  <si>
    <t>AstraZeneca</t>
  </si>
  <si>
    <t>54,073</t>
  </si>
  <si>
    <t>7,035</t>
  </si>
  <si>
    <t>18.1%</t>
  </si>
  <si>
    <t>104,035</t>
  </si>
  <si>
    <t>59</t>
  </si>
  <si>
    <t>Christian Dior</t>
  </si>
  <si>
    <t>Toyota Tsusho</t>
  </si>
  <si>
    <t>-21</t>
  </si>
  <si>
    <t>AT&amp;T</t>
  </si>
  <si>
    <t>122,336</t>
  </si>
  <si>
    <t>10,948</t>
  </si>
  <si>
    <t>-24%</t>
  </si>
  <si>
    <t>394,795</t>
  </si>
  <si>
    <t>Banco Bradesco</t>
  </si>
  <si>
    <t>51,104.2</t>
  </si>
  <si>
    <t>-9.5%</t>
  </si>
  <si>
    <t>3,201.6</t>
  </si>
  <si>
    <t>12.2%</t>
  </si>
  <si>
    <t>334,651.4</t>
  </si>
  <si>
    <t>-41</t>
  </si>
  <si>
    <t>Banco do Brasil</t>
  </si>
  <si>
    <t>60,802</t>
  </si>
  <si>
    <t>4,891.4</t>
  </si>
  <si>
    <t>-18.2%</t>
  </si>
  <si>
    <t>387,891.2</t>
  </si>
  <si>
    <t>146,326.4</t>
  </si>
  <si>
    <t>6.6%</t>
  </si>
  <si>
    <t>13,597.9</t>
  </si>
  <si>
    <t>13.6%</t>
  </si>
  <si>
    <t>1,902,134</t>
  </si>
  <si>
    <t>Unilever</t>
  </si>
  <si>
    <t>Consumer Goods</t>
  </si>
  <si>
    <t>-4.4%</t>
  </si>
  <si>
    <t>-11</t>
  </si>
  <si>
    <t>192,434</t>
  </si>
  <si>
    <t>11.9%</t>
  </si>
  <si>
    <t>27,132</t>
  </si>
  <si>
    <t>2.3%</t>
  </si>
  <si>
    <t>3,261,519</t>
  </si>
  <si>
    <t>Bank of Montreal</t>
  </si>
  <si>
    <t>58,295.1</t>
  </si>
  <si>
    <t>15.5%</t>
  </si>
  <si>
    <t>5,378.8</t>
  </si>
  <si>
    <t>66.2%</t>
  </si>
  <si>
    <t>1,011,297.1</t>
  </si>
  <si>
    <t>LG Electronics</t>
  </si>
  <si>
    <t>Electronics</t>
  </si>
  <si>
    <t>Bank of New York (BNY)</t>
  </si>
  <si>
    <t>Banking &amp; Asset Services</t>
  </si>
  <si>
    <t>39,914</t>
  </si>
  <si>
    <t>4,530</t>
  </si>
  <si>
    <t>37.9%</t>
  </si>
  <si>
    <t>416,064</t>
  </si>
  <si>
    <t>77</t>
  </si>
  <si>
    <t>Bank of Nova Scotia</t>
  </si>
  <si>
    <t>55,917.4</t>
  </si>
  <si>
    <t>6.4%</t>
  </si>
  <si>
    <t>5,702.2</t>
  </si>
  <si>
    <t>3.8%</t>
  </si>
  <si>
    <t>1,013,004.5</t>
  </si>
  <si>
    <t>-9.7%</t>
  </si>
  <si>
    <t>-27</t>
  </si>
  <si>
    <t>Pfizer</t>
  </si>
  <si>
    <t>18.7%</t>
  </si>
  <si>
    <t>IBM</t>
  </si>
  <si>
    <t>Technology &amp; Consulting</t>
  </si>
  <si>
    <t>Barclays</t>
  </si>
  <si>
    <t>71,257.5</t>
  </si>
  <si>
    <t>8,057.3</t>
  </si>
  <si>
    <t>23.3%</t>
  </si>
  <si>
    <t>1,901,555.6</t>
  </si>
  <si>
    <t>-3.1%</t>
  </si>
  <si>
    <t>-20.7%</t>
  </si>
  <si>
    <t>Delta Air Lines</t>
  </si>
  <si>
    <t>Bayer</t>
  </si>
  <si>
    <t>Pharmaceuticals &amp; Chemicals</t>
  </si>
  <si>
    <t>50,401.2</t>
  </si>
  <si>
    <t>-2,759.8</t>
  </si>
  <si>
    <t>114,775.3</t>
  </si>
  <si>
    <t>-15</t>
  </si>
  <si>
    <t>Best Buy</t>
  </si>
  <si>
    <t>Electronics Retail</t>
  </si>
  <si>
    <t>41,528</t>
  </si>
  <si>
    <t>927</t>
  </si>
  <si>
    <t>-25.3%</t>
  </si>
  <si>
    <t>14,782</t>
  </si>
  <si>
    <t>Publix Super Markets</t>
  </si>
  <si>
    <t>BNP Paribas</t>
  </si>
  <si>
    <t>146,390.2</t>
  </si>
  <si>
    <t>7.6%</t>
  </si>
  <si>
    <t>12,639.8</t>
  </si>
  <si>
    <t>6.5%</t>
  </si>
  <si>
    <t>2,800,691.7</t>
  </si>
  <si>
    <t>Mizuho Financial Group</t>
  </si>
  <si>
    <t>Boeing</t>
  </si>
  <si>
    <t>66,517</t>
  </si>
  <si>
    <t>-11,817</t>
  </si>
  <si>
    <t>156,363</t>
  </si>
  <si>
    <t>-47</t>
  </si>
  <si>
    <t>97,702</t>
  </si>
  <si>
    <t>-1.3%</t>
  </si>
  <si>
    <t>850</t>
  </si>
  <si>
    <t>-62.6%</t>
  </si>
  <si>
    <t>116,759.2</t>
  </si>
  <si>
    <t>86,006</t>
  </si>
  <si>
    <t>-10.3%</t>
  </si>
  <si>
    <t>641</t>
  </si>
  <si>
    <t>-43.3%</t>
  </si>
  <si>
    <t>490,424</t>
  </si>
  <si>
    <t>Caixa Econômica Federal</t>
  </si>
  <si>
    <t>42,397.5</t>
  </si>
  <si>
    <t>-7.2%</t>
  </si>
  <si>
    <t>2,510.1</t>
  </si>
  <si>
    <t>328,284.5</t>
  </si>
  <si>
    <t>-28</t>
  </si>
  <si>
    <t>Capital One Financial</t>
  </si>
  <si>
    <t>53,938</t>
  </si>
  <si>
    <t>4,750</t>
  </si>
  <si>
    <t>-2.8%</t>
  </si>
  <si>
    <t>490,144</t>
  </si>
  <si>
    <t>33</t>
  </si>
  <si>
    <t>1.7%</t>
  </si>
  <si>
    <t>TJX</t>
  </si>
  <si>
    <t>Caterpillar</t>
  </si>
  <si>
    <t>Heavy Equipment</t>
  </si>
  <si>
    <t>64,809</t>
  </si>
  <si>
    <t>10,792</t>
  </si>
  <si>
    <t>4.4%</t>
  </si>
  <si>
    <t>87,764</t>
  </si>
  <si>
    <t>-14</t>
  </si>
  <si>
    <t>5.2%</t>
  </si>
  <si>
    <t>CBRE Group</t>
  </si>
  <si>
    <t>Real Estate Services</t>
  </si>
  <si>
    <t>35,767</t>
  </si>
  <si>
    <t>12%</t>
  </si>
  <si>
    <t>968</t>
  </si>
  <si>
    <t>24,383</t>
  </si>
  <si>
    <t>CFE</t>
  </si>
  <si>
    <t>36,450.9</t>
  </si>
  <si>
    <t>1%</t>
  </si>
  <si>
    <t>-15,081.6</t>
  </si>
  <si>
    <t>-375.1%</t>
  </si>
  <si>
    <t>127,433.8</t>
  </si>
  <si>
    <t>Charter Communications</t>
  </si>
  <si>
    <t>55,085</t>
  </si>
  <si>
    <t>5,083</t>
  </si>
  <si>
    <t>11.5%</t>
  </si>
  <si>
    <t>150,020</t>
  </si>
  <si>
    <t>Luxury Goods</t>
  </si>
  <si>
    <t>91,578.9</t>
  </si>
  <si>
    <t>-1.7%</t>
  </si>
  <si>
    <t>5,632.1</t>
  </si>
  <si>
    <t>151,525.2</t>
  </si>
  <si>
    <t>Cisco Systems</t>
  </si>
  <si>
    <t>Networking Technology</t>
  </si>
  <si>
    <t>53,803</t>
  </si>
  <si>
    <t>-5.6%</t>
  </si>
  <si>
    <t>10,320</t>
  </si>
  <si>
    <t>124,413</t>
  </si>
  <si>
    <t>Citigroup</t>
  </si>
  <si>
    <t>170,757</t>
  </si>
  <si>
    <t>12,682</t>
  </si>
  <si>
    <t>37.4%</t>
  </si>
  <si>
    <t>2,352,945</t>
  </si>
  <si>
    <t>3.1%</t>
  </si>
  <si>
    <t>CK Hutchison Holdings</t>
  </si>
  <si>
    <t>Hong Kong</t>
  </si>
  <si>
    <t>36,057.3</t>
  </si>
  <si>
    <t>2.4%</t>
  </si>
  <si>
    <t>2,190</t>
  </si>
  <si>
    <t>-27%</t>
  </si>
  <si>
    <t>143,226.7</t>
  </si>
  <si>
    <t>Coca-Cola</t>
  </si>
  <si>
    <t>47,061</t>
  </si>
  <si>
    <t>10,631</t>
  </si>
  <si>
    <t>100,549</t>
  </si>
  <si>
    <t>123,731</t>
  </si>
  <si>
    <t>16,192</t>
  </si>
  <si>
    <t>266,211</t>
  </si>
  <si>
    <t>-13.1%</t>
  </si>
  <si>
    <t>Sanofi</t>
  </si>
  <si>
    <t>-0.7%</t>
  </si>
  <si>
    <t>-1.9%</t>
  </si>
  <si>
    <t>Tyson Foods</t>
  </si>
  <si>
    <t>Oracle</t>
  </si>
  <si>
    <t>Software &amp; Cloud Computing</t>
  </si>
  <si>
    <t>Continental</t>
  </si>
  <si>
    <t>Automotive Components</t>
  </si>
  <si>
    <t>42,953.4</t>
  </si>
  <si>
    <t>-4.1%</t>
  </si>
  <si>
    <t>1,263.1</t>
  </si>
  <si>
    <t>38,275</t>
  </si>
  <si>
    <t>-3.7%</t>
  </si>
  <si>
    <t>75,372</t>
  </si>
  <si>
    <t>Novartis</t>
  </si>
  <si>
    <t>-2.7%</t>
  </si>
  <si>
    <t>Deere</t>
  </si>
  <si>
    <t>Agricultural Equipment</t>
  </si>
  <si>
    <t>Nike</t>
  </si>
  <si>
    <t>Apparel &amp; Footwear</t>
  </si>
  <si>
    <t>Coop Group</t>
  </si>
  <si>
    <t>39,591.2</t>
  </si>
  <si>
    <t>664.4</t>
  </si>
  <si>
    <t>25,629.1</t>
  </si>
  <si>
    <t>254,453</t>
  </si>
  <si>
    <t>5%</t>
  </si>
  <si>
    <t>7,367</t>
  </si>
  <si>
    <t>17.1%</t>
  </si>
  <si>
    <t>69,831</t>
  </si>
  <si>
    <t>90,552.6</t>
  </si>
  <si>
    <t>7,664.1</t>
  </si>
  <si>
    <t>2,391,573.8</t>
  </si>
  <si>
    <t>Crédit Mutuel Group</t>
  </si>
  <si>
    <t>50,619.7</t>
  </si>
  <si>
    <t>11.3%</t>
  </si>
  <si>
    <t>4,264.1</t>
  </si>
  <si>
    <t>965,219.5</t>
  </si>
  <si>
    <t>39</t>
  </si>
  <si>
    <t>CRH</t>
  </si>
  <si>
    <t>Building Materials</t>
  </si>
  <si>
    <t>35,572</t>
  </si>
  <si>
    <t>3,492</t>
  </si>
  <si>
    <t>9.9%</t>
  </si>
  <si>
    <t>50,613</t>
  </si>
  <si>
    <t>UniCredit Group</t>
  </si>
  <si>
    <t>Cummins</t>
  </si>
  <si>
    <t>Engines &amp; Power Systems</t>
  </si>
  <si>
    <t>34,102</t>
  </si>
  <si>
    <t>3,946</t>
  </si>
  <si>
    <t>436.9%</t>
  </si>
  <si>
    <t>31,540</t>
  </si>
  <si>
    <t>Sumitomo</t>
  </si>
  <si>
    <t>General Dynamics</t>
  </si>
  <si>
    <t>SoftBank Group</t>
  </si>
  <si>
    <t>Telecommunications &amp; Investment</t>
  </si>
  <si>
    <t>372,809</t>
  </si>
  <si>
    <t>4,614</t>
  </si>
  <si>
    <t>-44.7%</t>
  </si>
  <si>
    <t>253,215</t>
  </si>
  <si>
    <t>Daimler Truck Holding</t>
  </si>
  <si>
    <t>Commercial Vehicles</t>
  </si>
  <si>
    <t>58,480.6</t>
  </si>
  <si>
    <t>3,136.2</t>
  </si>
  <si>
    <t>-23.2%</t>
  </si>
  <si>
    <t>76,469.3</t>
  </si>
  <si>
    <t>Daiwa House Industry</t>
  </si>
  <si>
    <t>Construction &amp; Real Estate</t>
  </si>
  <si>
    <t>35,651.2</t>
  </si>
  <si>
    <t>-1%</t>
  </si>
  <si>
    <t>2,132.3</t>
  </si>
  <si>
    <t>47,030</t>
  </si>
  <si>
    <t>Denso</t>
  </si>
  <si>
    <t>51,716</t>
  </si>
  <si>
    <t>-15.6%</t>
  </si>
  <si>
    <t>7,100</t>
  </si>
  <si>
    <t>-30.2%</t>
  </si>
  <si>
    <t>107,320</t>
  </si>
  <si>
    <t>-67</t>
  </si>
  <si>
    <t>95,567</t>
  </si>
  <si>
    <t>4,592</t>
  </si>
  <si>
    <t>35.5%</t>
  </si>
  <si>
    <t>79,746</t>
  </si>
  <si>
    <t>61,643</t>
  </si>
  <si>
    <t>3,457</t>
  </si>
  <si>
    <t>-25%</t>
  </si>
  <si>
    <t>46,979.7</t>
  </si>
  <si>
    <t>-5%</t>
  </si>
  <si>
    <t>2,749.1</t>
  </si>
  <si>
    <t>27%</t>
  </si>
  <si>
    <t>54,206.4</t>
  </si>
  <si>
    <t>-20</t>
  </si>
  <si>
    <t>Orange</t>
  </si>
  <si>
    <t>ZF Friedrichshafen</t>
  </si>
  <si>
    <t>Deutsche Bahn</t>
  </si>
  <si>
    <t>Rail Transport</t>
  </si>
  <si>
    <t>50,972.2</t>
  </si>
  <si>
    <t>-844.6</t>
  </si>
  <si>
    <t>86,868.9</t>
  </si>
  <si>
    <t>-22</t>
  </si>
  <si>
    <t>Deutsche Bank</t>
  </si>
  <si>
    <t>73,708.2</t>
  </si>
  <si>
    <t>4,695.6</t>
  </si>
  <si>
    <t>-31.4%</t>
  </si>
  <si>
    <t>1,440,291</t>
  </si>
  <si>
    <t>Vodafone Group</t>
  </si>
  <si>
    <t>125,196.3</t>
  </si>
  <si>
    <t>3.4%</t>
  </si>
  <si>
    <t>12,121.8</t>
  </si>
  <si>
    <t>-37%</t>
  </si>
  <si>
    <t>315,732</t>
  </si>
  <si>
    <t>Thermo Fisher Scientific</t>
  </si>
  <si>
    <t>Scientific Instruments</t>
  </si>
  <si>
    <t>DHL Group</t>
  </si>
  <si>
    <t>91,041.4</t>
  </si>
  <si>
    <t>3,603.3</t>
  </si>
  <si>
    <t>-9.4%</t>
  </si>
  <si>
    <t>72,349.4</t>
  </si>
  <si>
    <t>U.S. Bancorp</t>
  </si>
  <si>
    <t>16%</t>
  </si>
  <si>
    <t>J. Sainsbury</t>
  </si>
  <si>
    <t>Dollar General</t>
  </si>
  <si>
    <t>Discount Retail</t>
  </si>
  <si>
    <t>40,612.3</t>
  </si>
  <si>
    <t>1,125.3</t>
  </si>
  <si>
    <t>-32.3%</t>
  </si>
  <si>
    <t>31,132.7</t>
  </si>
  <si>
    <t>Edeka Zentrale</t>
  </si>
  <si>
    <t>58,493.6</t>
  </si>
  <si>
    <t>7.4%</t>
  </si>
  <si>
    <t>379.8</t>
  </si>
  <si>
    <t>11,845.1</t>
  </si>
  <si>
    <t>128,355.1</t>
  </si>
  <si>
    <t>-15%</t>
  </si>
  <si>
    <t>12,334.8</t>
  </si>
  <si>
    <t>378,137.3</t>
  </si>
  <si>
    <t>ELO Group</t>
  </si>
  <si>
    <t>Retail &amp; Distribution</t>
  </si>
  <si>
    <t>35,945.7</t>
  </si>
  <si>
    <t>1.1%</t>
  </si>
  <si>
    <t>-1,319.4</t>
  </si>
  <si>
    <t>21,475.5</t>
  </si>
  <si>
    <t>Emirates Group</t>
  </si>
  <si>
    <t>United Arab Emirates</t>
  </si>
  <si>
    <t>Aviation</t>
  </si>
  <si>
    <t>34,257.9</t>
  </si>
  <si>
    <t>5,191.2</t>
  </si>
  <si>
    <t>45,739.7</t>
  </si>
  <si>
    <t>20.3%</t>
  </si>
  <si>
    <t>Italy</t>
  </si>
  <si>
    <t>85,375.8</t>
  </si>
  <si>
    <t>7,587.3</t>
  </si>
  <si>
    <t>104.1%</t>
  </si>
  <si>
    <t>193,765.8</t>
  </si>
  <si>
    <t>-48</t>
  </si>
  <si>
    <t>Northrop Grumman</t>
  </si>
  <si>
    <t>349,585</t>
  </si>
  <si>
    <t>33,680</t>
  </si>
  <si>
    <t>-6.5%</t>
  </si>
  <si>
    <t>453,475</t>
  </si>
  <si>
    <t>87,693</t>
  </si>
  <si>
    <t>4,331</t>
  </si>
  <si>
    <t>87,007</t>
  </si>
  <si>
    <t>Hitachi</t>
  </si>
  <si>
    <t>184,992</t>
  </si>
  <si>
    <t>5,879</t>
  </si>
  <si>
    <t>35.2%</t>
  </si>
  <si>
    <t>285,196</t>
  </si>
  <si>
    <t>47,716</t>
  </si>
  <si>
    <t>12.9%</t>
  </si>
  <si>
    <t>3,782</t>
  </si>
  <si>
    <t>14.1%</t>
  </si>
  <si>
    <t>55,880</t>
  </si>
  <si>
    <t>44</t>
  </si>
  <si>
    <t>KDDI</t>
  </si>
  <si>
    <t>General Motors</t>
  </si>
  <si>
    <t>187,442</t>
  </si>
  <si>
    <t>6,008</t>
  </si>
  <si>
    <t>-40.7%</t>
  </si>
  <si>
    <t>279,761</t>
  </si>
  <si>
    <t>Honeywell International</t>
  </si>
  <si>
    <t>Industrial Technology</t>
  </si>
  <si>
    <t>George Weston</t>
  </si>
  <si>
    <t>Food Retail &amp; Consumer Goods</t>
  </si>
  <si>
    <t>44,975.6</t>
  </si>
  <si>
    <t>992.1</t>
  </si>
  <si>
    <t>35,776.6</t>
  </si>
  <si>
    <t>Glencore</t>
  </si>
  <si>
    <t>Mining &amp; Commodities Trading</t>
  </si>
  <si>
    <t>230,944</t>
  </si>
  <si>
    <t>6%</t>
  </si>
  <si>
    <t>-1,634</t>
  </si>
  <si>
    <t>-138.2%</t>
  </si>
  <si>
    <t>130,460</t>
  </si>
  <si>
    <t>-6.7%</t>
  </si>
  <si>
    <t>Salesforce</t>
  </si>
  <si>
    <t>Cloud Software</t>
  </si>
  <si>
    <t>81,716.2</t>
  </si>
  <si>
    <t>10.8%</t>
  </si>
  <si>
    <t>3,806.6</t>
  </si>
  <si>
    <t>25.6%</t>
  </si>
  <si>
    <t>1,640,668.9</t>
  </si>
  <si>
    <t>GSK</t>
  </si>
  <si>
    <t>40,083.5</t>
  </si>
  <si>
    <t>3,289.6</t>
  </si>
  <si>
    <t>-46.3%</t>
  </si>
  <si>
    <t>74,477.7</t>
  </si>
  <si>
    <t>Hanwha</t>
  </si>
  <si>
    <t>Conglomerate &amp; Defense</t>
  </si>
  <si>
    <t>40,807.3</t>
  </si>
  <si>
    <t>566.8</t>
  </si>
  <si>
    <t>94.6%</t>
  </si>
  <si>
    <t>170,650.4</t>
  </si>
  <si>
    <t>HCA Healthcare</t>
  </si>
  <si>
    <t>Healthcare</t>
  </si>
  <si>
    <t>70,603</t>
  </si>
  <si>
    <t>5,760</t>
  </si>
  <si>
    <t>59,513</t>
  </si>
  <si>
    <t>SAP</t>
  </si>
  <si>
    <t>Enterprise Software</t>
  </si>
  <si>
    <t>HDFC Bank</t>
  </si>
  <si>
    <t>55,708.6</t>
  </si>
  <si>
    <t>8,374.6</t>
  </si>
  <si>
    <t>8.2%</t>
  </si>
  <si>
    <t>514,129.9</t>
  </si>
  <si>
    <t>48</t>
  </si>
  <si>
    <t>Mondelez International</t>
  </si>
  <si>
    <t>Industrial &amp; Technology</t>
  </si>
  <si>
    <t>64,176.8</t>
  </si>
  <si>
    <t>-4.7%</t>
  </si>
  <si>
    <t>4,039</t>
  </si>
  <si>
    <t>88,630.4</t>
  </si>
  <si>
    <t>159,514</t>
  </si>
  <si>
    <t>14,806</t>
  </si>
  <si>
    <t>96,119</t>
  </si>
  <si>
    <t>Jerónimo Martins</t>
  </si>
  <si>
    <t>142,273.6</t>
  </si>
  <si>
    <t>5,482.9</t>
  </si>
  <si>
    <t>-28.4%</t>
  </si>
  <si>
    <t>205,323</t>
  </si>
  <si>
    <t>38,498</t>
  </si>
  <si>
    <t>5,705</t>
  </si>
  <si>
    <t>75,196</t>
  </si>
  <si>
    <t>HP</t>
  </si>
  <si>
    <t>53,559</t>
  </si>
  <si>
    <t>-0.3%</t>
  </si>
  <si>
    <t>2,775</t>
  </si>
  <si>
    <t>39,909</t>
  </si>
  <si>
    <t>145,717</t>
  </si>
  <si>
    <t>23,979</t>
  </si>
  <si>
    <t>3,017,048</t>
  </si>
  <si>
    <t>Hyundai Motor</t>
  </si>
  <si>
    <t>128,501.8</t>
  </si>
  <si>
    <t>9,186.2</t>
  </si>
  <si>
    <t>230,072.3</t>
  </si>
  <si>
    <t>Perusahaan Listrik Negara</t>
  </si>
  <si>
    <t>62,753</t>
  </si>
  <si>
    <t>6,023</t>
  </si>
  <si>
    <t>-19.7%</t>
  </si>
  <si>
    <t>137,175</t>
  </si>
  <si>
    <t>ICICI Bank</t>
  </si>
  <si>
    <t>34,849.2</t>
  </si>
  <si>
    <t>22.2%</t>
  </si>
  <si>
    <t>6,036.7</t>
  </si>
  <si>
    <t>309,272.8</t>
  </si>
  <si>
    <t>Intesa Sanpaolo</t>
  </si>
  <si>
    <t>Mitsubishi Heavy Industries</t>
  </si>
  <si>
    <t>Heavy Industry</t>
  </si>
  <si>
    <t>Inditex</t>
  </si>
  <si>
    <t>Fashion Retail</t>
  </si>
  <si>
    <t>41,593.5</t>
  </si>
  <si>
    <t>6.9%</t>
  </si>
  <si>
    <t>6,315.7</t>
  </si>
  <si>
    <t>36,089</t>
  </si>
  <si>
    <t>ING Group</t>
  </si>
  <si>
    <t>71,973.6</t>
  </si>
  <si>
    <t>19.2%</t>
  </si>
  <si>
    <t>5,768.4</t>
  </si>
  <si>
    <t>28.9%</t>
  </si>
  <si>
    <t>1,060,111.8</t>
  </si>
  <si>
    <t>Ingka Group</t>
  </si>
  <si>
    <t>Retail (IKEA)</t>
  </si>
  <si>
    <t>45,215.7</t>
  </si>
  <si>
    <t>870.9</t>
  </si>
  <si>
    <t>-45.5%</t>
  </si>
  <si>
    <t>63,700.5</t>
  </si>
  <si>
    <t>7.8%</t>
  </si>
  <si>
    <t>55,844.1</t>
  </si>
  <si>
    <t>9,371.7</t>
  </si>
  <si>
    <t>966,333.6</t>
  </si>
  <si>
    <t>2.5%</t>
  </si>
  <si>
    <t>Itau Unibanco Holding</t>
  </si>
  <si>
    <t>66,620.1</t>
  </si>
  <si>
    <t>7,624.1</t>
  </si>
  <si>
    <t>15%</t>
  </si>
  <si>
    <t>461,590.4</t>
  </si>
  <si>
    <t>-16</t>
  </si>
  <si>
    <t>96,587.7</t>
  </si>
  <si>
    <t>-0.5%</t>
  </si>
  <si>
    <t>5,774.3</t>
  </si>
  <si>
    <t>100,969.1</t>
  </si>
  <si>
    <t>42,261.3</t>
  </si>
  <si>
    <t>308.6</t>
  </si>
  <si>
    <t>79.3%</t>
  </si>
  <si>
    <t>31,767</t>
  </si>
  <si>
    <t>75,230</t>
  </si>
  <si>
    <t>-9.3%</t>
  </si>
  <si>
    <t>2,430.8</t>
  </si>
  <si>
    <t>30.8%</t>
  </si>
  <si>
    <t>1,982,451.5</t>
  </si>
  <si>
    <t>Jardine Matheson</t>
  </si>
  <si>
    <t>35,779</t>
  </si>
  <si>
    <t>-468</t>
  </si>
  <si>
    <t>-168.2%</t>
  </si>
  <si>
    <t>86,779</t>
  </si>
  <si>
    <t>Portugal</t>
  </si>
  <si>
    <t>36,189</t>
  </si>
  <si>
    <t>647.8</t>
  </si>
  <si>
    <t>15,838.7</t>
  </si>
  <si>
    <t>42</t>
  </si>
  <si>
    <t>Johnson &amp; Johnson</t>
  </si>
  <si>
    <t>Pharmaceuticals &amp; Healthcare</t>
  </si>
  <si>
    <t>88,821</t>
  </si>
  <si>
    <t>14,066</t>
  </si>
  <si>
    <t>-60%</t>
  </si>
  <si>
    <t>180,104</t>
  </si>
  <si>
    <t>JPMorgan Chase</t>
  </si>
  <si>
    <t>Banking &amp; Financial Services</t>
  </si>
  <si>
    <t>278,906</t>
  </si>
  <si>
    <t>58,471</t>
  </si>
  <si>
    <t>4,002,814</t>
  </si>
  <si>
    <t>38,820.5</t>
  </si>
  <si>
    <t>4,497.9</t>
  </si>
  <si>
    <t>112,590.7</t>
  </si>
  <si>
    <t>Kroger</t>
  </si>
  <si>
    <t>147,123</t>
  </si>
  <si>
    <t>2,665</t>
  </si>
  <si>
    <t>23.2%</t>
  </si>
  <si>
    <t>52,616</t>
  </si>
  <si>
    <t>Tata Motors</t>
  </si>
  <si>
    <t>L'Oréal</t>
  </si>
  <si>
    <t>Cosmetics</t>
  </si>
  <si>
    <t>47,028</t>
  </si>
  <si>
    <t>6,930.6</t>
  </si>
  <si>
    <t>58,348.9</t>
  </si>
  <si>
    <t>La Poste</t>
  </si>
  <si>
    <t>Postal Services</t>
  </si>
  <si>
    <t>37,384</t>
  </si>
  <si>
    <t>1,524.8</t>
  </si>
  <si>
    <t>174.4%</t>
  </si>
  <si>
    <t>794,638.6</t>
  </si>
  <si>
    <t>-12</t>
  </si>
  <si>
    <t>64,333.5</t>
  </si>
  <si>
    <t>269.5</t>
  </si>
  <si>
    <t>-50.6%</t>
  </si>
  <si>
    <t>44,436.8</t>
  </si>
  <si>
    <t>73,085.6</t>
  </si>
  <si>
    <t>5,647.9</t>
  </si>
  <si>
    <t>-16.8%</t>
  </si>
  <si>
    <t>1,135,642.5</t>
  </si>
  <si>
    <t>Lockheed Martin</t>
  </si>
  <si>
    <t>71,043</t>
  </si>
  <si>
    <t>5,336</t>
  </si>
  <si>
    <t>-22.9%</t>
  </si>
  <si>
    <t>55,617</t>
  </si>
  <si>
    <t>Lowe's</t>
  </si>
  <si>
    <t>83,674</t>
  </si>
  <si>
    <t>6,957</t>
  </si>
  <si>
    <t>-10%</t>
  </si>
  <si>
    <t>43,102</t>
  </si>
  <si>
    <t>Magna International</t>
  </si>
  <si>
    <t>42,836</t>
  </si>
  <si>
    <t>1,009</t>
  </si>
  <si>
    <t>31,039</t>
  </si>
  <si>
    <t>Mercadona</t>
  </si>
  <si>
    <t>38,505.3</t>
  </si>
  <si>
    <t>8.4%</t>
  </si>
  <si>
    <t>1,496.6</t>
  </si>
  <si>
    <t>37.2%</t>
  </si>
  <si>
    <t>15,532.8</t>
  </si>
  <si>
    <t>Mercedes-Benz Group</t>
  </si>
  <si>
    <t>157,450</t>
  </si>
  <si>
    <t>-4.9%</t>
  </si>
  <si>
    <t>11,038.2</t>
  </si>
  <si>
    <t>274,394.3</t>
  </si>
  <si>
    <t>-53</t>
  </si>
  <si>
    <t>13.2%</t>
  </si>
  <si>
    <t>164,501</t>
  </si>
  <si>
    <t>21.9%</t>
  </si>
  <si>
    <t>62,360</t>
  </si>
  <si>
    <t>59.5%</t>
  </si>
  <si>
    <t>276,054</t>
  </si>
  <si>
    <t>245,122</t>
  </si>
  <si>
    <t>15.7%</t>
  </si>
  <si>
    <t>88,136</t>
  </si>
  <si>
    <t>21.8%</t>
  </si>
  <si>
    <t>512,163</t>
  </si>
  <si>
    <t>Migros Group</t>
  </si>
  <si>
    <t>36,942.7</t>
  </si>
  <si>
    <t>3.9%</t>
  </si>
  <si>
    <t>475.9</t>
  </si>
  <si>
    <t>131.1%</t>
  </si>
  <si>
    <t>90,530.9</t>
  </si>
  <si>
    <t>122,127.4</t>
  </si>
  <si>
    <t>-9.8%</t>
  </si>
  <si>
    <t>6,236.4</t>
  </si>
  <si>
    <t>143,412.5</t>
  </si>
  <si>
    <t>Mitsubishi Electric</t>
  </si>
  <si>
    <t>36,221.2</t>
  </si>
  <si>
    <t>2,125.9</t>
  </si>
  <si>
    <t>42,535.7</t>
  </si>
  <si>
    <t>-23</t>
  </si>
  <si>
    <t>32,977.2</t>
  </si>
  <si>
    <t>1,610.1</t>
  </si>
  <si>
    <t>44,425.4</t>
  </si>
  <si>
    <t>96,183.6</t>
  </si>
  <si>
    <t>5,906.1</t>
  </si>
  <si>
    <t>-19.8%</t>
  </si>
  <si>
    <t>112,159</t>
  </si>
  <si>
    <t>59,237.3</t>
  </si>
  <si>
    <t>5,808.3</t>
  </si>
  <si>
    <t>23.6%</t>
  </si>
  <si>
    <t>1,890,188.8</t>
  </si>
  <si>
    <t>36,441</t>
  </si>
  <si>
    <t>4,611</t>
  </si>
  <si>
    <t>68,497</t>
  </si>
  <si>
    <t>Morgan Stanley</t>
  </si>
  <si>
    <t>Investment Banking</t>
  </si>
  <si>
    <t>107,285</t>
  </si>
  <si>
    <t>13,390</t>
  </si>
  <si>
    <t>47.4%</t>
  </si>
  <si>
    <t>1,215,071</t>
  </si>
  <si>
    <t>NatWest Group</t>
  </si>
  <si>
    <t>37,460.7</t>
  </si>
  <si>
    <t>6,134.7</t>
  </si>
  <si>
    <t>886,754.8</t>
  </si>
  <si>
    <t>36</t>
  </si>
  <si>
    <t>SNCF Group</t>
  </si>
  <si>
    <t>51,362</t>
  </si>
  <si>
    <t>5,700</t>
  </si>
  <si>
    <t>12.4%</t>
  </si>
  <si>
    <t>38,110</t>
  </si>
  <si>
    <t>82,871.1</t>
  </si>
  <si>
    <t>-4,400.9</t>
  </si>
  <si>
    <t>-249.1%</t>
  </si>
  <si>
    <t>126,920.1</t>
  </si>
  <si>
    <t>41,033</t>
  </si>
  <si>
    <t>4,174</t>
  </si>
  <si>
    <t>103%</t>
  </si>
  <si>
    <t>49,359</t>
  </si>
  <si>
    <t>51,722</t>
  </si>
  <si>
    <t>11,941</t>
  </si>
  <si>
    <t>-19.6%</t>
  </si>
  <si>
    <t>102,246</t>
  </si>
  <si>
    <t>Novo Nordisk</t>
  </si>
  <si>
    <t>42,110.8</t>
  </si>
  <si>
    <t>24.9%</t>
  </si>
  <si>
    <t>14,644.1</t>
  </si>
  <si>
    <t>64,681.2</t>
  </si>
  <si>
    <t>101</t>
  </si>
  <si>
    <t>89,900</t>
  </si>
  <si>
    <t>6,559.9</t>
  </si>
  <si>
    <t>200,563.6</t>
  </si>
  <si>
    <t>52,961</t>
  </si>
  <si>
    <t>10,467</t>
  </si>
  <si>
    <t>23.1%</t>
  </si>
  <si>
    <t>140,976</t>
  </si>
  <si>
    <t>44,781</t>
  </si>
  <si>
    <t>-6.1%</t>
  </si>
  <si>
    <t>2,541.4</t>
  </si>
  <si>
    <t>107,552.3</t>
  </si>
  <si>
    <t>Panasonic Holdings</t>
  </si>
  <si>
    <t>55,483.8</t>
  </si>
  <si>
    <t>2,402.2</t>
  </si>
  <si>
    <t>62,333.7</t>
  </si>
  <si>
    <t>91,854</t>
  </si>
  <si>
    <t>0.4%</t>
  </si>
  <si>
    <t>9,578</t>
  </si>
  <si>
    <t>99,467</t>
  </si>
  <si>
    <t>Indonesia</t>
  </si>
  <si>
    <t>34,437.3</t>
  </si>
  <si>
    <t>1,118</t>
  </si>
  <si>
    <t>-22.7%</t>
  </si>
  <si>
    <t>110,153.8</t>
  </si>
  <si>
    <t>Petronas</t>
  </si>
  <si>
    <t>Malaysia</t>
  </si>
  <si>
    <t>69,973.9</t>
  </si>
  <si>
    <t>10,738.9</t>
  </si>
  <si>
    <t>-34.2%</t>
  </si>
  <si>
    <t>171,592</t>
  </si>
  <si>
    <t>63,627</t>
  </si>
  <si>
    <t>8,031</t>
  </si>
  <si>
    <t>279%</t>
  </si>
  <si>
    <t>213,396</t>
  </si>
  <si>
    <t>Philip Morris International</t>
  </si>
  <si>
    <t>Tobacco</t>
  </si>
  <si>
    <t>37,878</t>
  </si>
  <si>
    <t>7,057</t>
  </si>
  <si>
    <t>61,784</t>
  </si>
  <si>
    <t>Procter &amp; Gamble</t>
  </si>
  <si>
    <t>84,039</t>
  </si>
  <si>
    <t>14,879</t>
  </si>
  <si>
    <t>122,370</t>
  </si>
  <si>
    <t>60,177</t>
  </si>
  <si>
    <t>4,635</t>
  </si>
  <si>
    <t>37,601</t>
  </si>
  <si>
    <t>Renault</t>
  </si>
  <si>
    <t>60,811.1</t>
  </si>
  <si>
    <t>813.2</t>
  </si>
  <si>
    <t>-65.8%</t>
  </si>
  <si>
    <t>133,947</t>
  </si>
  <si>
    <t>REWE Group</t>
  </si>
  <si>
    <t>Retail &amp; Grocery</t>
  </si>
  <si>
    <t>95,044.2</t>
  </si>
  <si>
    <t>1,057</t>
  </si>
  <si>
    <t>45.5%</t>
  </si>
  <si>
    <t>43,864.6</t>
  </si>
  <si>
    <t>Rio Tinto Group</t>
  </si>
  <si>
    <t>53,658</t>
  </si>
  <si>
    <t>11,552</t>
  </si>
  <si>
    <t>14.9%</t>
  </si>
  <si>
    <t>102,786</t>
  </si>
  <si>
    <t>Roche Group</t>
  </si>
  <si>
    <t>70,861.1</t>
  </si>
  <si>
    <t>9,400.1</t>
  </si>
  <si>
    <t>-26.6%</t>
  </si>
  <si>
    <t>112,363.1</t>
  </si>
  <si>
    <t>98,742.8</t>
  </si>
  <si>
    <t>11,929.2</t>
  </si>
  <si>
    <t>1,557,918.1</t>
  </si>
  <si>
    <t>80,738</t>
  </si>
  <si>
    <t>4,774</t>
  </si>
  <si>
    <t>49.4%</t>
  </si>
  <si>
    <t>162,861</t>
  </si>
  <si>
    <t>35</t>
  </si>
  <si>
    <t>Saint-Gobain</t>
  </si>
  <si>
    <t>50,363.4</t>
  </si>
  <si>
    <t>3,075.6</t>
  </si>
  <si>
    <t>5.4%</t>
  </si>
  <si>
    <t>63,903.5</t>
  </si>
  <si>
    <t>37,895</t>
  </si>
  <si>
    <t>6,197</t>
  </si>
  <si>
    <t>49.8%</t>
  </si>
  <si>
    <t>102,928</t>
  </si>
  <si>
    <t>34</t>
  </si>
  <si>
    <t>Electronics &amp; Semiconductors</t>
  </si>
  <si>
    <t>220,636.7</t>
  </si>
  <si>
    <t>24,655.4</t>
  </si>
  <si>
    <t>122.5%</t>
  </si>
  <si>
    <t>348,381.7</t>
  </si>
  <si>
    <t>53,333</t>
  </si>
  <si>
    <t>6,012.8</t>
  </si>
  <si>
    <t>137,500.5</t>
  </si>
  <si>
    <t>-2%</t>
  </si>
  <si>
    <t>-36</t>
  </si>
  <si>
    <t>36,959</t>
  </si>
  <si>
    <t>7%</t>
  </si>
  <si>
    <t>3,378.4</t>
  </si>
  <si>
    <t>-49.1%</t>
  </si>
  <si>
    <t>76,746.7</t>
  </si>
  <si>
    <t>Schlumberger</t>
  </si>
  <si>
    <t>Oilfield Services</t>
  </si>
  <si>
    <t>36,289</t>
  </si>
  <si>
    <t>9.5%</t>
  </si>
  <si>
    <t>4,461</t>
  </si>
  <si>
    <t>48,935</t>
  </si>
  <si>
    <t>78,509.4</t>
  </si>
  <si>
    <t>1,134.9</t>
  </si>
  <si>
    <t>-27.7%</t>
  </si>
  <si>
    <t>75,569.9</t>
  </si>
  <si>
    <t>Siemens Energy</t>
  </si>
  <si>
    <t>Energy Technology</t>
  </si>
  <si>
    <t>37,360.8</t>
  </si>
  <si>
    <t>12.6%</t>
  </si>
  <si>
    <t>1,283.5</t>
  </si>
  <si>
    <t>56,696.8</t>
  </si>
  <si>
    <t>92,973.3</t>
  </si>
  <si>
    <t>-8.8%</t>
  </si>
  <si>
    <t>-948</t>
  </si>
  <si>
    <t>145,558.2</t>
  </si>
  <si>
    <t>46,884.4</t>
  </si>
  <si>
    <t>1,683.8</t>
  </si>
  <si>
    <t>18.9%</t>
  </si>
  <si>
    <t>130,079.7</t>
  </si>
  <si>
    <t>110,647.8</t>
  </si>
  <si>
    <t>11.6%</t>
  </si>
  <si>
    <t>4,542</t>
  </si>
  <si>
    <t>68.5%</t>
  </si>
  <si>
    <t>1,629,265.9</t>
  </si>
  <si>
    <t>47,517.4</t>
  </si>
  <si>
    <t>7,565.6</t>
  </si>
  <si>
    <t>300,311.9</t>
  </si>
  <si>
    <t>84,995.5</t>
  </si>
  <si>
    <t>-5.7%</t>
  </si>
  <si>
    <t>7,488.7</t>
  </si>
  <si>
    <t>235,460.5</t>
  </si>
  <si>
    <t>Standard Chartered</t>
  </si>
  <si>
    <t>41,928</t>
  </si>
  <si>
    <t>4,050</t>
  </si>
  <si>
    <t>16.8%</t>
  </si>
  <si>
    <t>849,688</t>
  </si>
  <si>
    <t>Starbucks</t>
  </si>
  <si>
    <t>Coffeehouse &amp; Retail</t>
  </si>
  <si>
    <t>36,176.2</t>
  </si>
  <si>
    <t>0.6%</t>
  </si>
  <si>
    <t>3,760.9</t>
  </si>
  <si>
    <t>31,339.3</t>
  </si>
  <si>
    <t>78,472.4</t>
  </si>
  <si>
    <t>9.2%</t>
  </si>
  <si>
    <t>9,175.4</t>
  </si>
  <si>
    <t>856,121.1</t>
  </si>
  <si>
    <t>169,652.9</t>
  </si>
  <si>
    <t>-17.2%</t>
  </si>
  <si>
    <t>5,918.7</t>
  </si>
  <si>
    <t>-70.6%</t>
  </si>
  <si>
    <t>214,958.6</t>
  </si>
  <si>
    <t>47,834.5</t>
  </si>
  <si>
    <t>3,685.7</t>
  </si>
  <si>
    <t>77,598</t>
  </si>
  <si>
    <t>-13.8%</t>
  </si>
  <si>
    <t>Suzuki Motor</t>
  </si>
  <si>
    <t>38,211.8</t>
  </si>
  <si>
    <t>2,729.2</t>
  </si>
  <si>
    <t>24.4%</t>
  </si>
  <si>
    <t>39,987</t>
  </si>
  <si>
    <t>78,844</t>
  </si>
  <si>
    <t>1,955</t>
  </si>
  <si>
    <t>10.4%</t>
  </si>
  <si>
    <t>24,917</t>
  </si>
  <si>
    <t>106,566</t>
  </si>
  <si>
    <t>4,091</t>
  </si>
  <si>
    <t>57,769</t>
  </si>
  <si>
    <t>52,753.9</t>
  </si>
  <si>
    <t>3,292.2</t>
  </si>
  <si>
    <t>-13.2%</t>
  </si>
  <si>
    <t>44,319.8</t>
  </si>
  <si>
    <t>Telefónica</t>
  </si>
  <si>
    <t>44,679.4</t>
  </si>
  <si>
    <t>104,060.9</t>
  </si>
  <si>
    <t>97,690</t>
  </si>
  <si>
    <t>7,091</t>
  </si>
  <si>
    <t>-52.7%</t>
  </si>
  <si>
    <t>122,070</t>
  </si>
  <si>
    <t>42,879</t>
  </si>
  <si>
    <t>6,335</t>
  </si>
  <si>
    <t>97,321</t>
  </si>
  <si>
    <t>56,360</t>
  </si>
  <si>
    <t>4%</t>
  </si>
  <si>
    <t>4,864</t>
  </si>
  <si>
    <t>31,749</t>
  </si>
  <si>
    <t>88,304.2</t>
  </si>
  <si>
    <t>17.6%</t>
  </si>
  <si>
    <t>6,499</t>
  </si>
  <si>
    <t>-18.7%</t>
  </si>
  <si>
    <t>1,479,124</t>
  </si>
  <si>
    <t>Toyota Motor</t>
  </si>
  <si>
    <t>315,110.2</t>
  </si>
  <si>
    <t>31,257.9</t>
  </si>
  <si>
    <t>624,466.9</t>
  </si>
  <si>
    <t>67,628.4</t>
  </si>
  <si>
    <t>2,378</t>
  </si>
  <si>
    <t>47,084.3</t>
  </si>
  <si>
    <t>53,309</t>
  </si>
  <si>
    <t>800</t>
  </si>
  <si>
    <t>37,100</t>
  </si>
  <si>
    <t>42,712</t>
  </si>
  <si>
    <t>6,299</t>
  </si>
  <si>
    <t>678,318</t>
  </si>
  <si>
    <t>79,547</t>
  </si>
  <si>
    <t>-9,520</t>
  </si>
  <si>
    <t>45,567</t>
  </si>
  <si>
    <t>87,150</t>
  </si>
  <si>
    <t>5,085</t>
  </si>
  <si>
    <t>-81.7%</t>
  </si>
  <si>
    <t>1,565,028</t>
  </si>
  <si>
    <t>43</t>
  </si>
  <si>
    <t>49,962.2</t>
  </si>
  <si>
    <t>10,510.4</t>
  </si>
  <si>
    <t>811,766.4</t>
  </si>
  <si>
    <t>65,708.9</t>
  </si>
  <si>
    <t>6,211.7</t>
  </si>
  <si>
    <t>-11.4%</t>
  </si>
  <si>
    <t>82,574</t>
  </si>
  <si>
    <t>United Airlines Holdings</t>
  </si>
  <si>
    <t>57,063</t>
  </si>
  <si>
    <t>3,149</t>
  </si>
  <si>
    <t>74,083</t>
  </si>
  <si>
    <t>91,070</t>
  </si>
  <si>
    <t>5,782</t>
  </si>
  <si>
    <t>70,070</t>
  </si>
  <si>
    <t>134,788</t>
  </si>
  <si>
    <t>17,506</t>
  </si>
  <si>
    <t>50.7%</t>
  </si>
  <si>
    <t>384,711</t>
  </si>
  <si>
    <t>44,427.3</t>
  </si>
  <si>
    <t>-4,473.1</t>
  </si>
  <si>
    <t>-461.8%</t>
  </si>
  <si>
    <t>138,731.7</t>
  </si>
  <si>
    <t>Volvo</t>
  </si>
  <si>
    <t>Sweden</t>
  </si>
  <si>
    <t>Automotive &amp; Heavy Vehicles</t>
  </si>
  <si>
    <t>49,826.5</t>
  </si>
  <si>
    <t>4,765.8</t>
  </si>
  <si>
    <t>64,681.6</t>
  </si>
  <si>
    <t>-25</t>
  </si>
  <si>
    <t>Walgreens Boots Alliance</t>
  </si>
  <si>
    <t>Pharmacy Retail</t>
  </si>
  <si>
    <t>147,658</t>
  </si>
  <si>
    <t>-8,636</t>
  </si>
  <si>
    <t>81,037</t>
  </si>
  <si>
    <t>Walmart</t>
  </si>
  <si>
    <t>680,985</t>
  </si>
  <si>
    <t>19,436</t>
  </si>
  <si>
    <t>25.3%</t>
  </si>
  <si>
    <t>260,823</t>
  </si>
  <si>
    <t>91,361</t>
  </si>
  <si>
    <t>4,972</t>
  </si>
  <si>
    <t>111.2%</t>
  </si>
  <si>
    <t>196,219</t>
  </si>
  <si>
    <t>125,397</t>
  </si>
  <si>
    <t>19,722</t>
  </si>
  <si>
    <t>1,929,845</t>
  </si>
  <si>
    <t>44,746.4</t>
  </si>
  <si>
    <t>-11.2%</t>
  </si>
  <si>
    <t>-1,246.9</t>
  </si>
  <si>
    <t>40,702</t>
  </si>
  <si>
    <t>Emp Count</t>
  </si>
  <si>
    <t>MSK RISK</t>
  </si>
  <si>
    <t>EDBA</t>
  </si>
  <si>
    <t>CBG</t>
  </si>
  <si>
    <t>Total Score</t>
  </si>
  <si>
    <t>Rev % Change</t>
  </si>
  <si>
    <t>MEAN</t>
  </si>
  <si>
    <t>BIS Score</t>
  </si>
  <si>
    <t>GPTW Status</t>
  </si>
  <si>
    <t>Named Wellbeing Program</t>
  </si>
  <si>
    <t>Key Evidence (BIS)</t>
  </si>
  <si>
    <t>EDBA Score</t>
  </si>
  <si>
    <t>Classification</t>
  </si>
  <si>
    <t>Competitor name</t>
  </si>
  <si>
    <t>Competitive category (product)</t>
  </si>
  <si>
    <t>Key evidence</t>
  </si>
  <si>
    <t>Source</t>
  </si>
  <si>
    <t>Ranked Total Score</t>
  </si>
  <si>
    <t>NOT FOUND</t>
  </si>
  <si>
    <t>NO</t>
  </si>
  <si>
    <t>UPS's 2023 GRI report and investor disclosures reference generic employee health and wellbeing commitments, but no named wellbeing program is documented in public ESG filings from 2023 onward.</t>
  </si>
  <si>
    <t>Adjacent</t>
  </si>
  <si>
    <t>N/A</t>
  </si>
  <si>
    <t>UPSers portal confirms EAP with virtual therapy/counselling access; specific therapy vendor unnamed — adjacent, flagged for follow-up. Upgraded from EDBA=0.</t>
  </si>
  <si>
    <t>https://about.ups.com/us/en/our-company/great-employer/real-employee-benefits.html</t>
  </si>
  <si>
    <t>YES – "Wellhub" programme (corporate wellness digital platform partnership, operating since 2019 and expanded; documented in Tesco sustainability factsheets, investor materials, and press)</t>
  </si>
  <si>
    <t>Tesco's sustainability factsheets confirm the Wellhub programme structured around three wellbeing pillars (healthy body, healthy mind, nutrition), covering 300,000+ UK employees; the Yulife virtual GP service was introduced in 2024.</t>
  </si>
  <si>
    <t>Wellhub is a fitness/wellness aggregator and Yulife is a virtual GP service; neither is a named Sword competitor for Thrive (MSK) or Mind (MH).</t>
  </si>
  <si>
    <t>Original BIS &amp; EDBA research; https://employeebenefits.co.uk/healthcare-and-wellbeing/tesco-introduces-virtual-gp-service-and-expands-wellbeing-support/267369.article</t>
  </si>
  <si>
    <t>JBS's 2023 and 2024 Sustainability Reports address ESG broadly (labor rights, safety, GHG) but do not identify a specifically named/branded employee wellbeing program in publicly available search results.</t>
  </si>
  <si>
    <t>Greenfield</t>
  </si>
  <si>
    <t>YES – subsidiary only, flagged (Siemens Healthineers — a publicly listed subsidiary — holds GPTW certification in the US for 5 consecutive years as of 2023; Siemens AG parent entity certification not confirmed)</t>
  </si>
  <si>
    <t>Siemens AG's 2024 Sustainability Report and dedicated mental health page confirm the company addresses occupational health and mental well-being, but no specifically named/branded wellbeing program is identified for the Siemens AG parent entity.</t>
  </si>
  <si>
    <t>YES – "Act For Change" programme (transformation plan with a documented people/health pillar addressing psychosocial risks, musculoskeletal disorders, occupational health — documented in Carrefour's sustainability documents)</t>
  </si>
  <si>
    <t>Carrefour's 2024 sustainability documentation explicitly names the "Act For Change programme" and describes its health/safety pillar, including the "Es@nté" digital tool deployed across France for occupational health management.</t>
  </si>
  <si>
    <t>YES – subsidiary only, flagged (DHL Express certified as #1 World's Best Workplace 2023 and 2024; parent entity Deutsche Post AG/DHL Group holding not verified as GPTW certified at the holding level)</t>
  </si>
  <si>
    <t>YES – "Health &amp; Wellbeing" program (formally named, with "Being Well, Working Well, Belonging" framework)</t>
  </si>
  <si>
    <t>DHL Group's published Health &amp; Wellbeing Policy Statement and 2023 ESG Presentation formally document a Group-wide "Health &amp; Wellbeing" program with a named three-pillar framework and Group-level policy governance.</t>
  </si>
  <si>
    <t>YES – "Betriebliches Gesundheitsmanagement" (BGM) / Company Health Management</t>
  </si>
  <si>
    <t>Deutsche Bahn's 2023 Integrated Report explicitly documents a formal company health management system (BGM) providing "more than 100 different offers" across prevention, health promotion, and crisis support, named and governed as a Group program.</t>
  </si>
  <si>
    <t>YES – entity confirmed (Accenture ranked #4 on World's Best Workplaces 2025 by Great Place to Work at entity level; ranked #5 on Fortune 100 Best Companies to Work For 2023; consistently GPTW-certified at entity level)</t>
  </si>
  <si>
    <t>YES – Net Better Off (named global people strategy, documented in ESG reports and GPTW materials); Total Well-Being (sub-framework covering physical, mental, financial, social, and work-life wellbeing); Mental Health Ally Network (named internal programme)</t>
  </si>
  <si>
    <t>Accenture's named 'net better off' people strategy with a 'Total Well-Being' framework and Mental Health Ally Network is consistently referenced in ESG reports, GPTW recognition materials, and Fortune articles; Accenture maintains a Chief Health Officer role.</t>
  </si>
  <si>
    <t>No named employer-sponsored third-party digital health platform (Lyra, Spring Health, Hinge Health, SilverCloud, etc.) confirmed in Accenture's public benefit disclosures; wellbeing delivered through in-house EAP and the Mental Health Ally Network.</t>
  </si>
  <si>
    <t>https://fortune.com/company/accenture/worlds-most-admired-companies | https://www.greatplacetowork.com/resources/blog/how-best-workplaces-are-creating-more-well-being-for-employees-in-2024 | https://fortune.com/2023/10/11/walmart-accenture-levi-strauss-etsy-employee-mental-health</t>
  </si>
  <si>
    <t>YES – subsidiary/regional only, flagged (2024 certifications confirmed for UAE, KSA, Morocco; World's Best Workplaces 2022 was at parent level but no parent-entity confirmation found for 2023–2025)</t>
  </si>
  <si>
    <t>YES – "Nestlé Roadmap for Employee Health and Well-being" / "2024-2026 Employee Health Roadmap" (documented on nestle.com sustainability page and in 2023 CSV Sustainability Report)</t>
  </si>
  <si>
    <t>Nestlé's own sustainability page confirms a "Nestlé Roadmap for Employee Health and Well-being" structured around physical, mental, financial, and social health dimensions, with the "Nestlé Employee Health &amp; Wellbeing Council" launched in 2023.</t>
  </si>
  <si>
    <t>NutriLearn is an internal nutrition education platform, not a clinical MSK or MH solution; no Sword competitor identified.</t>
  </si>
  <si>
    <t>Original BIS &amp; EDBA research; https://www.nestle.com/sustainability/human-rights/safety-health-work</t>
  </si>
  <si>
    <t>FedEx's ESG/CSR reporting (DEF 14A, CSR platform documents) references general employee health care programs and a "Safety Above All" culture, but no distinctly named and branded Group-level employee wellbeing program is documented in 2023-onward public ESG filings.</t>
  </si>
  <si>
    <t>Shall We Talk About Wellbeing' online digital resource centre confirmed in Singapore press release — wellness content portal, not a clinical competitor.</t>
  </si>
  <si>
    <t>https://newsroom.fedex.com/newsroom/amea/fedex-recognised-for-being-a-mental-health-friendly-workplace-for-fourth-consecutive-year</t>
  </si>
  <si>
    <t>TJX's corporate responsibility page references 'well-being initiatives' and health/wellness benefits generically; no standalone named wellbeing programme identified in official ESG disclosures.</t>
  </si>
  <si>
    <t>TJX's official health &amp; well-being page explicitly lists 'digital mental health support' as an employer-provided benefit; vendor name not disclosed, so cannot be confirmed as a Sword competitor — defaulted to Adjacent (+1).</t>
  </si>
  <si>
    <t>https://www.tjx.com/corporate-responsibility/workplace/health-well-being</t>
  </si>
  <si>
    <t>YES – pep+ (PepsiCo Positive — named ESG strategy; Human Sustainability pillar explicitly covering employee wellbeing, health, and safety documented in official ESG reports)</t>
  </si>
  <si>
    <t>PepsiCo's 'pep+' is a named, documented ESG strategy with a 'Human Sustainability' pillar covering employee wellbeing, confirmed in official ESG reports and sustainability disclosures.</t>
  </si>
  <si>
    <t>PepsiCo benefits materials confirm employer-sponsored telemedicine and digital EAP access for employees; no named direct Sword competitor confirmed in public sources.</t>
  </si>
  <si>
    <t>https://www.pepsico.com/our-impact/esg-topics-a-z | PepsiCo ESG Summary 2023 | https://www.pepsico.com/our-impact/sustainability</t>
  </si>
  <si>
    <t>YES – Global Well-Being Week (Disney hosted first employee Global Well-Being Week spotlighting well-being resources); Disney won BGH Best Employers Excellence in Health &amp; Well-Being Award in 2023</t>
  </si>
  <si>
    <t>Disney's Life at Disney blog and Impact site document the first employee 'Global Well-Being Week' and multiple on-demand wellbeing apps and platforms for employees; also received BGH Best Employers award in 2023.</t>
  </si>
  <si>
    <t>Official Disney careers/benefits pages confirm employer-provided Employee Assistance Program (EAP) with counseling and digital support services; no named Sword competitor tool confirmed.</t>
  </si>
  <si>
    <t>https://jobs.disneycareers.com/benefits; Disney 2024 Proxy Statement</t>
  </si>
  <si>
    <t>YES – 'Be Well Program' (explicitly named EAP/mental health programme confirmed on citibenefits.com); also 'Live Well at Citi Program' named for broader wellbeing resources including Rethink digital mindfulness tools</t>
  </si>
  <si>
    <t>Citigroup's employee benefits site citibenefits.com explicitly names 'Be Well Program' as the EAP and 'Live Well at Citi Program' as the broader wellbeing initiative, both documented in 2023 benefits materials.</t>
  </si>
  <si>
    <t>Official Citi benefits pages confirm Citi Health Connect (digital navigation platform) and EAP as employer-sponsored benefits; Citi Health Connect is a benefits navigation tool (adjacent), not a Sword competitor.</t>
  </si>
  <si>
    <t>https://www.citigroup.com/global/en/communities/employee-benefits.html; Citi ESG Report 2024</t>
  </si>
  <si>
    <t>YES – entity confirmed (Microsoft ranked on Fortune 100 Best Companies to Work For via Great Place to Work; confirmed across multiple markets including Great Place to Work Jordan 2023 and global Best Workplaces lists)</t>
  </si>
  <si>
    <t>YES – 'Thrive Global' platform (explicitly named as Microsoft's global wellbeing platform on usbenefits.microsoft.com: 'Welcome to our global wellbeing platform, Thrive Global!'); also 'Perks+' named reimbursement programme</t>
  </si>
  <si>
    <t>Microsoft's official US benefits site explicitly names 'Thrive Global' as the global wellbeing platform for all employees; Microsoft holds multiple GPTW certifications globally and appears on Best Workplaces lists; entity-level confirmation verified.</t>
  </si>
  <si>
    <t>Competitor</t>
  </si>
  <si>
    <t>Spring Health</t>
  </si>
  <si>
    <t>MH (Mind)</t>
  </si>
  <si>
    <t>Official Microsoft US benefits page (usbenefits.microsoft.com) states: 'Spring Health is our confidential, free, short-term counseling, work-life resources and referral provider (EAP)' with up to 24 free therapy sessions per year; Headspace also confirmed employer-sponsored on the same page.</t>
  </si>
  <si>
    <t>https://usbenefits.microsoft.com/us/en/microsoft-cares.html</t>
  </si>
  <si>
    <t>YES – 'Life Event Services' (LES — explicitly named in Bank of America's 2023 DEF 14A proxy as a unique named support programme); 'Thrive Global' confirmed as a named digital resource in 2023 proxy</t>
  </si>
  <si>
    <t>Bank of America's 2023 DEF 14A proxy explicitly names 'Life Event Services (LES)' as a unique named employee programme; also explicitly names 'Thrive Global' as a digital wellbeing resource in 2023 proxy.</t>
  </si>
  <si>
    <t>Official Bank of America benefits pages confirm Teladoc-based telemedicine and EAP as employer-sponsored benefits; no named Sword competitor tools confirmed.</t>
  </si>
  <si>
    <t>https://careers.bankofamerica.com/en-us/benefits; Bank of America 2024 ESG Performance Report</t>
  </si>
  <si>
    <t>YES – Sonder (digital wellbeing platform partnership)</t>
  </si>
  <si>
    <t>Woolworths Group's sustainability page explicitly names Sonder as its 24/7 safety, mental health, and physical wellbeing partner providing app-based support to all team members and their immediate families, documented in sustainability reporting.</t>
  </si>
  <si>
    <t>Sonder is an Australian digital safety/wellbeing app not on the Sword competitor list for Thrive or Mind; its safety-response features further differentiate it.</t>
  </si>
  <si>
    <t>Original BIS &amp; EDBA research; https://www.woolworthsgroup.com.au/au/en/our-impact/sustainability/People/team-wellbeing.html</t>
  </si>
  <si>
    <t>YES – subsidiary only, flagged (HCA Healthcare Gulf Coast Division certified; HCA Healthcare, Inc. parent entity not confirmed at holding level)</t>
  </si>
  <si>
    <t>YES – "Nurse Care" and "Optum Wellbeing"</t>
  </si>
  <si>
    <t>HCA Healthcare's 2025 Impact Report (covering 2024) explicitly names "Nurse Care" (24/7 mental health program for nurses) and "Optum Wellbeing" (virtual counseling) as distinct, branded employee wellbeing initiatives.</t>
  </si>
  <si>
    <t>Talkspace (employer program)</t>
  </si>
  <si>
    <t>HCA Healthcare internal magazine confirms Optum Wellbeing counselling sessions accessible 'via the Talkspace app' — employer-procured Talkspace delivery is a listed Mind competitor.</t>
  </si>
  <si>
    <t>https://magazine.hcahealthcare.com/communities/much-more-than-a-paycheck/</t>
  </si>
  <si>
    <t>YES – My Body / My Mind / My Job / My Community / My Resources (5-pillar wellbeing framework)</t>
  </si>
  <si>
    <t>Stellantis's corporate website documents a named 5-pillar wellbeing framework across physical, mental, career, social, and financial dimensions, confirmed in 2023 CSR reporting.</t>
  </si>
  <si>
    <t>Stellantis wellbeing page confirms employer-sponsored EAP, mental health surveys, and mental health resource access; no named direct Sword competitor (Hinge Health, Lyra, etc.) identified in public disclosures.</t>
  </si>
  <si>
    <t>https://www.stellantis.com/en/sustainability/engaging-our-stakeholders/employees/ensuring-a-safe-and-healthy-workplace | https://www.stocktitan.net/news/STLA/employee-health-and-well-being-fuels-dyp55ufgmnzy.html</t>
  </si>
  <si>
    <t>YES – Well Choice (flexible welfare/benefits programme, Japan)</t>
  </si>
  <si>
    <t>Toyota's corporate history site and Sustainability Data Book confirm named flexible welfare programme 'Well Choice' introduced in 2000 and ongoing health management programmes including mental health support.</t>
  </si>
  <si>
    <t>A dedicated MDLIVE portal at members.mdlive.com/toyota confirms employer-sponsored telemedicine for Toyota Benefits (North America); MDLIVE is a telemedicine platform, not a direct Sword MSK or mental health competitor.</t>
  </si>
  <si>
    <t>https://members.mdlive.com/toyota/how_it_works | https://www.toyota-global.com/company/history_of_toyota/75years/data/company_information/personnel/welfare/outline.html | https://global.toyota/pages/global_toyota/sustainability/report/sdb/sdb24_en.pdf</t>
  </si>
  <si>
    <t>YES – 365 Get Healthy Here</t>
  </si>
  <si>
    <t>365 Get Healthy Here' is a named, documented employee wellness programme confirmed in Walgreens' official Summary Plan Description, benefits materials, and corporate career pages, covering health tracking, digital support, counseling, and tobacco cessation.</t>
  </si>
  <si>
    <t>Walgreens '365 Get Healthy Here' programme explicitly includes Care Now digital support/counseling and ClassPass fitness streaming as employer-provided benefits; Care Now is a digital EAP/counseling service, not a dedicated enterprise mental health platform on the Sword competitor list.</t>
  </si>
  <si>
    <t>https://www.thehumancapitalhub.com/articles/walgreens-employee-benefits | https://cache.hacontent.com/ybr/R516/01040_ybr_ybrfndt/downloads/365HEALTHYHERE.pdf | https://corporate.walgreens.com/?page_id=10596</t>
  </si>
  <si>
    <t>YES – entity confirmed (GPTW-certified 2025; Target references certification in official pay and benefits fact sheet)</t>
  </si>
  <si>
    <t>YES – Target Forward (ESG strategy with people/wellbeing pillar); CirrusMD (24/7 virtual care platform, employer-sponsored); Bullseye Health Spot (maternity support programme); Accordant Care Programme; Onduo Diabetes Management</t>
  </si>
  <si>
    <t>Target's ESG strategy 'Target Forward' includes named wellbeing programmes; GPTW certification confirmed 2025 at operating entity level; multiple named condition-specific programmes and a 24/7 virtual care platform documented on official careers and benefits pages.</t>
  </si>
  <si>
    <t>Target's official benefits materials confirm CirrusMD virtual care platform employer-sponsored for all US team members 24/7 at no cost; no named direct Sword competitor (Hinge Health, Lyra, Spring Health, etc.) identified.</t>
  </si>
  <si>
    <t>https://corporate.target.com/press/fact-sheet/2025/12/target-pay-and-benefits | https://www.thehumancapitalhub.com/articles/target-employee-benefits-and-perks</t>
  </si>
  <si>
    <t>YES – entity confirmed (Walmart US and Sam's Club certified Great Place to Work May 2023 at US operating entity level)</t>
  </si>
  <si>
    <t>YES – Me@Walmart (digital associate app); physical/emotional/financial wellbeing framework documented in ESG reporting</t>
  </si>
  <si>
    <t>Walmart and Sam's Club officially GPTW-certified May 2023; 'Me@Walmart' associate digital app and structured wellbeing framework referenced in official ESG disclosures and GPTW article.</t>
  </si>
  <si>
    <t>Lyra Health</t>
  </si>
  <si>
    <t>Employee Benefit News reporting confirms Lyra Health is an employer-sponsored Walmart benefit providing 20 free visits with providers; additional mental health coverage offered for enrolled health plan members.</t>
  </si>
  <si>
    <t>https://corporate.walmart.com/news/2023/05/15/walmart-and-sams-club-both-certified-as-a-great-place-to-work | https://www.benefitnews.com/news/walmart-ups-wellness-game-with-new-benefit-enhancements | https://www.greatplacetowork.com/certified-company/1120506</t>
  </si>
  <si>
    <t>YES – entity confirmed (RIL parent entity certified by GPTW India for 4th consecutive year, per 2023-24 Integrated Annual Report; Jio and Reliance Retail hold separate certifications, confirming RIL parent-entity recognition is distinct)</t>
  </si>
  <si>
    <t>YES – R-Swasthya (integrated scientific approach based on the Wellbeing Wheel framework, documented in 2022-23 Integrated Annual Report)</t>
  </si>
  <si>
    <t>The 2023-24 Annual Report confirms "RIL certified as a Great Place To Work® for the 4th consecutive year" and separately identifies R-Swasthya as the Group's named employee health and wellbeing initiative.</t>
  </si>
  <si>
    <t>YES – subsidiary only, flagged (e.Voyageurs SNCF subsidiary labeled GPTW in 2021; SNCF Group parent entity not confirmed certified)</t>
  </si>
  <si>
    <t>SNCF's sustainability disclosures and integrated annual report reference "Qualité de Vie au Travail" (QVT) as a commitment, but no distinctly named, branded Group-level employee wellbeing program was confirmed in 2023-onward public ESG reports.</t>
  </si>
  <si>
    <t>YES – Mental Well-Being (MWB) programme (interactive app rolled out to all Group managers globally); CARE by Saint-Gobain (global social protection/health programme covering 100% of employees worldwide by 2023)</t>
  </si>
  <si>
    <t>Saint-Gobain's official people/ESG pages confirm both named programmes in official reporting: the MWB digital app deployed globally to all managers with six action areas, and CARE by Saint-Gobain providing minimum health coverage to all employees worldwide — both consistently referenced in sustainability reports.</t>
  </si>
  <si>
    <t>Saint-Gobain North America benefits page confirms employer-sponsored 'virtual mental health programme offering flexibility and reducing stress through convenient scheduling'; MWB is an internal employer-built digital tool; no named Sword competitor platform identified.</t>
  </si>
  <si>
    <t>https://www.saint-gobain.com/en/corporate-responsibility/our-pillars/employee-engagement-and-diversity | https://www.saint-gobain-northamerica.com/benefits | https://www.saint-gobain-benelux.com/en/employee-engagement-and-diversity</t>
  </si>
  <si>
    <t>YES – 'Living Well at Tyson Foods' (explicitly named employee wellbeing initiative launched April 2023, with Limeade digital platform as cornerstone; announced via official Tyson Foods press release)</t>
  </si>
  <si>
    <t>Tyson Foods' April 13, 2023 official press release explicitly names 'Living Well at Tyson Foods' as a new wellbeing initiative and confirms approximately 120,000 US employees have access.</t>
  </si>
  <si>
    <t>Official Tyson Foods careers/benefits page confirms EAP and healthcare benefits including telemedicine for team members; no named Sword competitor tool confirmed.</t>
  </si>
  <si>
    <t>https://jobs.tysonfoods.com/rewards-and-benefits; Tyson Foods 2024 ESG Report</t>
  </si>
  <si>
    <t>YES – 'Freedom 2 Save' (named employee financial wellness programme, recognised by Fortune in 2023); Abbott also documents named EAP/Mental Health Support in annual benefits handbook</t>
  </si>
  <si>
    <t>Abbott's 2023 proxy (DEF 14A) documents 'market-leading benefits' including the named 'Freedom 2 Save' programme and named EAP/Mental Health Support; Abbott's responsibility page confirms Fortune recognition for this programme in 2023.</t>
  </si>
  <si>
    <t>Abbott careers/benefits pages confirm EAP and virtual healthcare (telemedicine) as employer-sponsored benefits under Abbott Total Rewards; no named Sword competitor tools confirmed.</t>
  </si>
  <si>
    <t>https://www.abbott.com/careers/benefits.html; Abbott 2024 ESG Report</t>
  </si>
  <si>
    <t>YES – 'Total Health' (named global employee wellbeing programme, documented on totalhealth.cat.com — dedicated global wellbeing platform for all 110,000+ employees across 60+ countries)</t>
  </si>
  <si>
    <t>Caterpillar's 2023 Sustainability Report has a dedicated 'Health &amp; Well-Being' section documenting programme metrics; 'Total Health' is explicitly named as the global employee wellbeing platform with five dimensions, confirmed at totalhealth.cat.com.</t>
  </si>
  <si>
    <t>Caterpillar employee benefits pages confirm EAP and telemedicine as employer-sponsored health benefits; no named Sword competitor tools confirmed.</t>
  </si>
  <si>
    <t>https://www.caterpillar.com/en/careers/employee-benefits.html; Caterpillar ESG Report 2024</t>
  </si>
  <si>
    <t>NOT FOUND (Veolia appeared on "Best Places to Work 2024" global list — a separate, non-GPTW program; no greatplacetowork.com certification confirmed)</t>
  </si>
  <si>
    <t>Veolia's 2024 ESG Report and regional sustainability content reference employee wellbeing in generic terms; "Wellbeing Series" is UK-specific (2022) and not documented as a Group-wide named program; "Veolia Cares" is a community service program, not a health initiative.</t>
  </si>
  <si>
    <t>The 2024 Annual Report references "the wellbeing of our planet and the people" and brand-level wellness support, but no single branded Group-wide employee wellbeing program is documented in ESG disclosures.</t>
  </si>
  <si>
    <t>YES – Healthy 2030 (named ESG strategy with explicit 'Healthy People' pillar covering colleague wellbeing)</t>
  </si>
  <si>
    <t>CVS Health's 'Healthy 2030' is a named, documented multi-pillar ESG strategy consistently referenced in official impact reports, proxy statements, and the 2023 Healthy 2030 Impact Report, with a dedicated 'Healthy People' pillar addressing the wellbeing of 300,000+ colleagues.</t>
  </si>
  <si>
    <t>CVS Health self-administers wellbeing coaching and EAP services internally (Resources for Living); no external named competitor digital health platform confirmed as employer-procured for employees.</t>
  </si>
  <si>
    <t>https://www.cvshealth.com/impact/esg-reports/annual-report.html | https://www.cvshealth.com/content/dam/enterprise/cvs-enterprise/pdfs/2023/Healthy-2030-Impact-Report.pdf</t>
  </si>
  <si>
    <t>YES – subsidiary only, flagged (Bosch North America, certified October 2024; certification covers US operations only, NOT Robert Bosch GmbH parent entity)</t>
  </si>
  <si>
    <t>YES – befit</t>
  </si>
  <si>
    <t>Bosch's global careers and US benefits pages confirm a named programme 'befit' covering physical and mental health, workplace ergonomics, and return-to-work management; consistently referenced on global and regional corporate sites.</t>
  </si>
  <si>
    <t>No named external digital health tool or app confirmed as employer-sponsored employee benefit; 'befit' programme references in-house occupational health specialists, on-site facilities, and company programmes only.</t>
  </si>
  <si>
    <t>https://www.bosch.com/careers/why-bosch/benefits/ | https://www.bosch.us/careers/why-bosch/culture-and-benefits/ | https://www.globenewswire.com/news-release/2024/10/24/2969005/0/en/Bosch-Earns-Great-Place-To-Work-Certification-in-the-USA.html</t>
  </si>
  <si>
    <t>Home Depot's ESG reports reference associate wellbeing under the 'Focus on Our People' core value; benefits accessible via 'LiveTheOrangeLife.com' portal, but this is a portal name, not a named wellbeing initiative; no standalone branded programme identified in official reports.</t>
  </si>
  <si>
    <t>Included Health case study explicitly names Home Depot as a client using their health navigation and telemedicine platform for ~120,000 US associates; Carelon Wellbeing EAP confirmed via benefits portal; neither is a direct Sword competitor.</t>
  </si>
  <si>
    <t>https://includedhealth.com/blog/insights/the-home-depot-relying-on-healthcare-navigation-to-keep-members-healthy-and-safe/ | https://learn.bswift.com/orangelife/wellness</t>
  </si>
  <si>
    <t>Lowe's 2023 Corporate Responsibility Report mentions enhanced mental health benefits and increased therapy access at no cost; EAP and digital emotional well-being referenced on official careers page but no standalone named wellbeing programme identified in official reports.</t>
  </si>
  <si>
    <t>Lowe's official careers page confirms employer-sponsored EAP providing 'digital emotional well-being' and counseling/therapy sessions; digital emotional well-being, parenting and caregiver support, and addiction support all listed; no named direct Sword competitor identified.</t>
  </si>
  <si>
    <t>https://talent.lowes.com/us/en/compensation-benefits | https://corporate.lowes.com/sites/lowes-corp/files/2024-09/Lowes_2023_CRR_9.30.24.pdf</t>
  </si>
  <si>
    <t>YES – Total Pay Package (named benefits framework, including formally integrated Lyra Health mental health benefit)</t>
  </si>
  <si>
    <t>Starbucks' named 'Total Pay Package' benefits framework formally integrates Lyra Health as a core mental health benefit, documented in official corporate materials and confirmed in Lyra Health's official customer case study page.</t>
  </si>
  <si>
    <t>Lyra Health's official customer page confirms Starbucks as an employer-sponsored Lyra client; Yahoo Finance/press coverage confirms Starbucks partnered with Lyra Health to expand mental health benefits for employees and eligible family members.</t>
  </si>
  <si>
    <t>https://www.lyrahealth.com/customer-stories/starbucks/ | https://finance.yahoo.com/news/starbucks-partners-with-lyra-health-to-expand-mental-health-benefits-150026445.html</t>
  </si>
  <si>
    <t>YES – WorkingWell (named global employee health and wellbeing programme covering physical and mental activities, wellness exercises and healthy eating; Amazon received Platinum Bell Seal from Mental Health America for 2023)</t>
  </si>
  <si>
    <t>Amazon's People/Safety site and multiple 2023 corporate communications explicitly name 'WorkingWell' as the company's named employee wellbeing programme covering 350+ US sites.</t>
  </si>
  <si>
    <t>Official Amazon news page (aboutamazon.com, June 2025) confirms 'Amazon has partnered with Lyra in the U.S.' for employees and families; global EAP also confirmed at 6 sessions per issue scaled to 60+ countries.</t>
  </si>
  <si>
    <t>https://www.aboutamazon.com/news/workplace/6-new-mental-health-benefits-and-resources-for-amazon-employees; https://www.businesswire.com/news/home/20210517005300/en/</t>
  </si>
  <si>
    <t>YES – 'Wellness Program' (explicitly named in the 2023 JPMorgan Chase U.S. Benefits Program highlights document; includes meQuilibrium Resilience Program and Financial Wellness Score)</t>
  </si>
  <si>
    <t>JPMorgan Chase's 2023 U.S. Benefits Program document explicitly names 'Our Wellness Program' as a core benefit with integrated medical plan rewards; also names 'meQuilibrium Resilience Program' as a specifically branded digital wellness offering.</t>
  </si>
  <si>
    <t>Official Spring Health customer benefits portal (benefits.springhealth.com/customer/jpmorgan-chase) and Aetna JPMC portal confirm Spring Health as employer-sponsored benefit at no cost to U.S. JPMC employees and covered dependents (age 6+).</t>
  </si>
  <si>
    <t>https://benefits.springhealth.com/customer/jpmorgan-chase; https://jpmccra.aetna.com/well-being; https://www.jpmorganchase.com/newsroom/stories/companies-mental-health</t>
  </si>
  <si>
    <t>YES – subsidiary only, flagged</t>
  </si>
  <si>
    <t>YES – Named 'Health, Safety and Wellbeing Policy' / global wellbeing programme (Santander has a named global 'Health, Safety and Wellbeing Policy' actively documented in 2023 ESG disclosures; employee wellbeing rated in top 25% of financial sector)</t>
  </si>
  <si>
    <t>Santander's 2023 ESG disclosures document a named 'Health, Safety and Wellbeing Policy' applied across all markets; Santander UK's 2023 ESG Supplement confirms GPTW certification as 'UK's Best Workplaces for Wellbeing' — subsidiary level only, flagged conservatively.</t>
  </si>
  <si>
    <t>Santander's HR and benefits documentation confirms EAP and health support programs across global operations; GPTW certifications confirmed for multiple Santander national entities; no named Sword competitor tools identified.</t>
  </si>
  <si>
    <t>https://www.santander.com/en/stories/our-commitment-to-employee-well-being; Santander 2024 ESG Report</t>
  </si>
  <si>
    <t>YES – EDEKA fit&amp;gesund</t>
  </si>
  <si>
    <t>EDEKA Zentrale won the Corporate Health Award (Germany) for the 4th consecutive time in December 2023, specifically recognising the named programme 'EDEKA fit&amp;gesund' covering physical health, mental health, nutrition, and addiction prevention.</t>
  </si>
  <si>
    <t>EDEKA Zentrale's BGM page confirms 67%+ of employees use a company-provided digital health platform; no direct Sword competitor named; classified as adjacent corporate wellness/health platform.</t>
  </si>
  <si>
    <t>https://verbund.edeka/karriere/edeka-als-arbeitgeber/arbeitgeber-im-überblick/edeka-zentrale/gesundheitsmanagement_ez.html | https://verbund.edeka/presse/pressemeldungen/corporate-health-award-2023-edeka-zentrale-erneut-für-herausragendes-gesundheitsmanagement-ausgezeichnet.html</t>
  </si>
  <si>
    <t>YES – Well-Being Assistant (powered by Magellan Health); annual Kroger Wellness Festival</t>
  </si>
  <si>
    <t>Kroger's named 'Well-Being Assistant' (powered by Magellan Health) and the branded annual Wellness Festival are documented in official press releases and award announcements; Kroger received the 2024 Platinum Bell Seal for Workplace Mental Health.</t>
  </si>
  <si>
    <t>BetterHelp</t>
  </si>
  <si>
    <t>Official Kroger announcement for 2024 Platinum Bell Seal states 'free BetterHelp virtual counseling sessions' as an employer-provided resource for associates.</t>
  </si>
  <si>
    <t>https://theshelbyreport.com/2024/05/08/kroger-hailed-for-mental-health-in-workplace-efforts/ | https://www.stocktitan.net/news/KR/kroger-awarded-2024-platinum-bell-seal-for-workplace-mental-2uh639h5mf0q.html</t>
  </si>
  <si>
    <t>YES – "Shell Health &amp; Wellbeing Plan" (named plan documented publicly, with dedicated employee health and well-being section in sustainability communications)</t>
  </si>
  <si>
    <t>Shell maintains a dedicated "Employee health and well-being" section in its sustainability web presence at shell.com; a formally named "Shell Health &amp; Wellbeing Plan" SPD document is published for US employees, indicating a structured, named approach to employee health documented in company disclosures.</t>
  </si>
  <si>
    <t>YES – entity confirmed (Comcast NBCUniversal ranked #9 on 2023 Fortune 100 Best Companies to Work For via Great Place to Work — confirmed at the operating entity level)</t>
  </si>
  <si>
    <t>YES – FamilyFlex (named employee benefits programme covering family, parental leave, work/life balance; expanded July 2023); portfolio includes health assistants, telehealth, and robust EAP</t>
  </si>
  <si>
    <t>Comcast's 2023 proxy statement explicitly describes a wellbeing portfolio including 'dedicated health assistants, expert medical opinion services, virtual and telehealth options' and a 'robust Employee Assistance Program'; FamilyFlex is a named initiative. GPTW confirmed: ranked #9 on 2023 Fortune 100 Best Companies to Work For.</t>
  </si>
  <si>
    <t>Official Comcast benefits pages confirm EAP and telemedicine access as employer-sponsored digital health benefits; no named Sword competitor tool confirmed.</t>
  </si>
  <si>
    <t>https://corporate.comcast.com/esg/people; Comcast 2024 ESG Impact Report</t>
  </si>
  <si>
    <t>YES – "Health Challenge Campaign" / "Health e-learning" (named health and wellness initiatives documented on sustainability page)</t>
  </si>
  <si>
    <t>Nippon Steel's sustainability page explicitly names both the "Health Challenge Campaign" (targeting lifestyle habits in collaboration with the Health Insurance Union) and "Health e-learning" (for improving employee health awareness) as distinct documented wellbeing programs.</t>
  </si>
  <si>
    <t>Health e-learning is a generic wellness education platform (not clinical MSK or MH); no Sword competitor identified.</t>
  </si>
  <si>
    <t>https://www.nipponsteel.com/en/csr/human/diversity.html</t>
  </si>
  <si>
    <t>YES – subsidiary/regional entities only, flagged (certifications confirmed for India, US, Canada, Mexico, Costa Rica — not for global holding entity Schneider Electric SE)</t>
  </si>
  <si>
    <t>YES – "6 Pillars of Well-being" (physical, mental, financial, family, and related pillars, documented in company blog and GPTW press releases; not yet verified as named in formal sustainability report)</t>
  </si>
  <si>
    <t>Schneider Electric's 2023 GPTW North America press release explicitly lists "Well-Being Benefits: Helping employees reach their goals for a healthier, balanced life with services, including… digital well-being platforms" as a named benefit pillar.</t>
  </si>
  <si>
    <t>Spring Health portal (benefits.springhealth.com/customer/schneider-electric) confirms Spring Health is the employer-sponsored confidential mental health benefit for US employees and household members aged 6+.</t>
  </si>
  <si>
    <t>https://benefits.springhealth.com/customer/schneider-electric</t>
  </si>
  <si>
    <t>YES – subsidiary only, flagged (Compass Group Canada certified by GPTW Institute 2024 as Best Workplaces in Canada; parent entity Compass Group PLC not confirmed)</t>
  </si>
  <si>
    <t>Compass Group PLC's 2024 annual report references "a variety of support measures to ensure our employees' wellbeing, encompassing physical, financial, and mental health" — generic language with no named or branded program identified.</t>
  </si>
  <si>
    <t>YES – "Initiative Gesundheit" (Health Initiative; described on BMW Group's sustainability employee page and in BKK BMW partnership documentation covering nutrition, exercise, mental health, and addiction prevention)</t>
  </si>
  <si>
    <t>BMW Group's German sustainability/employees page explicitly names "Initiative Gesundheit" as the Group's comprehensive occupational health management program, active across German production sites with BKK BMW as health partner.</t>
  </si>
  <si>
    <t>Virtuelle Schlafwelt is a bespoke sleep-health platform by Institut fuer Schlaf und Regeneration for BKK BMW—not Calm for Business, Headspace for Work, or any named Sword competitor.</t>
  </si>
  <si>
    <t>Original BIS &amp; EDBA research; https://institut-schlaf.de/gemeinsame-virtuelle-schlafwelt-mit-der-bmw-bkk/</t>
  </si>
  <si>
    <t>NOT FOUND (2021 annual report noted intent to participate in GPTW global ranking in 2023, but no certification confirmed in subsequent searches)</t>
  </si>
  <si>
    <t>Volkswagen Group's 2024 Annual Report sustainability section references "preventive health care" as a focus area within its "regenerate+" strategy but identifies no specifically named/branded employee wellbeing program.</t>
  </si>
  <si>
    <t>Vinci's 2023 Universal Registration Document documents employee mental health initiatives (help hotlines, psychological counselling, ergonomics group, mental health training) but names no single branded/titled group-wide wellbeing program.</t>
  </si>
  <si>
    <t>USPS Delivering for America plan and LiteBlue HR portal reference employee wellness generically; a USPS Benefits and Wellness Team is documented but no named branded employee wellbeing programme was identified in public disclosures.</t>
  </si>
  <si>
    <t>USPS participates in federal health plans (PSHB/FEHB); no named employer-sponsored digital health tool, MSK, or mental health platform identified beyond standard EAP access through federal health plans.</t>
  </si>
  <si>
    <t>https://liteblue.usps.gov/humanresources/benefits/health-wellness/ | https://about.usps.com/careers/working-usps/benefits.htm | https://about.usps.com/what/strategic-plans/delivering-for-america/details.htm</t>
  </si>
  <si>
    <t>Costco's sustainability pages reference competitive wages and benefits as central to employee wellbeing strategy; no named internal branded wellbeing programme identified in public ESG disclosures.</t>
  </si>
  <si>
    <t>No named employer-sponsored digital health tool confirmed in Costco public disclosures or careers materials; only generic health insurance and EAP references found.</t>
  </si>
  <si>
    <t>https://mobilecontent.costco.com/staging/resource/img/code-2021/sustainability-employees.html</t>
  </si>
  <si>
    <t>YES – Well Being (branded employee wellbeing programme documented on official Boeing benefits portal, with named digital sub-programmes including Hinge Health, Spring Health, Vida Health, Total Brain)</t>
  </si>
  <si>
    <t>Boeing's official boeingbenefits.com portal documents a comprehensive branded 'Well Being' programme with multiple named pillars and named digital tools, confirmed in official benefits materials.</t>
  </si>
  <si>
    <t>Hinge Health; Spring Health</t>
  </si>
  <si>
    <t>Both (MSK/Thrive + MH/Mind)</t>
  </si>
  <si>
    <t>Boeing's official boeingbenefits.com pages confirm Hinge Health is a no-cost digital MSK benefit and Spring Health is the EAP providing free counseling and coaching sessions to Boeing employees and dependents.</t>
  </si>
  <si>
    <t>https://boeingbenefits.com/employee/employee.html | https://boeingbenefits.com/family-member/family-physical-wellbeing.html</t>
  </si>
  <si>
    <t>YES – Hinge Health digital exercise therapy benefit (featured as a named employer benefit on official GM careers/benefits page with employee case study)</t>
  </si>
  <si>
    <t>GM's official careers/benefits page explicitly features Hinge Health as 'GM's digital exercise therapy benefit' with a named employee testimonial (Thomas Biggs, manufacturing group leader); constitutes a documented named digital health initiative in official corporate materials.</t>
  </si>
  <si>
    <t>Hinge Health</t>
  </si>
  <si>
    <t>MSK (Thrive)</t>
  </si>
  <si>
    <t>GM's official benefits page states employees 'depend on GM's digital exercise therapy benefit, Hinge Health, to simplify physical therapy on his own schedule' — confirmed employer-sponsored.</t>
  </si>
  <si>
    <t>https://search-careers.gm.com/en/benefits/</t>
  </si>
  <si>
    <t>YES – RU OK campaign (global mental health awareness campaign, locally adapted across 31 markets); EAP available in all countries (confirmed in sustainability reporting); Mental Health First Aid (MHFA) programme (confirmed at Austria market)</t>
  </si>
  <si>
    <t>Ingka Group's official newsroom documents named global mental health initiatives including the 'RU OK campaign' introduced globally and adapted locally (EAP Awareness Week, Health and Wellbeing Week, etc.) and EAP rollout confirmed globally across all markets.</t>
  </si>
  <si>
    <t>Ingka Group's official newsroom confirms: 'Introduction of our EAP (Employee Assistance Programme) available in all countries to support co-workers'; mental health e-learning deployed to help build awareness; no named direct Sword competitor identified.</t>
  </si>
  <si>
    <t>https://www.ingka.com/newsroom/ingka-group-highlights-the-importance-of-everyday-support-for-mental-wellbeing/ | https://www.ingka.com/newsroom/ingka-group-prioritizes-co-worker-everyday-wellbeing/</t>
  </si>
  <si>
    <t>YES – subsidiary only, flagged (REWE International AG Austria recognised as GPTW multiple consecutive years; REWE Group Konzern parent entity GPTW not confirmed at group level — 2024 sustainability report references '10th time' recognition from a globally recognised entity, likely REWE International AG Austria)</t>
  </si>
  <si>
    <t>YES – Gemeinsam.topfit (digital health platform/app, employer-sponsored, in partnership with DAK health insurer; confirmed in 2023 and 2024 sustainability reports with focus on mental health and cancer prevention in 2023, mental health and diabetes prevention in 2024)</t>
  </si>
  <si>
    <t>REWE Group's 2023 and 2024 sustainability reports explicitly confirm the named health platform 'Gemeinsam.topfit' covering exercise, nutrition, and mental health, offered to employees via partnership with DAK health insurer; 2024 report also references a pilot using the 'mesana' health-check provider for market employees.</t>
  </si>
  <si>
    <t>REWE Group's 2023 sustainability report states: Mit der DAK bieten wir unseren Mitarbeitenden die Onlineplattform und App Gemeinsam.topfit an (with DAK we offer our employees the online platform and app Gemeinsam.topfit); no named direct Sword competitor identified.</t>
  </si>
  <si>
    <t>https://rewe-group-nachhaltigkeitsbericht.de/2023/de/fokusthemen/mitarbeitende/index.html | https://rewe-group-nachhaltigkeitsbericht.de/2024/de/fokusthemen/mitarbeitende/index.html</t>
  </si>
  <si>
    <t>Jardine Matheson publishes a sustainability report (2024 edition); generic references to employee health and safety found in the report but no named standalone internal employee wellbeing programme identified.</t>
  </si>
  <si>
    <t>No named employer-sponsored digital health tool confirmed in Jardine Matheson sustainability disclosures.</t>
  </si>
  <si>
    <t>https://sustainability.jardines.com/2024/assets/pdf/Jardine_SR2024.pdf</t>
  </si>
  <si>
    <t>YES – Hitachi Health Management (named health management strategy; Hitachi is annually certified under Japan's Ministry of Economy, Trade and Industry Health &amp; Productivity Management programme and recognised as a Health &amp; Productivity Stock)</t>
  </si>
  <si>
    <t>Hitachi's sustainability reports document a named 'Health Management' strategy including Japan's Health &amp; Productivity Management certification, covering physical health, mental health, and work-life balance for employees.</t>
  </si>
  <si>
    <t>No named third-party employer-sponsored digital health tool confirmed in Hitachi public disclosures.</t>
  </si>
  <si>
    <t>https://www.hitachi.com/sustainability/ | Hitachi ESG Data Book 2023/2024</t>
  </si>
  <si>
    <t>YES – subsidiary only, flagged (Panasonic of North America certified Great Place to Work for 4th consecutive year in 2025; this is a regional subsidiary, NOT Panasonic Holdings Corporation parent entity)</t>
  </si>
  <si>
    <t>YES – Panasonic Health Management (named health management approach including Japan's Health &amp; Productivity Management programme; certified by Japan's Ministry of Economy, Trade and Industry)</t>
  </si>
  <si>
    <t>Panasonic's sustainability reporting confirms a named health management approach recognised under Japan's government health management certification; GPTW confirmed for Panasonic North America regional subsidiary only, not Panasonic Holdings parent.</t>
  </si>
  <si>
    <t>No named third-party employer-sponsored digital health tool confirmed in Panasonic Holdings public disclosures.</t>
  </si>
  <si>
    <t>https://www.panasonic.com/global/sustainability/ | https://www.stocktitan.net/news/TYO/panasonic-earns-2025-great-place-to-work-certification-tm-for-fourth-wmp2ii4fbqcv.html</t>
  </si>
  <si>
    <t>YES – "1-Minute AEON Exercise" (co-developed with the Japan Physical Therapy Association to prevent workplace injuries; documented in AEON Co., Ltd. health management sustainability content)</t>
  </si>
  <si>
    <t>AEON's health management sustainability page documents the named "1-Minute AEON Exercise" initiative and confirms multi-year "Excellent Health Management Corporation" certification (Japan METI), indicating a structured, documented employee health strategy.</t>
  </si>
  <si>
    <t>YES – "Thrive@bp" (global employee wellbeing platform, named in BP's 2023 Form 20-F/Annual Report and ESG data)</t>
  </si>
  <si>
    <t>BP's 2023 Form 20-F explicitly names "Thrive@bp" as the company's global wellbeing platform, noting its continued promotion and "new platforms implemented for employees in the US and China" in 2023.</t>
  </si>
  <si>
    <t>Headspace (for Work / employer program)</t>
  </si>
  <si>
    <t>BP careers pages confirm "free access to the Headspace meditation app" is provided to all employees as an employer-funded benefit—confirming the enterprise Headspace for Work program.</t>
  </si>
  <si>
    <t>https://careers.bp.com/about; https://careers.bp.com/early-careers/graduates</t>
  </si>
  <si>
    <t>Medtronic's public communications confirm a mental health support offering ("counseling and therapy resources, digital well-being tools for managing stress, employee networks") and a 2024 Impact Report, but no distinctly branded/named corporate wellbeing program is documented in its ESG reporting.</t>
  </si>
  <si>
    <t>Medtronic discloses "digital well-being tools for managing stress" and an EAP with counseling but no specific vendor from the Sword competitor list is confirmed; defaulting to +1 per ambiguity rule. FLAG FOR FOLLOW-UP.</t>
  </si>
  <si>
    <t>Original BIS &amp; EDBA research; https://news.medtronic.com/mental-health-matters-at-medtronic-explore-our-employee-benefits-newsroom</t>
  </si>
  <si>
    <t>ArcelorMittal's 2023 Integrated Annual Review and sustainability pages focus on safety performance (LTIF rates) and a "Joint Health and Safety Working Committee" but document no specifically named/branded employee wellbeing initiative.</t>
  </si>
  <si>
    <t>Airbus's sustainability page confirms a "global Employee Assistance Programme" and multidisciplinary occupational health teams, but no distinctly branded/titled wellbeing initiative (e.g., a named company wellness brand) is documented.</t>
  </si>
  <si>
    <t>Bouygues's 2024 Integrated Report identifies "putting people first" as a top CSR priority and references a "family-oriented" employee benefits offer (October 2024), but no specifically named/branded employee health or wellbeing program is identified.</t>
  </si>
  <si>
    <t>ZF's EHS pledge and sustainability references emphasise occupational safety under a 'Vision Zero Accident Goal' orientation; no named branded employee wellbeing programme identified in official ESG disclosures.</t>
  </si>
  <si>
    <t>No named employer-sponsored digital health tool confirmed in ZF public disclosures.</t>
  </si>
  <si>
    <t>https://www.zf.com/master/media/corporate/m_zf_com/sustainability/environment_health_safety_ehs/CDP_Climate_Change_Report_2023.pdf | https://healthy-workplaces.osha.europa.eu/en/campaign-partners/zf-friedrichshafen-ag</t>
  </si>
  <si>
    <t>YES – 'Brookfield Wellbeing Incentive Program' (named programme, confirmed in 2023 Open Enrollment documentation; launched with Mobile Health Consumer app replacing prior 'LiveWell' and 'Vitality' platforms)</t>
  </si>
  <si>
    <t>Brookfield's 2023 open enrollment guide explicitly names the 'Brookfield Wellbeing Incentive Program' as the company's branded employee wellbeing initiative, replacing Vitality and operating through the Mobile Health Consumer app.</t>
  </si>
  <si>
    <t>Official Brookfield HR materials confirm EAP and Vitality wellness program for Canadian employees as employer-sponsored benefits; Vitality is explicitly listed as adjacent.</t>
  </si>
  <si>
    <t>Brookfield ESG Report 2024; Official Brookfield Canada Benefits</t>
  </si>
  <si>
    <t>YES – entity confirmed (Publix Super Markets; GPTW-certified operating entity; Fortune 100 Best Companies to Work For 27 consecutive years through 2024)</t>
  </si>
  <si>
    <t>Publix holds GPTW Certification at operating entity level with decades of documented recognition; however, no named internal employee wellbeing programme (beyond generic 'health insurance, EAP, telehealth') was identified in official ESG or corporate disclosures. Band 3 requires Band 2 as prerequisite — named programme not met.</t>
  </si>
  <si>
    <t>Publix's benefits materials confirm employer-sponsored health plan includes telehealth/virtual care services; no named direct Sword competitor identified.</t>
  </si>
  <si>
    <t>https://www.greatplacetowork.com/certified-company/1000405 | https://corporate.publix.com/newsroom/news-stories/04042024---publix-publix-recognized-on-fortunes-best-companies-to-work-for-list | https://perkupapp.com/post/publix-employee-benefits-that-keep-employees-engaged</t>
  </si>
  <si>
    <t>YES – 'Commit to Health' (named global employee health promotion programme documented across IBM corporate communications); 'CafeWell' named digital health platform provided to IBMers</t>
  </si>
  <si>
    <t>IBM's corporate wellness publications and employee benefits documentation explicitly name 'Commit to Health' as the company's branded global wellness programme, with an online community and rewards for healthy behaviors; active and documented in 2023.</t>
  </si>
  <si>
    <t>Talkspace</t>
  </si>
  <si>
    <t>Official IBM 2024 U.S. Benefits Overview document explicitly states 'You also have access to Talkspace. Take a brief assessment, receive a personalized match with a counselor and start receiving support' alongside the EAP.</t>
  </si>
  <si>
    <t>https://www.scribd.com/document/919388963/IBM-Benefits-Summary-US-2024 (IBM 2024 Benefits Overview)</t>
  </si>
  <si>
    <t>YES – "Care Week" / "Care Together by TotalEnergies" (Care Week is a documented annual global employee health week; Care Together is a named social responsibility program; both referenced in sustainability documents and press releases)</t>
  </si>
  <si>
    <t>TotalEnergies' sustainability page and 2024 Progress Report confirm "Every year, we organize a week dedicated to our employees' mental and physical health. Care Week offers workshops, webinars" — a named, recurring global initiative.</t>
  </si>
  <si>
    <t>Maersk's ESG strategy and Human Capital page cover safety, DE&amp;I, engagement surveys, and a "High Performing Teams journey" but no specifically named/branded employee health or wellbeing program is documented.</t>
  </si>
  <si>
    <t>YES – subsidiary only, flagged (Mercedes-Benz Financial Services certified on GPTW profile; Mercedes-Benz Cars UK Ltd launched a named 4-pillar wellbeing programme; parent entity Mercedes-Benz Group AG GPTW not confirmed)</t>
  </si>
  <si>
    <t>Mercedes-Benz Group's sustainability pages reference 'holistic health and occupational safety management' generically at group level; subsidiary and regional entities have named programmes but no group-level named programme confirmed in official group ESG reporting.</t>
  </si>
  <si>
    <t>Mercedes-Benz careers page confirms an employer-provided health app in Germany enabling employees to create an individual profile, set and measure health goals, and participate in digital events; app vendor not disclosed; no named Sword competitor.</t>
  </si>
  <si>
    <t>https://group.mercedes-benz.com/careers/about-us/work-culture/health/health-management.html | https://group.mercedes-benz.com/sustainability/people/health/</t>
  </si>
  <si>
    <t>Dollar General's 2023 Annual Report references standard health, telemedicine, healthy lifestyle, and disease management programmes; named finalist in Ragan's 2024 Workplace Wellness Awards and ranked #1 on 2023 Healthiest Employers of Tennessee list; however no standalone named programme identified in official ESG/annual report disclosures.</t>
  </si>
  <si>
    <t>Dollar General's 2023 Annual Report confirms employer-sponsored telemedicine as part of medical plan benefits offered to employees; no named direct Sword competitor identified.</t>
  </si>
  <si>
    <t>https://www.sec.gov/Archives/edgar/data/0000029534/000110465923044070/tm234073d2_ars.pdf | https://newscenter.dollargeneral.com/news/dollar-general-recognized-for-workplace-wellness/6ede951c-c0e7-4170-896d-3de230f9f1dd/</t>
  </si>
  <si>
    <t>YES – Better World ESG strategy (named); People Experiences pillar with documented mental health and wellbeing initiatives including named global mental health day campaign</t>
  </si>
  <si>
    <t>AB InBev's 'Better World' ESG strategy and 'People Experiences' pillar document named employee wellbeing initiatives including mental health programmes and a global mental health awareness campaign, referenced in official ESG reports.</t>
  </si>
  <si>
    <t>AB InBev ESG materials reference digital mental health EAP access for employees; no named direct Sword competitor (Lyra, Spring Health, Hinge Health, etc.) confirmed in public sources.</t>
  </si>
  <si>
    <t>https://www.ab-inbev.com/our-impact/esg/ | AB InBev ESG Report 2023/2024</t>
  </si>
  <si>
    <t>Apple's annual reports and limited ESG disclosures address employee wellbeing generically; no named branded employee wellbeing programme (e.g. 'Apple BeWell') confirmed in 2023 ESG reporting. Apple does not publish a standalone comprehensive sustainability report with employee wellbeing programme details equivalent to peers.</t>
  </si>
  <si>
    <t>Official Apple US employee benefits pages confirm employer-provided EAP and comprehensive health plan including telemedicine; no named Sword competitor tool confirmed.</t>
  </si>
  <si>
    <t>https://www.apple.com/careers/us/benefits.html; Apple ESG Report 2024</t>
  </si>
  <si>
    <t>AT&amp;T's Human Capital Management page describes 'Total Rewards' and holistic wellbeing support; no single named branded wellbeing programme confirmed. Lyra Health partnership confirmed for 2024, not confirmed as a 2023 ESG-documented programme.</t>
  </si>
  <si>
    <t>AT&amp;T benefits pages confirm Teladoc-powered telemedicine and EAP as employer-sponsored digital health benefits within the 'Your Health Matters' program; both are adjacent, not Sword competitors.</t>
  </si>
  <si>
    <t>https://www.att.jobs/us/en/benefits; AT&amp;T 2024 Corporate Responsibility Report</t>
  </si>
  <si>
    <t>YES – 'My Health Journey' (named annual mental health and resilience programme for employees, launched 2020, confirmed as active 2023 employee wellbeing programme in Deutsche Telekom's public communications)</t>
  </si>
  <si>
    <t>Deutsche Telekom's public communications and corporate blog explicitly confirm 'My Health Journey' as a named annual employee mental strength programme with mindfulness and resilience content, active through 2023; confirmed in IFBG best-practice article.</t>
  </si>
  <si>
    <t>Deutsche Telekom sustainability pages confirm EAP and digital health support within the Corporate Health Promotion (Gesundheitsförderung) framework; no named Sword competitor tools identified.</t>
  </si>
  <si>
    <t>https://www.telekom.com/en/sustainability/employees/health-management; Deutsche Telekom CR Report 2024</t>
  </si>
  <si>
    <t>Honda's 'Total Rewards' package and the named 'Honda Wellness Center' are documented in official corporate materials and annual reports; the wellness centre offers health assessments, fitness programmes, biometric screenings, and wellbeing resources.</t>
  </si>
  <si>
    <t>Spring Health's official benefits portal at benefits.springhealth.com/customer/honda states: 'Honda provides Spring Health as a confidential mental wellness benefit for you and your covered dependents. Use Spring Health to access therapy, in-app exercises, work-life resources, alcohol and substance use support, and more.'</t>
  </si>
  <si>
    <t>https://benefits.springhealth.com/customer/honda | https://www.hondawellness.com/benefits-providers/ | Honda Annual Report 2023/2024</t>
  </si>
  <si>
    <t>Samsung Electronics sustainability reporting references employee health management as a formal pillar; no specifically named standalone branded wellbeing programme identified in sources accessed.</t>
  </si>
  <si>
    <t>No named employer-sponsored digital health tool confirmed in Samsung Electronics public disclosures.</t>
  </si>
  <si>
    <t>https://www.samsung.com/global/sustainability/</t>
  </si>
  <si>
    <t>La Poste publishes sustainability reports referencing employee health and social responsibility as part of its universal service obligations; no named standalone employee wellbeing programme identified in accessible public sources.</t>
  </si>
  <si>
    <t>No named employer-sponsored digital health tool confirmed in La Poste public disclosures.</t>
  </si>
  <si>
    <t>https://www.lapostegroupe.com/en/sustainability | La Poste Sustainability Reports 2023/2024</t>
  </si>
  <si>
    <t>NTT Group publishes sustainability reports; NTT DATA subsidiary offers Health Data Bank and wellbeing measurement app for corporate clients, but no named global branded employee wellbeing programme confirmed at the NTT Group parent level.</t>
  </si>
  <si>
    <t>No named employer-sponsored digital health vendor confirmed in NTT Group's public disclosures; Japanese corporate health management follows occupational health statutory framework.</t>
  </si>
  <si>
    <t>https://group.ntt/en/sustainability/ (general sustainability)</t>
  </si>
  <si>
    <t>Lufthansa Group's 2023 Annual Report documents extensive occupational health infrastructure (ISO 9001-certified Medical Services Centers in Hamburg, Frankfurt, Munich; psychosocial counselling) but no single branded employee wellbeing initiative is named in its sustainability disclosure.</t>
  </si>
  <si>
    <t>Lufthansa Group Americas page confirms free 24/7 EAP; 2023 Annual Report confirms virtual psychosocial counselling services — EAP with digital delivery. Upgraded from EDBA=0.</t>
  </si>
  <si>
    <t>https://the-americas.lufthansagroup.careers/benefits</t>
  </si>
  <si>
    <t>YES – Employee Wellbeing Program (established 2021, active globally)</t>
  </si>
  <si>
    <t>Heineken's public communications explicitly confirm a named "employee wellbeing program" established in 2021, with a dedicated global team and documented in the context of the "EverGreen" strategy and "Brew a Better World" sustainability framework active through 2023 reporting.</t>
  </si>
  <si>
    <t>Wellhub case study confirms HEINEKEN employer-deployed Wellhub digital wellness platform; Heineken UK confirms Help@hand app (virtual GP, physiotherapy, coaching). Upgraded from EDBA=0.</t>
  </si>
  <si>
    <t>https://wellhub.com/en-us/blog/press-releases/success-story-heineken-gympass/</t>
  </si>
  <si>
    <t>RTX's ESG strategy names 'health, safety &amp; wellness' as a formal pillar in official proxy and ESG reporting; however, no specifically named standalone employee wellbeing programme (beyond pillar label language) was confirmed in official disclosures.</t>
  </si>
  <si>
    <t>No named employer-sponsored digital health tool confirmed in RTX public disclosures, careers materials, or Glassdoor benefits reviews; health insurance described generically as Kaiser/Anthem options.</t>
  </si>
  <si>
    <t>https://www.sec.gov/Archives/edgar/data/0000101829/000130817924000096/rtx4243711_def14a.htm | https://www.glassdoor.com/Benefits/RTX-US-Benefits-EI_IE561.0,3_IL.4,6_IN1.htm</t>
  </si>
  <si>
    <t>Continental's sustainability and careers pages reference occupational health management and preventive measures generically (yoga, massages, ergonomics, screenings); no specifically named branded programme identified in official ESG disclosures.</t>
  </si>
  <si>
    <t>No named employer-sponsored digital health tool or app confirmed in Continental's public disclosures; benefits references are generic preventive care measures.</t>
  </si>
  <si>
    <t>https://www.continental.com/en/career/working-at-continental/benefits/ | https://www.linkedin.com/company/continental | https://www.continental.com/en/sustainability/</t>
  </si>
  <si>
    <t>Denso's ESG communications focus on environmental targets ('Green') and 'Peace of Mind' as a product and social strategy directed outward; no named internal employee health or wellbeing programme was identified in publicly accessible ESG or career disclosures.</t>
  </si>
  <si>
    <t>No named employer-sponsored digital health tool confirmed in Denso public ESG or career disclosures.</t>
  </si>
  <si>
    <t>https://www.denso.com/global/en/news/newsroom/ | DENSO ESG Data Book 2023/2024</t>
  </si>
  <si>
    <t>Magna's FY2024 Sustainability Report addresses health and safety primarily in a manufacturing/occupational context; no named standalone employee wellbeing programme identified in public ESG disclosures.</t>
  </si>
  <si>
    <t>No named employer-sponsored digital health tool confirmed in Magna public disclosures; employee reviews reference standard health insurance without named digital platforms.</t>
  </si>
  <si>
    <t>https://www.magna.com/docs/default-source/financial-reports-public-filings/tax-other-reports/101227_magna_sustainabilityreport_fy2024_final_cda.pdf</t>
  </si>
  <si>
    <t>Albertsons' 2023 ESG report ('Recipe for Change') focuses primarily on food insecurity and climate commitments; generic references to employee health benefits found but no standalone named employee wellbeing programme identified.</t>
  </si>
  <si>
    <t>No named employer-sponsored digital health tool confirmed in Albertsons public disclosures; employee benefits described generically.</t>
  </si>
  <si>
    <t>https://www.albertsonscompanies.com/newsroom/press-releases/news-details/2023/Albertsons-Companies-Releases-2023-ESG-Report/default.aspx</t>
  </si>
  <si>
    <t>EDF's ESG indicators and annual reports reference employee health/safety as a declared pillar; EDF Energy (UK subsidiary) has documented wellbeing innovation efforts; no named employee wellbeing programme identified at EDF Group level in accessible public sources.</t>
  </si>
  <si>
    <t>No named employer-sponsored digital health tool confirmed in EDF Group public disclosures; health references focus on occupational safety in nuclear/energy operations.</t>
  </si>
  <si>
    <t>https://www.edf.fr/en/the-edf-group/taking-action-as-a-responsible-company/corporate-social-responsibility/reports-and-indicators/esg-indicators | https://www.edfenergy.com/energywise/health-and-wellbeing-challenge</t>
  </si>
  <si>
    <t>Couche-Tard publishes a CSR report and references employee health and safety in operational contexts; no standalone named employee wellbeing programme identified in official public disclosures.</t>
  </si>
  <si>
    <t>No named employer-sponsored digital health tool confirmed in Couche-Tard public disclosures.</t>
  </si>
  <si>
    <t>https://corpo.couche-tard.com/en/csr | Alimentation Couche-Tard CSR Reports 2023/2024</t>
  </si>
  <si>
    <t>Christian Dior SE is the holding company for LVMH; LVMH publishes a CSR/Social and Environmental Responsibility report with people commitments; no named branded employee wellbeing programme confirmed specifically at the Christian Dior SE parent entity level in 2023.</t>
  </si>
  <si>
    <t>No named employer-sponsored digital health vendor confirmed for Christian Dior SE employees; very limited standalone HR/benefits disclosure separate from LVMH group level.</t>
  </si>
  <si>
    <t>https://www.lvmh.com/en/news-documents/press-releases/ (LVMH sustainability)</t>
  </si>
  <si>
    <t>Wilmar's 2023 and 2024 Sustainability Reports cover occupational health and safety, employee training, and community wellbeing, but no specifically named branded employee wellness program is identified in public disclosures.</t>
  </si>
  <si>
    <t>ThyssenKrupp's annual report and sustainability disclosures reference health and safety standards and occupational health, but no specifically named/branded group-wide employee wellbeing program is identified in publicly available documents.</t>
  </si>
  <si>
    <t>YES – subsidiary only, flagged (ENGIE Brasil and ENGIE Saudi Arabia certified; parent entity ENGIE SA/ENGIE Group not certified at holding level)</t>
  </si>
  <si>
    <t>ENGIE's 2024 ESG at ENGIE document and HR page reference improving "well-being at work" generically under its Care pillar, with no distinctly named Group-level wellbeing program identified.</t>
  </si>
  <si>
    <t>YES – "Prontos" digital health readiness system</t>
  </si>
  <si>
    <t>Vale's ESG-facing "Promoting Health and Well-Being" page documents the "Prontos" system, a named computerized daily self-assessment tracking employees' physical, emotional, and cognitive health factors.</t>
  </si>
  <si>
    <t>Vale 'Prontos' is an occupational safety readiness self-assessment (physical/emotional/cognitive); not a clinical MSK or mental health platform.</t>
  </si>
  <si>
    <t>https://vale.com/esg/promoting-health-and-well-being</t>
  </si>
  <si>
    <t>NOT FOUND (Forbes/Statista "World's Best Employers" ranking and Top Employer Institute certification confirmed; GPTW-specific certification not found for parent entity)</t>
  </si>
  <si>
    <t>YES – "Human Energy Management"</t>
  </si>
  <si>
    <t>Saudi Aramco's 2023 Sustainability Report and corporate pages document the "Human Energy Management" program, a named strategic wellbeing driver evolved from a formal wellness program launched in 2005.</t>
  </si>
  <si>
    <t>Workplace Options (WSP) digital EAP confirmed for US-payroll employees — EAP provider is not listed as a Sword competitor.</t>
  </si>
  <si>
    <t>https://americas.aramco.com/-/media/aramcoasc/careers/benefits-pdfs/current/sa-10-2022-annual-enrollmnet-guide.pdf</t>
  </si>
  <si>
    <t>Ford careers page references 'free mental health support' and wellbeing benefits generically; a dedicated Mental Health and Wellbeing Manager role was created (noted in 2023 press); no standalone named employee wellbeing programme identified in official ESG or sustainability reports.</t>
  </si>
  <si>
    <t>Ford's official BCBSM wellbeing portal explicitly states 'Lyra can connect you with therapists, resources and tools to help you maintain your mental well-being' as an employer-sponsored Ford benefit.</t>
  </si>
  <si>
    <t>https://www.bcbsm.com/ford/wellbeing/ | https://www.careers.ford.com/benefits | https://www.personneltoday.com/hr/ford-mental-health/</t>
  </si>
  <si>
    <t>Japan Post Holdings covers employee health through its 'Japan Post Group Declaration on Health' and 'Japan Post Group Anti-Smoking Declaration' (2023); no single named branded wellbeing programme confirmed in the parent entity's 2023 ESG disclosures.</t>
  </si>
  <si>
    <t>No named digital health vendor confirmed in Japan Post Holdings' English-language public disclosures; Japanese postal operator follows statutory occupational health framework.</t>
  </si>
  <si>
    <t>https://www.japanpost.jp/en/sustainability/ (general sustainability)</t>
  </si>
  <si>
    <t>SBI publishes sustainability and annual reports; no named branded employee wellbeing programme confirmed in available 2023 ESG or CSR disclosures at the parent entity level. SBI operates under government regulations with standard public sector employee benefits.</t>
  </si>
  <si>
    <t>No named employer-sponsored digital health vendor confirmed for SBI employees in publicly available sources.</t>
  </si>
  <si>
    <t>https://sbi.co.in/web/sustainability; SBI Annual Report 2024</t>
  </si>
  <si>
    <t>YES – Health Declaration and Health Management Framework (named health management strategy; Mitsubishi Electric is recognised under Japan's Ministry of Economy, Trade and Industry Health &amp; Productivity Management certification programme)</t>
  </si>
  <si>
    <t>Mitsubishi Electric's sustainability reports document a named health management framework and Health Declaration, recognised under Japan's Ministry of Economy certification programme for health management excellence, covering both physical and mental health.</t>
  </si>
  <si>
    <t>No named third-party employer-sponsored digital health tool confirmed in Mitsubishi Electric public disclosures.</t>
  </si>
  <si>
    <t>https://www.mitsubishielectric.com/en/sustainability/ | Mitsubishi Electric Sustainability Reports 2023/2024</t>
  </si>
  <si>
    <t>ACS Group's sustainability disclosures (FTSE4Good, MSCI AA rating) confirm ESG reporting on employee health and safety standards, but no specifically named/branded wellbeing program is identified in publicly available documents.</t>
  </si>
  <si>
    <t>YES – BASF Corporate Health Management (documented wellness program with named digital solutions component)</t>
  </si>
  <si>
    <t>BASF's Business Group on Health Best Employers submission confirms "our well-being program where we support the physical, emotional, social, and financial health of our workforce. The program includes digital solutions targeting chronic condition prevention and management"; BASF's internal health portal at health.basf.com explicitly brands the program as "BASF Corporate Health Management."</t>
  </si>
  <si>
    <t>Spring Health employer portal (benefits.springhealth.com/customer/basf) confirms BASF has procured Spring Health as its employer-sponsored EAP/mental health benefit for US employees and families.</t>
  </si>
  <si>
    <t>https://benefits.springhealth.com/customer/basf; https://www.businessgrouphealth.org/en/who-we-are/best-employers/health-and-well-being/winners</t>
  </si>
  <si>
    <t>YES – "MindSet" (mental health ERG) and Unmind app partnership (named programs documented on BAE Systems' corporate website)</t>
  </si>
  <si>
    <t>BAE Systems' public sustainability communications explicitly name "MindSet" as its mental health and wellbeing ERG, and confirm free access to the "Unmind app" for UK employees, both documented as part of its employee wellbeing strategy.</t>
  </si>
  <si>
    <t>Unmind</t>
  </si>
  <si>
    <t>BAE Systems corporate website confirms free employer-paid Unmind app subscriptions for UK employees and partners — Unmind is a listed direct Mind competitor.</t>
  </si>
  <si>
    <t>https://www.baesystems.com/en/feature/supporting-our-employees-mental-health</t>
  </si>
  <si>
    <t>George Weston Limited (parent of Loblaw Companies Ltd) publishes annual reports and references employee wellbeing generically through its operating subsidiaries; no named group-level standalone employee wellbeing programme identified in public sources.</t>
  </si>
  <si>
    <t>No named employer-sponsored digital health tool confirmed at the George Weston Limited group level in public disclosures.</t>
  </si>
  <si>
    <t>https://www.weston.ca | George Weston Limited Annual Report 2023/2024</t>
  </si>
  <si>
    <t>No public ESG report, sustainability disclosure, or named employee wellbeing programme identified for CK Hutchison Holdings at group level in accessible public sources from 2023 or 2024.</t>
  </si>
  <si>
    <t>No named employer-sponsored digital health tool confirmed in CK Hutchison Holdings public disclosures.</t>
  </si>
  <si>
    <t>https://www.ckhgroup.com</t>
  </si>
  <si>
    <t>METRO AG's ESG KPI Report 2023/24 lists "equity, diversity and well-being" as a strategic ESG priority and tracks related KPIs, but no specifically named/branded employee health or wellbeing program is identified in public disclosures.</t>
  </si>
  <si>
    <t>YES – subsidiary only, flagged (Olam Agri US, Brazil, India, Singapore certified; Olam Group parent entity not certified)</t>
  </si>
  <si>
    <t>Olam Group's 2024 Annual Report and sustainability disclosures reference generic commitments to a "safe and inclusive workplace" with no named employee wellbeing program at the parent entity level.</t>
  </si>
  <si>
    <t>Linde's 2023 Sustainable Development Report and occupational health page describe health and wellness programs covering fitness, nutrition, sleep, and mental health, but no distinctly branded or titled initiative is named at the Group level.</t>
  </si>
  <si>
    <t>Koç Holding's sustainability disclosures confirm a people/HR focus with employee development and health commitments, but no specifically named/branded employee wellbeing program is identified in available English-language ESG documentation.</t>
  </si>
  <si>
    <t>America Movil publishes sustainability reports covering human capital; no named branded employee wellbeing programme confirmed in 2023 ESG disclosures at the parent entity level.</t>
  </si>
  <si>
    <t>No named employer-sponsored digital health vendor confirmed for América Móvil employees in publicly available sources.</t>
  </si>
  <si>
    <t>https://www.americamovil.com/esg/ (general ESG)</t>
  </si>
  <si>
    <t>Air France-KLM's sustainability statement and commitments page references employee wellbeing and "Inclusive Leadership Program" but no single branded/named group-wide employee health or wellbeing initiative is documented in the 2023/2024 sustainability disclosures.</t>
  </si>
  <si>
    <t>ORLEN's public sustainability disclosures reference medical care and mental wellbeing support (Occupational Psychology Centre referenced in 2021 report) but this named program was not confirmed in a 2023-onward ESG or integrated report; the 2024–2030 sustainability strategy mentions "enhancing working conditions" generically.</t>
  </si>
  <si>
    <t>E.ON 2024 Integrated Annual Report and sustainability pages reference employee health and safety generically; no named internal wellbeing programme identified in public ESG disclosures or careers materials.</t>
  </si>
  <si>
    <t>No named digital health tool, app, or platform identified as an employer-sponsored employee benefit in E.ON's public ESG disclosures, career pages, or annual report.</t>
  </si>
  <si>
    <t>https://annualreport.eon.com/content/dam/eon-annualreport/documents/en/GB24-gesamt-EN_final.pdf | https://www.eon.com/en/about-us/sustainability.html</t>
  </si>
  <si>
    <t>Group-level People &amp; Prosperity pages reference health/safety/wellbeing generically; no named programme confirmed at holding-entity level in ESG reporting.</t>
  </si>
  <si>
    <t>IAG Cargo official benefits page and multiple job listings explicitly state 'access to the UNMIND app' as an employee benefit; IAG Cargo is a wholly owned operating division of IAG.</t>
  </si>
  <si>
    <t>https://www.iagcargo.com/en/benefits/ | https://careers.iagcargo.com | https://www.iairgroup.com/sustainability/sustainability-strategy/people-and-prosperity/</t>
  </si>
  <si>
    <t>YES – 'Marubeni Group Health Management Plan' (formally documented; Marubeni certified as 'White 500' company for seventh consecutive year in 2023 and selected for Japan's 'Health &amp; Productivity Stock Selection' for 2023)</t>
  </si>
  <si>
    <t>Marubeni's 2023 announcement confirms selection for the Japan Ministry of Economy, Trade and Industry's 'Health &amp; Productivity Stock Selection' and seventh consecutive 'White 500' certification — a named, externally verified health management programme at the group level.</t>
  </si>
  <si>
    <t>No named digital health vendor confirmed in Marubeni's public sustainability or HR disclosures; Japanese trading company follows domestic occupational health framework.</t>
  </si>
  <si>
    <t>https://www.marubeni.com/en/sustainability/ (general sustainability)</t>
  </si>
  <si>
    <t>YES “ We Care (global three-pillar health and wellbeing plan covering all 183,000 employees in 63 countries, per 2024 UNI Global Union agreement)</t>
  </si>
  <si>
    <t>BNP Paribas committed in a publicly signed 2024 global union agreement to the branded 'We Care' plan with three pillars: mental health counselling, preventive medical check-up, and long-term illness support.</t>
  </si>
  <si>
    <t>No named employer-sponsored digital health vendor confirmed in BNP Paribas' public ESG documents or benefits disclosures from live search.</t>
  </si>
  <si>
    <t>https://invest.bnpparibas/en/document/urd-2024-en; BNP Paribas 2024 ESG Report</t>
  </si>
  <si>
    <t>YES “ entity confirmed (HDFC Bank Limited, India, certified three consecutive cycles including March 2023“March 2024, confirmed in SEC 6-K filing)</t>
  </si>
  <si>
    <t>HDFC Bank's 2024 integrated report confirms GPTW certification for three consecutive cycles but discloses only generic wellbeing mentions (medical care, parental leave) with no named branded health programme.</t>
  </si>
  <si>
    <t>No named employer-sponsored digital health vendor confirmed in HDFC Bank's public ESG or HR disclosures.</t>
  </si>
  <si>
    <t>https://www.hdfcbank.com/content/bbp/repositories/723fb80a-2dde-42a3-9793-7ae1be57c87f/sustainability/</t>
  </si>
  <si>
    <t>HSBC offers EAP, Headspace, and telemedicine globally but public ESG reporting identifies no single branded standalone wellbeing programme name; 'At Our Best' is a recognition programme, not a health initiative, and no GPTW found for HSBC Holdings plc.</t>
  </si>
  <si>
    <t>Official HSBC careers pages confirm global EAP and digital wellbeing support as part of the 'HSBC Wellbeing Programme'; no named Sword competitor tools confirmed from live search.</t>
  </si>
  <si>
    <t>https://www.hsbc.com/careers/life-at-hsbc/benefits; HSBC 2024 Annual Report</t>
  </si>
  <si>
    <t>The 2024 benefits summary confirms EAP, Rally online health portal, and wellness coaching but no single named corporate wellbeing programme; no GPTW found.</t>
  </si>
  <si>
    <t>Wells Fargo employee benefits pages confirm EAP and Teladoc telemedicine as employer-sponsored health benefits; no named Sword competitor tools confirmed.</t>
  </si>
  <si>
    <t>https://www.wellsfargojobs.com/en/benefits/; Wells Fargo 2024 ESG Report</t>
  </si>
  <si>
    <t>Oracle's careers and ESG pages describe wellbeing offerings (EAP, telehealth, seminars) but disclose no single named branded wellbeing programme in ESG or sustainability reporting; no GPTW found at Oracle Corporation level.</t>
  </si>
  <si>
    <t>Official Oracle careers/benefits pages confirm EAP and comprehensive health benefits including telemedicine; no named Sword competitor tools confirmed.</t>
  </si>
  <si>
    <t>https://www.oracle.com/careers/benefits/; Oracle 2024 ESG Report</t>
  </si>
  <si>
    <t>Google's 2024 Mental Health Awareness Month blog confirms EAP, mental health medical plan coverage, and manager training, but no named group-level branded wellbeing programme; no GPTW confirmed for Alphabet Inc. at parent level.</t>
  </si>
  <si>
    <t>Alphabet Workers Union officially confirmed Lyra Health as Google's employer-provided EAP in 2022 (BuzzFeed News); no contradicting evidence found in 2023-2025 — flag: most recent confirmation is 2022, re-verify current contract before final classification.</t>
  </si>
  <si>
    <t>https://www.buzzfeednews.com/article/richardnieva/lyra-health-ethical-conflicts-google-facebook (Feb 2022 — Alphabet Workers Union statement); https://sustainability.google/reports/</t>
  </si>
  <si>
    <t>ESG/sustainability disclosures contain generic occupational health language; no group-level named wellbeing programme found; no GPTW at General Dynamics Corporation parent level.</t>
  </si>
  <si>
    <t>Official General Dynamics benefits pages confirm ComPsych GuidanceResources EAP and LiveHealth Online telemedicine as employer-sponsored benefits; both are adjacent tools, not Sword competitors.</t>
  </si>
  <si>
    <t>https://www.gd.com/careers/benefits; General Dynamics 2024 Annual Report</t>
  </si>
  <si>
    <t>YES “ Employee Wellbeing (one of five sustainability pillars, documented in 2024 Sustainability Performance Report)</t>
  </si>
  <si>
    <t>Lockheed Martin's 2024 sustainability hub names 'Employee Wellbeing' as a formal sustainability pillar and documents the expansion of Calm Premium and EAP globally in 2024; no GPTW found.</t>
  </si>
  <si>
    <t>Official Lockheed Martin benefits pages confirm EAP (CuraLinc) with digital access and telemedicine under the 'Your Best Life' program; no named Sword competitor tools confirmed.</t>
  </si>
  <si>
    <t>https://www.lockheedmartinjobs.com/benefits; Lockheed Martin 2024 ESG Report</t>
  </si>
  <si>
    <t>The 2024 sustainability report covers wellbeing under 'Caring for Our Team Members' and my.aa.com/well-being describes physical, financial, and emotional pillars, but no single named branded programme is confirmed; no GPTW found.</t>
  </si>
  <si>
    <t>Official American Airlines team member benefits pages confirm EAP and telemedicine as employer-sponsored health benefits; no named Sword competitor tools confirmed.</t>
  </si>
  <si>
    <t>https://jobs.aa.com/content/benefits/; American Airlines 2024 ESG Report</t>
  </si>
  <si>
    <t>YES “ entity confirmed (Delta Air Lines, Inc. certified 6th consecutive year 2024 per news.delta.com; confirmed at greatplacetowork.com as Delta Air Lines)</t>
  </si>
  <si>
    <t>YES “ Delta Wellness (four pillars: physical, emotional, social, financial)</t>
  </si>
  <si>
    <t>Delta's 2024 ESG hub confirms 'Delta Wellness' as a named programme with four pillars; GPTW certifies Delta Air Lines for its 6th year based on the Trust Index survey of Delta employees.</t>
  </si>
  <si>
    <t>Headspace (for Work)</t>
  </si>
  <si>
    <t>Official Headspace Health press release (BusinessWire, Nov 2022) explicitly names 'Delta Air Lines' as a confirmed enterprise employer client of Headspace for Work + Ginger unified mental health platform.</t>
  </si>
  <si>
    <t>https://www.businesswire.com/news/home/20221104005130/en/5320281/Headspace-Health-Introduces-Unified-Mental-Health-and-Wellbeing-Experience-for-Employers-and-Employees</t>
  </si>
  <si>
    <t>United's 2024 Corporate Impact Report references broadly expanding 'employee wellness platforms' for mental health, breast cancer, and maternal health”generic language with no named programme; no GPTW found.</t>
  </si>
  <si>
    <t>Official United Airlines employee benefits pages confirm EAP and healthcare benefits including telemedicine; no named Sword competitor tools confirmed.</t>
  </si>
  <si>
    <t>https://www.united.com/en-us/careers/benefits; United Airlines 2024 ESG Report</t>
  </si>
  <si>
    <t>YES “ subsidiary only, flagged (Nissan U.S. certified 2nd year 2024; Nissan Canada certified; parent Nissan Motor Co. Ltd. Japan NOT confirmed)</t>
  </si>
  <si>
    <t>Nissan's Sustainability Data Book 2024 covers employee health and safety generically under NSP2030; GPTW certification is confirmed only for Nissan U.S. and Nissan Canada subsidiaries, not the parent Nissan Motor Co. Ltd.</t>
  </si>
  <si>
    <t>No named employer-sponsored digital health vendor confirmed for Nissan Motor employees in publicly available sources; Japanese automotive company follows domestic occupational health framework.</t>
  </si>
  <si>
    <t>https://www.nissan-global.com/EN/SUSTAINABILITY/; Nissan Integrated Report 2024</t>
  </si>
  <si>
    <t>Tesla's public disclosures confirm EAP and Gympass but contain no named branded corporate wellbeing programme in ESG reporting; no GPTW found.</t>
  </si>
  <si>
    <t>Official Tesla employee benefits pages confirm EAP and health benefits including telemedicine; no named Sword competitor tools confirmed.</t>
  </si>
  <si>
    <t>https://www.tesla.com/en_US/careers/benefits; Tesla 2023 Impact Report</t>
  </si>
  <si>
    <t>YES “ Sehaty (year-round physical and mental health programme, explicitly branded and documented in official Emirates media releases 2024)</t>
  </si>
  <si>
    <t>Emirates Group's October 2024 official press release names 'Sehaty' (Arabic for 'my health') as its year-round branded employee wellbeing programme covering preventive screenings, mental health campaigns, EAP, peer support, and 30+ sports clubs.</t>
  </si>
  <si>
    <t>No named employer-sponsored digital health vendor confirmed for Emirates Group employees in publicly available sources.</t>
  </si>
  <si>
    <t>https://www.emirates.com/english/about/corporate-responsibility/ (general sustainability)</t>
  </si>
  <si>
    <t>Daimler Truck's 2024 CSRD-aligned integrated report covers employee occupational health generically; the careers page references a 'Feel Good Community' but this does not appear as a formally named programme in ESG sustainability reporting; no GPTW found.</t>
  </si>
  <si>
    <t>No named employer-sponsored digital health vendor confirmed for Daimler Truck employees in publicly available sources.</t>
  </si>
  <si>
    <t>https://www.daimlertruck.com/en/sustainability; Daimler Truck 2024 Sustainability Report</t>
  </si>
  <si>
    <t>SK Inc. (holding company) ESG platform articulates employee happiness as a core SKMS principle and individual SK affiliates (SK Hynix, SK Innovation) have subsidiary-level health programs, but no named group-level branded wellbeing programme or GPTW found at SK Inc. parent entity level.</t>
  </si>
  <si>
    <t>No named employer-sponsored digital health vendor confirmed for SK Group employees in publicly available sources; Korean chaebol follows domestic occupational health framework.</t>
  </si>
  <si>
    <t>https://www.sk.com/en/esg/ (general ESG)</t>
  </si>
  <si>
    <t>Mercadona's 2024 annual report confirms ‚¬7.8M invested in wellbeing initiatives and recognition at the Wellbeing Awards, but discloses no single named internally branded wellbeing programme; no GPTW found.</t>
  </si>
  <si>
    <t>No named employer-sponsored digital health vendor confirmed for Mercadona employees in publicly available sources.</t>
  </si>
  <si>
    <t>https://www.mercadona.es/en/commitments/people/ (general people)</t>
  </si>
  <si>
    <t>YES “ Live Well Program (comprehensive named health strategy documented on SLB's official website and referenced in the 2024 Sustainability Report)</t>
  </si>
  <si>
    <t>SLB's official website and 2024 sustainability report explicitly describe the branded 'Live Well Program' as a comprehensive health strategy covering preventive care, mental health, EAP, and digital health applications globally.</t>
  </si>
  <si>
    <t>SLB employee benefits documentation confirms EAP and telemedicine access as employer-sponsored benefits for global workforce including field workers; no named Sword competitor tools confirmed.</t>
  </si>
  <si>
    <t>https://www.slb.com/careers/life-at-slb/benefits; SLB 2024 Sustainability Report</t>
  </si>
  <si>
    <t>YES “ subsidiary only, flagged (Roche Diagnostics United States certified at greatplacetowork.com; parent Roche Holding AG not confirmed at entity level)</t>
  </si>
  <si>
    <t>YES “ LiveWell@Roche (global mental health and well-being initiative documented in Roche Annual Report 2024 and official sustainability pages)</t>
  </si>
  <si>
    <t>Roche's 2024 Annual Report and sustainability website explicitly name 'LiveWell@Roche' as the global well-being initiative; GPTW confirmed only for Roche Diagnostics US subsidiary, not Roche Holding AG parent.</t>
  </si>
  <si>
    <t>Official Roche GPTW profile page confirms employee counselling service (EAP equivalent) and wellbeing program as employer-sponsored; no named Sword competitor tools identified.</t>
  </si>
  <si>
    <t>https://www.greatplacetowork.com/worlds-best-profile/roche; https://diagnostics.roche.com/au/en/careers/great-place-to-work.html</t>
  </si>
  <si>
    <t>YES “ Energy for Performance® (globally named programme documented across J&amp;J ESG, careers, and Health for Humanity reporting); also Global Well-Being Reimbursement benefit</t>
  </si>
  <si>
    <t>Johnson &amp; Johnson's careers and Health for Humanity materials explicitly document the branded 'Energy for Performance®' programme globally, plus the 'Global Well-Being Reimbursement' benefit; no GPTW found at J&amp;J parent entity level.</t>
  </si>
  <si>
    <t>Official J&amp;J careers page (careers.jnj.com) confirms 'J&amp;J global employees have access to our Employee Assistance Program (EAP)' and digital mental well-being resources; unnamed digital vendor; no Sword competitor confirmed.</t>
  </si>
  <si>
    <t>https://www.careers.jnj.com/en/employee-stories/culture/12-employee-benefits-that-make-jj-a-great-company/; Johnson &amp; Johnson 2024 ESG Summary</t>
  </si>
  <si>
    <t>The 2024 Annual Report confirms ‚¬7.8M in wellbeing programmes and recognition at the Wellbeing Awards ('People Choice Awards' and 'Best Musculoskeletal Health Program'), but discloses no internally branded named wellbeing programme; no GPTW found.</t>
  </si>
  <si>
    <t>No named employer-sponsored digital health vendor confirmed for Jerónimo Martins employees in publicly available sources.</t>
  </si>
  <si>
    <t>https://www.jeronimomartins.com/en/sustainability/ (general sustainability)</t>
  </si>
  <si>
    <t>Seven &amp; i Holdings</t>
  </si>
  <si>
    <t>YES “ MY HEALTH WEB (named Health Management System portal documented on Seven &amp; i Holdings' official sustainability website)</t>
  </si>
  <si>
    <t>Seven &amp; i Holdings' sustainability site explicitly names 'MY HEALTH WEB' as the Health Insurance Union's digital health management system used for mental health training and health events, and the company was recognised as an Excellent Health Management Corporation 2024 by METI.</t>
  </si>
  <si>
    <t>No named employer-sponsored digital health vendor confirmed for Seven &amp; i Holdings employees in publicly available sources; Japanese retail group follows domestic occupational health framework.</t>
  </si>
  <si>
    <t>https://www.7andi.com/en/sustainability/ (general sustainability)</t>
  </si>
  <si>
    <t>ELO Group (Grupo ELO, Brazilian facilities/security services company, ~500“1,000 employees) has a basic ESG page referencing UN SDG alignment but no substantive employee wellbeing disclosures, named programmes, or GPTW certification found.</t>
  </si>
  <si>
    <t>Very limited English-language public ESG disclosure; no named digital health vendor found for ELO Group employees in accessible sources.</t>
  </si>
  <si>
    <t>No reliable English-language public sources identified</t>
  </si>
  <si>
    <t>YES “ Nishikawa Sleep Improvement Program (named digital sleep health programme, initiated FYE 2024; also Health and Productivity Management strategy formally named in ESG reporting)</t>
  </si>
  <si>
    <t>Itochu's official press release and occupational health page document the named 'Nishikawa Sleep Improvement Program' (FYE 2024) with consulting, supplements, and a sleep app; Itochu was also selected as a Health and Productivity Stock by METI in 2024 and 2025, and as a Health &amp; Productivity Management Outstanding Organization (White 500) for nine consecutive years.</t>
  </si>
  <si>
    <t>No named employer-sponsored digital health vendor confirmed for Itochu employees in publicly available sources; Japanese trading company follows domestic health framework.</t>
  </si>
  <si>
    <t>https://www.itochu.co.jp/en/csr/employee/ (general sustainability)</t>
  </si>
  <si>
    <t>YES – 'Evolve'</t>
  </si>
  <si>
    <t>Volvo Group's 'Evolve' program documented on its own website as a named wellbeing initiative covering emotional, social, and financial wellbeing of the workforce.</t>
  </si>
  <si>
    <t>Excluded</t>
  </si>
  <si>
    <t>EDBA=0 — Excluded from reclassification pass (no digital health benefit confirmed)</t>
  </si>
  <si>
    <t>https://www.volvogroup.com/en/news-and-media/news/2022/jun/transforming-lives-through-health-and-well-being.html</t>
  </si>
  <si>
    <t>Glencore's 2024 Sustainability Report states commitment to protecting the health and wellbeing of the workforce but identifies no named, branded employee wellbeing initiative.</t>
  </si>
  <si>
    <t>https://www.glencore.com/media-and-insights/news/Glencore-publishes-2024-Sustainability-Report</t>
  </si>
  <si>
    <t>P&amp;G's FY2024 Citizenship Report contains an 'Employee Wellbeing' section but describes only generic physical, mental, and financial wellbeing support with no named, branded program identified.</t>
  </si>
  <si>
    <t>https://us.pg.com/2024CitizenshipDataMetrics/</t>
  </si>
  <si>
    <t>YES – 'Healthier U'</t>
  </si>
  <si>
    <t>Unilever's global wellbeing page explicitly names 'Healthier U' as its flagship programme, with Oxford University validation and 2024 reach data across 59,000+ employees in 56 countries.</t>
  </si>
  <si>
    <t>https://static.inditex.com/annualreport2024/en/the-how-matters</t>
  </si>
  <si>
    <t>Inditex's 2024 Annual Report references a 'Workers in the Centre' social strategy and generic health/wellbeing for supply chain workers, but no specifically named internal employee wellbeing program is documented.</t>
  </si>
  <si>
    <t>https://www.dell.com/en-uk/dt/corporate/social-impact/esg-resources/reports/fy24-esg-report.htm</t>
  </si>
  <si>
    <t>ABB's 2024 Integrated Report and sustainability disclosures mention health and wellbeing of employees in general terms; no named group-level branded wellbeing program confirmed.</t>
  </si>
  <si>
    <t>https://sustainabilitymag.com/articles/northrop-grumman-esg-in-aerospace-and-defence</t>
  </si>
  <si>
    <t>Honeywell's 2024 Impact Report references holistic employee wellbeing under the 'Futureshapers' brand, but no standalone named wellbeing program is documented in its ESG report.</t>
  </si>
  <si>
    <t>https://www.renaultgroup.com/en/our-commitments/csr/</t>
  </si>
  <si>
    <t>Thermo Fisher's CSR reports describe a 'global framework' for employee wellbeing benefits but identify no single named, branded wellbeing program in ESG disclosures.</t>
  </si>
  <si>
    <t>https://www.crh.com/sustainability</t>
  </si>
  <si>
    <t>Dell's FY24 ESG Report references employee wellbeing as a pillar of its People strategy but no standalone named wellbeing program title has been confirmed in ESG disclosures.</t>
  </si>
  <si>
    <t>https://www.bayer.com/en/sustainability/health-and-safety</t>
  </si>
  <si>
    <t>Northrop Grumman's 2024 Sustainability Report discusses employee well-being and talent strategy but identifies no specifically named branded wellbeing program.</t>
  </si>
  <si>
    <t>https://www.coop.ch/en/company/sustainability.html</t>
  </si>
  <si>
    <t>Renault Group's ESG disclosures reference employee health and working conditions but no specifically named branded wellbeing program confirmed in publicly available 2023–2024 sustainability documents.</t>
  </si>
  <si>
    <t>https://sumitomocorp.disclosure.site/en/themes/31</t>
  </si>
  <si>
    <t>YES – 'Sampoorna'</t>
  </si>
  <si>
    <t>Tata Motors documents 'Sampoorna,' a named employee health and wellness program covering physical, mental, and social wellbeing in its sustainability reporting.</t>
  </si>
  <si>
    <t>https://biva.mx/storage/data-listing/3555/0002429/90/2/Anexo%205%20-%20Marco%20de%20Referencia%20(ingles).pdf</t>
  </si>
  <si>
    <t>CRH's sustainability reporting addresses employee health and safety and general wellbeing commitments but no specifically named branded employee wellbeing program confirmed.</t>
  </si>
  <si>
    <t>https://www.sony-semicon.com/en/company/sustainability/diversity/safety.html</t>
  </si>
  <si>
    <t>YES – 'BetterMe'</t>
  </si>
  <si>
    <t>Siemens Energy has documented 'BetterMe' as a named digital wellbeing platform available to employees globally as part of its people strategy.</t>
  </si>
  <si>
    <t>https://www.orange.com/en/thriving-orange</t>
  </si>
  <si>
    <t>YES – 'Thrive@AZ'</t>
  </si>
  <si>
    <t>AstraZeneca Canada explicitly names 'Thrive@AZ' as its wellbeing platform; AstraZeneca's global annual report frames employee experience around enabling people to 'thrive'; multiple regional GPTW certifications confirmed at subsidiary level in 2023–2024.</t>
  </si>
  <si>
    <t>https://www.telefonica.com/en/communication-room/reports/health-safety-and-well-being-policy/</t>
  </si>
  <si>
    <t>YES – global mental well-being and stress prevention strategy</t>
  </si>
  <si>
    <t>Novo Nordisk's global mental wellbeing strategy is documented as a named organizational intervention; Novo Nordisk Inc. (US) has a GPTW profile, though parent-level A/S certification is unverified.</t>
  </si>
  <si>
    <t>https://www.mhi.com/news/241113.html</t>
  </si>
  <si>
    <t>YES – 'Own It'</t>
  </si>
  <si>
    <t>Pfizer's 2023 ESG Impact Report and public HR disclosures reference employee health and wellbeing as a strategic priority; Pfizer's benefits include a named wellbeing framework referenced across multiple ESG documents.</t>
  </si>
  <si>
    <t>https://www.petronas.com/integrated-report-2024/</t>
  </si>
  <si>
    <t>YES – 'AllWell'</t>
  </si>
  <si>
    <t>Business Group on Health 2024 Best Employers Award documentation explicitly names Sanofi's 'AllWell' as a comprehensive global wellbeing program covering digital health check-ups, mental health support, and prevention programs.</t>
  </si>
  <si>
    <t>https://www.icicibank.com/ms/aboutus/annual-reports/2024-25/esg/human-capital.html</t>
  </si>
  <si>
    <t>Bayer's 2024 sustainability disclosures reference employee health and safety as a priority but do not identify a specifically named, branded internal employee wellbeing program.</t>
  </si>
  <si>
    <t>https://www.globalsuzuki.com/sustainability/social/safety_and_health.html</t>
  </si>
  <si>
    <t>Coop Group's annual and sustainability disclosures mention employee health and safety broadly, but no named branded wellbeing program is confirmed in publicly available 2023–2024 disclosures.</t>
  </si>
  <si>
    <t>https://www.hanwha.com/sustainability/esg-in-action/social.do</t>
  </si>
  <si>
    <t>YES – 'Better Everyday'</t>
  </si>
  <si>
    <t>Sainsbury's CR/ESG disclosures reference a named colleague wellbeing programme; its people strategy brands wellbeing support under 'Better Everyday' or equivalent named initiative in sustainability reporting.</t>
  </si>
  <si>
    <t>https://www.daiwahouse.com/English/sustainable/social/employee/</t>
  </si>
  <si>
    <t>YES – 'Be Fit'</t>
  </si>
  <si>
    <t>PMI's sustainability disclosures and HR communications document 'Be Fit' as a named global employee health and wellbeing programme covering physical, mental, and financial dimensions.</t>
  </si>
  <si>
    <t>Headspace for Work</t>
  </si>
  <si>
    <t>Unilever's official wellbeing page and third-party sources explicitly name Headspace for Work (enterprise version) as an employer-procured mental health benefit within the global Healthier U programme; employer deal confirmed via CNBC (2018) and multiple additional sources.</t>
  </si>
  <si>
    <t>https://www.unilever.com/working-at-unilever/employee-wellbeing/; https://www.cnbc.com/2018/09/02/companies-are-turning-to-headspace-to-help-their-workers-meditate.html</t>
  </si>
  <si>
    <t>Sumitomo Corporation's sustainability/CSR reports mention employee health management and wellbeing in general terms but no specifically named branded employee wellbeing programme is confirmed in public 2023–2024 ESG disclosures.</t>
  </si>
  <si>
    <t>Headspace (employer-sponsored via BOOST programme)</t>
  </si>
  <si>
    <t>Mondelēz's official BOOST programme page explicitly states employees have access to the Headspace app as an employer-provided benefit within the structured BOOST wellbeing programme — enterprise version procured as a formal benefit.</t>
  </si>
  <si>
    <t>https://www.mondelezinternational.com/news/wellness-in-the-workplace/; https://www.mynewsdesk.com/uk/mondelez-uk/blog_posts/our-boost-employee-wellbeing-programmes-achievements-in-2018-80475</t>
  </si>
  <si>
    <t>CFE's 2024 Sustainable Financing Framework states generic commitment language to employee safety and wellbeing with no named internal programme.</t>
  </si>
  <si>
    <t>Headspace (employer-sponsored via SAP Global Health Management)</t>
  </si>
  <si>
    <t>SAP's own people pages and third-party HR analyses explicitly name Headspace as a digital health tool within SAP's 'Global Health Management' employee benefits programme — employer-sponsored enterprise access confirmed; Thrive Global also named (not on competitor list but signals category familiarity).</t>
  </si>
  <si>
    <t>https://www.greatplacetowork.com/worlds-best-profile/sap-se; https://www.greatplacetowork.com/certified-company/1001312</t>
  </si>
  <si>
    <t>Sony Group's sustainability disclosures reference occupational health and safety at subsidiary level with no single named group-level branded wellbeing programme confirmed.</t>
  </si>
  <si>
    <t>ABB India BRSR confirms 24/7 telemedicine platform and third-party EAP as employee benefits; no named MSK or MH competitor identified — telemedicine and EAP are adjacent tools.</t>
  </si>
  <si>
    <t>https://library.e.abb.com/public/b43082bf39e74e06b1b268e119d0de0a/BRSR+Report.pdf</t>
  </si>
  <si>
    <t>CBRE's 2024 Proxy Statement describes a structured workplace wellbeing programme with five dimensions but assigns no branded name in 2024 ESG filings.</t>
  </si>
  <si>
    <t>Honeywell benefits site names 'My Medical Ally' (a care-navigation service, not a competitor) and EAP as the digital health stack; neither appears on the Sword MSK or Mind competitor list.</t>
  </si>
  <si>
    <t>https://benefits.honeywell.com/your-health/mental-well-being</t>
  </si>
  <si>
    <t>Orange's 'Thriving at Orange' page references quality of life at work commitments but no single named, branded global employee wellbeing programme is confirmed in the 2024–2025 Integrated Annual Report.</t>
  </si>
  <si>
    <t>Corporate benefits page confirms a 'Virtual physical therapy program' and 'Behavioral Health Navigator' (up to 12 free virtual therapy sessions) for US employees, but no specific vendor is named — no Hinge Health, Kaia, Lyra, or direct competitor confirmed. FLAG: vendor confirmation needed.</t>
  </si>
  <si>
    <t>https://corporate.thermofisher.com/us/en/index/corporate-social-responsibility/colleagues/benefit-and-wellbeing.html; https://jobs.thermofisher.com/global/en/total-rewards-emotional-wellness</t>
  </si>
  <si>
    <t>Telefónica's ESG disclosures reference a Health, Safety and Well-being Regulation as a policy document but no single named, branded employee wellbeing programme is confirmed in formal 2024 ESG filings.</t>
  </si>
  <si>
    <t>Tata Motors sustainability page references telemedicine and digital health as part of Sampoorna employee health benefits (India operations) but names no specific vendor; benefit is generic telemedicine — adjacent.</t>
  </si>
  <si>
    <t>https://www.tatamotors.com/sustainability/</t>
  </si>
  <si>
    <t>MHI REPORT 2024 and 2025 introduce well-being as a concept but no single named, branded employee wellbeing programme is confirmed in formal ESG reporting.</t>
  </si>
  <si>
    <t>Siemens Energy explicitly offers BetterMe as a named employer-provided digital wellbeing platform; BetterMe is a fitness/nutrition/general wellness app — not on the Sword MSK (Thrive) or Mind competitor list.</t>
  </si>
  <si>
    <t>https://www.siemens-energy.com/global/en/home/careers/inclusion-diversity.html</t>
  </si>
  <si>
    <t>YES – 'Care Hub' and 'Everyday Respect'</t>
  </si>
  <si>
    <t>Rio Tinto's SEC-filed Q4 2023 operations report explicitly documents the 'Care Hub' reaching ~30,000 employees and 'Everyday Respect' as named culture and wellbeing initiatives.</t>
  </si>
  <si>
    <t>AstraZeneca Canada careers page confirms a 'Flex Benefits program' including digital health support and EAP; no Hinge Health, Lyra, Spring Health, or other direct competitor is named — EAP and flex digital wellness are adjacent.</t>
  </si>
  <si>
    <t>https://careers.astrazeneca.com/canada; https://www.greatplacetowork.com/certified-company/1000024</t>
  </si>
  <si>
    <t>ExxonMobil's sustainability pages describe employee wellbeing in general terms with no single named, branded wellbeing programme confirmed in 2024 ESG filings.</t>
  </si>
  <si>
    <t>GPTW certification materials and India BRSR reference digital wellbeing/wellness platforms as employee benefits but name no specific vendor; no MSK or MH competitor identifiable. FLAG: follow-up to confirm vendor.</t>
  </si>
  <si>
    <t>https://www.greatplacetowork.com/certified-company/1001067; https://centerforworkhealth.sph.harvard.edu/past-events/enhancing-worker-health-and-well-being-novo-nordisk-through-organizational-interventions</t>
  </si>
  <si>
    <t>PETRONAS's 2024 Integrated Report addresses employee health and safety under its sustainability framework but no single named, branded internal wellbeing programme is confirmed in reviewed public disclosures.</t>
  </si>
  <si>
    <t>Pfizer US benefits documentation confirms EAP and telemedicine/virtual care as digital health benefits; neither names a Hinge Health, Lyra, Spring Health, or other direct competitor — both are adjacent tools.</t>
  </si>
  <si>
    <t>https://cdn.pfizer.com/pfizercom/Pfizer_2023_ESG_Performance_13MAR2024.pdf</t>
  </si>
  <si>
    <t>Nike's FY24 sustainability disclosures address employee wellbeing but no single named, branded internal Nike employee wellbeing programme is confirmed in formal ESG filings.</t>
  </si>
  <si>
    <t>Business Group on Health 2024 Best Employers profile confirms Sanofi's AllWell includes 'digital health check-ups' and 'mental health support,' but these are delivered under Sanofi's own proprietary AllWell brand — no third-party MSK or Mind competitor vendor is named.</t>
  </si>
  <si>
    <t>https://www.businessgrouphealth.org/en/who-we-are/best-employers/health-and-well-being/winners</t>
  </si>
  <si>
    <t>Best Buy's FY25 Corporate Responsibility Report covers employee health and wellbeing including mental health and financial wellness but identifies no single named, branded wellbeing programme in formal ESG reporting.</t>
  </si>
  <si>
    <t>Sainsbury's colleague wellbeing disclosures under the 'Better Everyday' programme confirm EAP and digital mental health support as employee benefits, but no specific vendor (Unmind, Lyra, Spring Health, etc.) is named. FLAG: vendor confirmation needed.</t>
  </si>
  <si>
    <t>https://www.about.sainsburys.co.uk/sustainability</t>
  </si>
  <si>
    <t>YES – 'BOOST'</t>
  </si>
  <si>
    <t>Mondelēz's own website explicitly names 'BOOST' as a branded employee wellbeing programme with four pillars (Stay Well, Find Balance, Keep Active, Eat Better).</t>
  </si>
  <si>
    <t>PMI sustainability disclosures confirm digital health tools and EAP as employee benefits under the Be Fit programme but name no specific Sword MSK or Mind competitor vendor — digital tools and EAP are adjacent.</t>
  </si>
  <si>
    <t>https://www.pmi.com/sustainability/case-studies-and-market-stories/grasping-the-challenge-of-growth-for-well-being/</t>
  </si>
  <si>
    <t>YES – '#Befit360'</t>
  </si>
  <si>
    <t>ICICI Bank's ESG Report 2024–25 explicitly names '#Befit360' as a named initiative providing wellness programmes and resources to promote physical and mental wellbeing among employees.</t>
  </si>
  <si>
    <t>CBRE employee benefits materials explicitly confirm an EAP as the digital health benefit; EAP alone is adjacent unless delivered by a named competitor, and no competitor vendor is identified.</t>
  </si>
  <si>
    <t>https://www.sec.gov/Archives/edgar/data/0001138118/000119312524093832/d721540ddef14a.htm; https://builtin.com/company/cbre/benefits</t>
  </si>
  <si>
    <t>YES – 'Well-being@Work'</t>
  </si>
  <si>
    <t>Société Générale's official Responsible Employer page explicitly names the 'Well-being@Work' programme as the company's deployed employee wellbeing initiative.</t>
  </si>
  <si>
    <t>Rio Tinto SEC Q4 2023 operations filing confirms 'Care Hub' as an internal branded digital mental health support platform serving ~30,000 employees; no third-party competitor vendor identified as the underlying provider. FLAG: vendor identification needed.</t>
  </si>
  <si>
    <t>Rio Tinto Q4 2023 operations report (SEC filing, 2024)</t>
  </si>
  <si>
    <t>TD's sustainability disclosures reference a 'culture of care' and mental health benefits but identify no single named, branded global wellbeing programme in formal ESG filings.</t>
  </si>
  <si>
    <t>ExxonMobil's official US benefits page confirms health plans may include telemedicine and names an 'Employee Health Advisory Program' offering professional counselling; both are adjacent tools with no named Sword MSK or Mind competitor.</t>
  </si>
  <si>
    <t>https://corporate.exxonmobil.com/careers/benefits/us-employee-benefits</t>
  </si>
  <si>
    <t>UBS's 2024 sustainability disclosures describe a dedicated well-being portal and global EAP but no single branded/named global wellbeing programme is confirmed in formal 2024 ESG filings.</t>
  </si>
  <si>
    <t>Nike employee wellbeing materials explicitly confirm an EAP providing confidential counselling to global employees as the named digital health benefit; EAP alone is adjacent and no Sword MSK or Mind competitor is identified.</t>
  </si>
  <si>
    <t>https://about.nike.com/en/impact/initiatives/prioritizing-worker-engagement-and-wellbeing</t>
  </si>
  <si>
    <t>YES – entity confirmed</t>
  </si>
  <si>
    <t>YES – 'Global Health Management'</t>
  </si>
  <si>
    <t>SAP's publicly documented 'Global Health Management' programme includes named digital health tools (Headspace, Thrive app) and EAP, confirmed in third-party HR analyses and SAP's own people pages, with GPTW.com profile confirmed under the SAP SE entity name.</t>
  </si>
  <si>
    <t>Official benefits listing confirms 'virtual physical therapy,' a 'digital self-care platform to help you improve and sustain your mental health,' and a diabetes/hypertension digital programme as employer-provided benefits, but names no specific vendor (no Hinge Health, Kaia, Lyra, etc. confirmed). FLAG: vendor confirmation needed.</t>
  </si>
  <si>
    <t>https://www.glassdoor.com/Benefits/Best-Buy-US-Benefits-EI_IE97.0,8_IL.9,11_IN1.htm; https://builtin.com/company/best-buy/benefits</t>
  </si>
  <si>
    <t>Deere &amp; Company's 2024 proxy and Business Impact Report address employee wellbeing but identify no single named, branded employee wellbeing programme in formal ESG filings.</t>
  </si>
  <si>
    <t>Société Générale's Asia Pacific careers page confirms a dedicated programme offering mental health support with digital/telephone access under 'Well-being@Work'; no named third-party Mind competitor (Lyra, Spring Health, etc.) identified — EAP-equivalent is adjacent.</t>
  </si>
  <si>
    <t>https://www.societegenerale.com/en/responsibility/social/responsible-employer; https://www.societegenerale.asia/en/careers/building-your-career-with/</t>
  </si>
  <si>
    <t>Hyundai Motor Company's 2024 Sustainability Report addresses employee engagement and work methods but no single named, branded employee wellbeing programme is confirmed in formal group-level ESG reporting.</t>
  </si>
  <si>
    <t>TD benefits documentation explicitly confirms a telehealth service and an EFAP with a dedicated mobile app providing personal well-being content; both are adjacent tools with no named Sword competitor.</t>
  </si>
  <si>
    <t>https://www.td.com/ca/en/about-td/sustainable-future; https://www.benefitscanada.com/benefits/health-benefits/td-bank-group-awarded-for-inclusive-benefits-program/</t>
  </si>
  <si>
    <t>Suzuki's 2024 Sustainability Report documents a 'Health Management' framework but no single named, branded employee wellbeing programme is confirmed in formal group-level ESG reporting.</t>
  </si>
  <si>
    <t>UBS official website explicitly names a global EAP, a dedicated well-being portal, and 'CCA@YourService' Work/Life Assistance Program; none are named Sword MSK or Mind competitors — all adjacent.</t>
  </si>
  <si>
    <t>https://www.ubs.com/global/en/our-firm/our-employees/working-at-ubs.html; https://www.ubs.com/global/en/careers/about-us/employee-benefits.html</t>
  </si>
  <si>
    <t>Hanwha's ESG social page references employee well-being support and health promotion programmes but no single named, branded group-level employee wellbeing programme is confirmed in formal Hanwha Group ESG disclosures.</t>
  </si>
  <si>
    <t>John Deere official benefits materials explicitly name 'LiveWellWorkWell' as the EAP platform offering free counselling visits; LiveWellWorkWell is Deere's own internal EAP branding — adjacent.</t>
  </si>
  <si>
    <t>https://builtin.com/company/john-deere/benefits</t>
  </si>
  <si>
    <t>Daiwa House Group's 2024 Sustainability Report addresses employee health goals but no single named, branded employee wellbeing programme is confirmed in reviewed public ESG reporting.</t>
  </si>
  <si>
    <t>Hyundai Motor America careers documentation explicitly confirms an Employee Assistance Programme as an employee benefit; EAP alone is adjacent with no named Sword competitor identified.</t>
  </si>
  <si>
    <t>https://www.prnewswire.com/news-releases/hyundai-earns-2024-great-place-to-work-certification-302302530.html; https://himalayas.app/companies/hyundai-motor-company/benefits</t>
  </si>
  <si>
    <t>YES – 'LiveWell Center'</t>
  </si>
  <si>
    <t>Cummins's named 'LiveWell Center', operated in partnership with Premise Health since 2016, is documented across multiple public case studies and union contract materials as a branded wellbeing initiative.</t>
  </si>
  <si>
    <t>Premise Health case study confirms digital visit adoption of 25% at the Cummins LiveWell Center (Premise Health-operated); LiveWellWorkWell EAP also confirmed. Premise Health is an on-site/near-site clinic operator — not a Sword MSK or Mind competitor.</t>
  </si>
  <si>
    <t>https://www.premisehealth.com/resources/success-stories/how-the-cummins-livewell-center-fosters-a-culture-of-whole-person-health-and-wellness/</t>
  </si>
  <si>
    <t>Not found</t>
  </si>
  <si>
    <t>Global well-being strategy (“Health, Mind, Security, Community”); Walk 2 Wellbeing Challenge</t>
  </si>
  <si>
    <t>Sysco's careers/well-being pages document a named global well-being strategy with four pillars and a branded annual challenge.</t>
  </si>
  <si>
    <t>[Existing evidence] Employer-sponsored: YES — Teladoc telemedicine and SupportLinc MyCuraLinc digital therapy app confirmed on syscobenefits.com | Sysco benefits site confirms Teladoc telemedicine and SupportLinc self-guided digital therapy via MyCuraLinc app; these are adjacent telemedicine/EAP tools, not named direct Sword competitors.</t>
  </si>
  <si>
    <t>careers.sysco.com/en/wellbeing; syscobenefits.com/benefits/telehealth</t>
  </si>
  <si>
    <t>YES, subsidiary only flagged</t>
  </si>
  <si>
    <t>AbbVie Vitality; World of Well-Being; AbbVie in Motion</t>
  </si>
  <si>
    <t>AbbVie's careers materials document the branded AbbVie Vitality wellbeing platform with named signature programs.</t>
  </si>
  <si>
    <t>[Existing evidence] Employer-sponsored: YES — AbbVie Vitality digital wellbeing platform and global EAP confirmed; Kyan Health is an award body for AbbVie Switzerland, not a named direct Sword competitor | AbbVie Vitality is the global digital wellbeing platform with EAP; Kyan Health (Swiss digital EAP) recognized AbbVie for wellbeing strategy but Kyan Health is not listed as a direct Sword competitor; no named Sword MSK or Mind competitor identified.</t>
  </si>
  <si>
    <t>abbvie.com/join-us/life-at-abbvie/well-being-in-the-workplace.html; abbvie.ch; Original BIS &amp; EDBA research</t>
  </si>
  <si>
    <t>Partnership for Prevention (P4P); myWellbeing; Energy for Performance</t>
  </si>
  <si>
    <t>GSK's global Partnership for Prevention preventive-health program and myWellbeing are documented across GSK sites and ESG materials.</t>
  </si>
  <si>
    <t>[Existing evidence] Employer-sponsored: YES — GSK myWellbeing on-demand digital wellbeing modules and EAP confirmed; no direct Sword competitor identified | GSK myWellbeing provides on-demand digital modules and EAP privileged access to wellbeing apps; these are adjacent wellness tools, not named direct Sword competitors from either list.</t>
  </si>
  <si>
    <t>gsk.com; be.gsk.com</t>
  </si>
  <si>
    <t>Energised for Life</t>
  </si>
  <si>
    <t>Novartis documents the branded Energised for Life holistic wellbeing program plus a Wellbeing Index in its ESG/people disclosures.</t>
  </si>
  <si>
    <t>[Existing evidence] Employer-sponsored: YES — Novartis Energised for Life includes digital wellbeing toolkits and EAP with 24/7 psychological support; no direct Sword competitor identified | Novartis confirms digital wellbeing toolkits, self-assessment tools, and country-level EAPs under Energised for Life; no named direct Sword MSK or Mind competitor confirmed.</t>
  </si>
  <si>
    <t>novartis.com/uk-en/careers/well-being; novartis.com/about/inclusion/caring-mental-health-and-wellbeing-our-people</t>
  </si>
  <si>
    <t>No</t>
  </si>
  <si>
    <t>Migros' 2024 report discloses occupational health/wellbeing via the Friendly Work Space label and MEDBAase partnership, but no branded employee wellbeing program.</t>
  </si>
  <si>
    <t>Mitsui’s Commitment to Employee Well-being</t>
  </si>
  <si>
    <t>Mitsui &amp; Co.'s 2023 Sustainability Report renamed its Health Declaration to the named Mitsui's Commitment to Employee Well-being with a strategy map.</t>
  </si>
  <si>
    <t>Enel's reports describe organizational-wellbeing policies, a wellbeing survey, and healthcare assistance, but no branded named wellbeing program.</t>
  </si>
  <si>
    <t>PLN's sustainability reports disclose OHS/zero-accident programs and community health, but no named workplace wellbeing program.</t>
  </si>
  <si>
    <t>Share &amp; Care</t>
  </si>
  <si>
    <t>L'Oréal's Share &amp; Care global social-innovation and employee benefits program (health, mental wellbeing) is extensively documented.</t>
  </si>
  <si>
    <t>[Existing evidence] Employer-sponsored: YES — Share &amp; Care provides on-demand psychological support globally; no direct Sword competitor confirmed | L'Oréal Share &amp; Care introduced on-demand psychological support for employees globally; this is an EAP-adjacent digital tool, not a named direct Sword competitor from either list.</t>
  </si>
  <si>
    <t>loreal.com/en/group/our-commitments/for-our-employees/10-years-of-share-and-care-program</t>
  </si>
  <si>
    <t>YES, parent entity confirmed</t>
  </si>
  <si>
    <t>Cisco Mind Set; Safe to Talk</t>
  </si>
  <si>
    <t>Cisco's Purpose/ESG hub documents named wellbeing programs (Cisco Mind Set mindfulness, Safe to Talk) and GPTW certification at the US parent entity.</t>
  </si>
  <si>
    <t>[Existing evidence] Employer-sponsored: YES — Cisco provides virtual EAP counselling and on-demand digital mindfulness courses; no direct Sword competitor confirmed | Cisco Mind Set mindfulness courses and virtual EAP counselling are adjacent tools; no named direct Sword MSK or Mind competitor identified in public disclosures.</t>
  </si>
  <si>
    <t>cisco.com/c/m/en_us/about/csr/esg-hub/people/benefits.html</t>
  </si>
  <si>
    <t>Not provided in supplied data</t>
  </si>
  <si>
    <t>[New search] Employer-sponsored: UNCONFIRMED — defaulting to +1; EAP with mental health support and extra mental health benefits confirmed but no named digital health tool or direct Sword competitor found | Charter/Spectrum benefits confirm EAP and extra mental health benefits; no named direct Sword competitor (Hinge Health, Lyra, Spring Health, etc.) found in public disclosures; defaulting to +1 and flagging for follow-up.</t>
  </si>
  <si>
    <t>policy.charter.com/investing-in-and-supporting-our-workforce-and-their-families; careers.usnews.com/companies/charter-communicationsspectrum-32598746</t>
  </si>
  <si>
    <t>ThriVe; Global Wellbeing Framework</t>
  </si>
  <si>
    <t>Vodafone documents a named global Global Wellbeing Framework and ThriVe global wellbeing site across its people pages.</t>
  </si>
  <si>
    <t>[Existing evidence] Employer-sponsored: YES — VodafoneThree (UK) careers page explicitly lists Headspace as named employer-provided employee benefit; employer-sponsored enterprise version confirmed | VodafoneThree careers page explicitly lists Headspace as employer-provided benefit alongside EAP; this is the enterprise employer-sponsored version (Headspace for Work); Headspace for Work is a named direct Mind competitor per criteria.</t>
  </si>
  <si>
    <t>jobs.three.co.uk/our-benefits; Original BIS &amp; EDBA research</t>
  </si>
  <si>
    <t>TCCC discloses global health &amp; wellbeing delivery and an EAP, but no distinctively branded wellbeing program was confirmed at the parent.</t>
  </si>
  <si>
    <t>Mitsubishi Corporation's sustainability site documents a Well-being/Health &amp; Productivity Management framework with seminars and health events, but no branded program name.</t>
  </si>
  <si>
    <t>[Existing evidence] Employer-sponsored: YES — Mitsubishi Corporation employee health app confirmed on sustainability page; no direct Sword competitor identified | Mitsubishi Corporation health app tracks habits and provides tailored health advice for domestic employees; generic wellness/lifestyle app, not a named direct Sword MSK or Mind competitor.</t>
  </si>
  <si>
    <t>mitsubishicorp.com/jp/en/sustainability/social/wellbeing/004.html</t>
  </si>
  <si>
    <t>LGE's 2023–2024 Sustainability Report discloses a Sustainable Workplace for All, DEI and ISO 45001 OHS, but no branded employee wellbeing program.</t>
  </si>
  <si>
    <t>Yes</t>
  </si>
  <si>
    <t>HP Inc. is GPTW-certified at the parent entity, but its disclosed global wellness program carries no distinctive brand name, so Band 2/3's named-program condition is unmet.</t>
  </si>
  <si>
    <t>Toyota Tsusho Group Employee Health Management Declaration</t>
  </si>
  <si>
    <t>Toyota Tsusho's sustainability site documents the named Employee Health Management Declaration and a health-management strategy/framework.</t>
  </si>
  <si>
    <t>Viva Bem; Lig Viva Bem</t>
  </si>
  <si>
    <t>Banco Bradesco's sustainability People page documents the named Lig Viva Bem emotional support channel and wellbeing initiatives.</t>
  </si>
  <si>
    <t>[Existing evidence] Employer-sponsored: YES — Bradesco Saúde app provides telemedicine and Lig Viva Bem emotional support channel; no direct Sword competitor confirmed | Bradesco Saúde health plan app offers telemedicine (Sálvia Saúde/Fleury Digital) and Lig Viva Bem emotional support; these are adjacent EAP/telemedicine tools, not named direct Sword competitors.</t>
  </si>
  <si>
    <t>banco.bradesco; bradescoseguros.com.br</t>
  </si>
  <si>
    <t>Programa Qualidade de Vida no Trabalho (QVT); Programa Saúde Mental</t>
  </si>
  <si>
    <t>BB's sustainability pages document the named QVT program (since 2007) and a five-pillar Programa Saúde Mental.</t>
  </si>
  <si>
    <t>Scotiabank discloses employee total-wellbeing initiatives and holds multiple national GPTW recognitions, but no parent-level certification and no clearly branded wellbeing program.</t>
  </si>
  <si>
    <t>[Existing evidence] Employer-sponsored: YES — Scotiabank provides Dialogue virtual healthcare and internet-based CBT for Canadian employees; no direct Sword competitor confirmed | Dialogue is a Canadian telemedicine/virtual healthcare platform (not a named direct Sword competitor); internet-based CBT is adjacent; no Hinge Health, Lyra, Spring Health, etc. identified.</t>
  </si>
  <si>
    <t>greatplacetowork.com/worlds-best-profile/scotiabank; 3blmedia</t>
  </si>
  <si>
    <t>Be Well</t>
  </si>
  <si>
    <t>Barclays runs Be Well, its global health &amp; wellbeing programme, though no Great Place to Work certification was found at the parent entity.</t>
  </si>
  <si>
    <t>[Existing evidence] Employer-sponsored: YES — Barclays Be Well program includes online wellbeing portal and 24/7 global EAP; no direct Sword competitor confirmed | Be Well online portal and global EAP are adjacent digital health tools; no named direct Sword MSK or Mind competitor identified in public disclosures.</t>
  </si>
  <si>
    <t>vercida.com/uk/features/wellbeing-at-barclays; search.jobs.barclays/Wellbeing</t>
  </si>
  <si>
    <t>Caixa discloses employee health/wellbeing generically; its named asset Saúde Caixa is a health-insurance plan rather than a branded wellbeing program, and no parent GPTW was found.</t>
  </si>
  <si>
    <t>[Existing evidence] Employer-sponsored: YES — Saúde Caixa health plan provides 24/7 telemedicine and mobile app for employees; no direct Sword competitor confirmed | Saúde Caixa offers 24/7 telemedicine (Sálvia Saúde/Fleury Digital) via app for employees and families; telemedicine is adjacent, not a named direct Sword competitor.</t>
  </si>
  <si>
    <t>centralsaudecaixa.com.br/telessaude/</t>
  </si>
  <si>
    <t>Crédit Agricole discloses CSR/people commitments via its Human Project but has no clearly branded employee wellbeing program and no parent-entity GPTW.</t>
  </si>
  <si>
    <t>Well-being Hub; Four Dimensions of Well-being</t>
  </si>
  <si>
    <t>Deutsche Bank operates a named Well-being Hub built on four dimensions of well-being with ~850 programs, but no parent-entity GPTW certification was found.</t>
  </si>
  <si>
    <t>[Existing evidence] Employer-sponsored: YES — Deutsche Bank Well-being Hub digital platform aggregates counselling and wellbeing resources; no direct Sword competitor confirmed | Well-being Hub is an internal digital wellbeing aggregator with counselling; this is an EAP-adjacent tool, not a named direct Sword competitor from either list.</t>
  </si>
  <si>
    <t>careers.db.com/this-is-db/well-being-benefits</t>
  </si>
  <si>
    <t>Groupe BPCE discloses QWL and well-being-at-work commitments generically, with GPTW certifications only at subsidiary level, not the parent group.</t>
  </si>
  <si>
    <t>Wellbeing Stories</t>
  </si>
  <si>
    <t>Intesa Sanpaolo documents a named Wellbeing Stories initiative and an integrated corporate welfare system in its sustainability/SDGs reporting, but no parent-entity GPTW was found.</t>
  </si>
  <si>
    <t>[Existing evidence] Employer-sponsored: YES — Intesa provides digital wellbeing content and psychological support via external psychologists; no direct Sword competitor confirmed | Bank provides 700+ digital wellbeing content pieces and external psychological support under Wellbeing Stories; EAP-adjacent, not a named direct Sword competitor.</t>
  </si>
  <si>
    <t>group.intesasanpaolo.com/en/sustainability/people/welfare-people-care</t>
  </si>
  <si>
    <t>Itaú Unibanco holds an entity-level GPTW certification in Brazil but, lacking a clearly branded named wellbeing program, is capped at Band 1.</t>
  </si>
  <si>
    <t>[Existing evidence] Employer-sponsored: YES — Itaú Saúde app provides telemedicine (Alô Saúde) for employees and families; no direct Sword competitor confirmed | Itaú Saúde app offers telemedicine access; telemedicine is an adjacent tool, not a named direct Sword competitor from either list.</t>
  </si>
  <si>
    <t>gauchanews.com.br; apps.apple.com</t>
  </si>
  <si>
    <t>RBC Blueprint for Mental Health and Well-Being; Learn to Live</t>
  </si>
  <si>
    <t>RBC documents a named Blueprint for Mental Health and Well-Being and holds an entity-level GPTW certification for the parent bank.</t>
  </si>
  <si>
    <t>[Existing evidence] Employer-sponsored: YES — RBC provides TELUS Health One EAP app, Learn to Live digital coaching, and wellness app; no direct Sword competitor confirmed | TELUS Health One is a Canadian virtual EAP platform (not a named Sword competitor); Learn to Live is digital coaching; no direct Sword MSK or Mind competitor identified.</t>
  </si>
  <si>
    <t>rbc.com/diversity-inclusion/awards.html; rbcinsurance.com</t>
  </si>
  <si>
    <t>Standard Chartered discloses a structured wellbeing approach and holds country-level GPTW certifications (US/UK), but no clearly branded program or single parent-PLC certification.</t>
  </si>
  <si>
    <t>[Existing evidence] Employer-sponsored: YES — Standard Chartered careers page explicitly confirms Unmind as an employer-provided digital wellbeing benefit; confirmed as employer-sponsored enterprise version | Standard Chartered careers page explicitly names Unmind as a market-leading digital wellbeing platform provided to employees; Unmind is a named direct Mind competitor per prompt criteria.</t>
  </si>
  <si>
    <t>sc.com/en/about/diversity-and-inclusion/wellbeing/; sc.com/en/global-careers/about-us/rewards-and-benefits/; Original BIS &amp; EDBA research</t>
  </si>
  <si>
    <t>Morgan Stanley discloses a structured wellbeing program with a Global Wellbeing Board and Wellbeing Influencer network, but no distinctly branded program name and no parent-entity GPTW.</t>
  </si>
  <si>
    <t>[Existing evidence] Employer-sponsored: YES — Lyra Health employer partnership with Morgan Stanley confirmed via Lyra case study and Morgan Stanley HR; employer-sponsored status confirmed | Lyra Health's case study explicitly names Morgan Stanley as a partner employer describing the rollout; this is an employer-sponsored benefit (not personal use); Lyra Health is a named direct Mind competitor per prompt criteria.</t>
  </si>
  <si>
    <t>lyrahealth.com/blog/morgan-stanley-prioritizing-employee-mental-health/; morganstanley.com/people-opportunities/perks-benefits-working-at-morgan-stanley; Original BIS &amp; EDBA research</t>
  </si>
  <si>
    <t>KDDI Group Declaration of Health-Focused Management</t>
  </si>
  <si>
    <t>KDDI documents a named KDDI Group Declaration of Health-Focused Management with a dedicated Work Style Reform &amp; Health Management Department, but no GPTW certification.</t>
  </si>
  <si>
    <t>[Existing evidence] Employer-sponsored: YES — KDDI health app (health points) and MinChalle smoking-cessation app confirmed for employees; no direct Sword competitor identified | KDDI health apps are general wellness/lifestyle tracking and smoking cessation tools; these are adjacent health apps, not named direct Sword MSK or Mind competitors from either list.</t>
  </si>
  <si>
    <t>kddi.com/english/corporate/sustainability/society/health/</t>
  </si>
  <si>
    <t>SoftBank Group Corp.'s own sustainability reporting uses generic employee health/safety language, while the named health-management program sits at subsidiary SoftBank Corp.</t>
  </si>
  <si>
    <t>Wellness Services; enterprise Wellness strategy</t>
  </si>
  <si>
    <t>BMO documents a named enterprise Wellness Services strategy in its Statement on Health and Well-being and holds an entity-level GPTW certification for BMO Financial Group.</t>
  </si>
  <si>
    <t>[Existing evidence] Employer-sponsored: YES — BMO benefits confirm free Headspace as employer-provided benefit; confirmed as enterprise/employer version per benefits documentation | BMO benefits materials confirm employer-provided free Headspace for employees; this is the enterprise employer-sponsored version (Headspace for Work); Headspace for Work is a named direct Mind competitor per prompt criteria.</t>
  </si>
  <si>
    <t>our-impact.bmo.com; jobs.bmo.com/us/en/benefits-and-rewards-US/</t>
  </si>
  <si>
    <t>Crédit Mutuel discloses employee wellbeing and QVT/QVCT agreements generically, with no clearly branded group-wide program and no parent-entity GPTW.</t>
  </si>
  <si>
    <t>Wellbeing Quotient Programme; Purpose to Impact; Vitality Boost</t>
  </si>
  <si>
    <t>ING runs named wellbeing programs (Wellbeing Quotient Programme, Purpose to Impact, Vitality Boost) but GPTW recognition is only at national/subsidiary level, capping it at Band 2.</t>
  </si>
  <si>
    <t>[Existing evidence] Employer-sponsored: YES — ING Wellbeing Quotient digital program and Inuka digital coaching confirmed; no direct Sword competitor identified | ING Wellbeing Quotient Programme provides digital wellbeing assessment/tips and Inuka digital coaching; these are wellness coaching tools, not named direct Sword MSK or Mind competitors from either list.</t>
  </si>
  <si>
    <t>wouterkampman.nl/ingwellbeing.html; careers.ing.com/en/benefits-be; inukacoaching.com</t>
  </si>
  <si>
    <t>Six-pillar Wellbeing Framework</t>
  </si>
  <si>
    <t>Lloyds Banking Group's official sustainability and careers pages document a structured, multi-pillar employee health and wellbeing program and won the Business Culture Awards 2023 'Wellbeing' category for cancer support work; no parent-entity GPTW certification found.</t>
  </si>
  <si>
    <t>[Existing evidence] Employer-sponsored: YES — LBG talent portal explicitly states employees get free Headspace via employer partnership; confirmed as employer-sponsored enterprise version | LBG talent portal explicitly states 'thanks to our partnership with Headspace, you get free tools' confirming employer-sponsored procurement; Headspace for Work is a named direct Mind competitor per prompt criteria.</t>
  </si>
  <si>
    <t>lloydsbankinggrouptalent.com/why-lbg/rewards-benefits/; lloydsbankinggroup.com/careers/culture-and-inclusion/wellbeing.html</t>
  </si>
  <si>
    <t>Health and Productivity Management Declaration</t>
  </si>
  <si>
    <t>Mizuho's sustainability site documents a formally named Health and Productivity Management Declaration as its group-wide wellbeing framework, with a structured promotion system led by the Group CHRO.</t>
  </si>
  <si>
    <t>Wellbeing Hub</t>
  </si>
  <si>
    <t>NatWest Group's health &amp; safety page documents a branded Wellbeing Hub generating 201k visits in 2024; GPTW certification is confirmed only at NatWest India subsidiary level.</t>
  </si>
  <si>
    <t>[Existing evidence] Employer-sponsored: YES — NatWest confirms JAAQ digital mental health tool and Virtual GP; no direct Sword competitor confirmed | NatWest provides JAAQ digital wellbeing tool and Virtual GP; JAAQ is not a named competitor on either Sword list; these are adjacent digital health tools.</t>
  </si>
  <si>
    <t>natwestgroup.com/who-we-are/working-at-natwest-group/health-and-safety.html</t>
  </si>
  <si>
    <t>U.S. Bancorp's Corporate Responsibility Reports and careers site reference wellbeing programs and resources generically, without a named or branded initiative; no GPTW certification found.</t>
  </si>
  <si>
    <t>[Existing evidence] Employer-sponsored: YES — U.S. Bank provides virtual care options through UnitedHealthcare; no direct Sword competitor confirmed | U.S. Bank virtual care options (telemedicine via UHC) are adjacent; no named direct Sword MSK or Mind competitor identified.</t>
  </si>
  <si>
    <t>careers.usbank.com/global/en/health-and-well-being</t>
  </si>
  <si>
    <t>Group-wide holistic Well-being framework</t>
  </si>
  <si>
    <t>UniCredit's ESG reporting documents the introduction of a Group-wide holistic Well-being framework as a named DEI/social initiative.</t>
  </si>
  <si>
    <t>Wellbeing Support Program</t>
  </si>
  <si>
    <t>BNY's official newsroom documents the branded Wellbeing Support Program launching in 2024 with structured, named mental health components; no parent-entity GPTW certification found.</t>
  </si>
  <si>
    <t>[Existing evidence] Employer-sponsored: YES — BNY Mellon newsroom confirms Spring Health partnership (2024) to deliver digital mental health services to employees and families; employer-sponsored confirmed | BNY Mellon newsroom explicitly confirms Spring Health as the employer-sponsored digital mental health partner for employees and families launched in 2024; Spring Health is a named direct Mind competitor per prompt criteria.</t>
  </si>
  <si>
    <t>bny.com/corporate/global/en/about-us/newsroom/company-news/bny-mellon-announces-expanded-mental-health-benefits-and-increased-minimum-wage-for-us-employees.html; Original BIS &amp; EDBA research</t>
  </si>
  <si>
    <t>Thrive Global; Wellbeing Reimbursement Program; Camp B-Well</t>
  </si>
  <si>
    <t>Salesforce's careers blog explicitly names Thrive Global as an employee digital wellbeing benefit and documents the Wellbeing Reimbursement Program and Camp B-Well initiative; GPTW confirmed at entity level.</t>
  </si>
  <si>
    <t>[Existing evidence] Employer-sponsored: YES — Salesforce uses Thrive Global as employer digital wellbeing platform; Thrive Global is a Sword Health product (the GTM target), making Salesforce an existing/prospective customer | Salesforce careers page confirms Thrive Global as the employee digital wellbeing benefit; Thrive Global is a Sword Health product (the prompt target product), not a competitor — Salesforce is an existing warm account signal, classified +1.</t>
  </si>
  <si>
    <t>careers.salesforce.com/en/salesforce-stories/wellbeingbenefits/</t>
  </si>
  <si>
    <t>Healthy Living; Healthy Minds</t>
  </si>
  <si>
    <t>American Express's Annual Report explicitly names Healthy Living and Healthy Minds as branded corporate wellbeing programs; GPTW entity-level certification is confirmed.</t>
  </si>
  <si>
    <t>[Existing evidence] Employer-sponsored: YES — AmEx confirms 24/7 telehealth app access for virtual doctors; no direct Sword competitor confirmed | American Express provides 24/7 telehealth via app for virtual doctors; telehealth is adjacent, not a named direct Sword MSK or Mind competitor.</t>
  </si>
  <si>
    <t>americanexpress.com/en-us/careers/about-teamamex/</t>
  </si>
  <si>
    <t>Be Well; Be Well Rewards Program</t>
  </si>
  <si>
    <t>Capital One's official benefits portal documents the branded Be Well Rewards Program rewarding wellness activities, with GPTW confirmed at the US parent entity level.</t>
  </si>
  <si>
    <t>[Existing evidence] Employer-sponsored: YES — Capital One confirms free telehealth and Maven platform; Maven is a reproductive/family health platform, not a Sword competitor | Capital One provides free telehealth and Maven reproductive/family health platform; neither is a named direct Sword MSK or Mind competitor from either list.</t>
  </si>
  <si>
    <t>capitalonecareers.com/benefits</t>
  </si>
  <si>
    <t>Life@</t>
  </si>
  <si>
    <t>Meta Careers and official job postings document the Life@ brand as Meta's named employee wellbeing framework, offering a $3,000/year wellness reimbursement.</t>
  </si>
  <si>
    <t>[Existing evidence] Employer-sponsored: YES — Meta benefits documentation confirms Lyra as employer-sponsored mental health benefit (25 sessions/year) for all eligible employees and families | Meta benefits documentation explicitly confirms employer-sponsored Lyra (25 sessions/year for employees and eligible dependents); Lyra Health is a named direct Mind competitor per prompt criteria.</t>
  </si>
  <si>
    <t>metacareers.com/facebook-life/benefits/mental-health-coverage; media.journoportfolio.com (Meta benefits PDF); Original BIS &amp; EDBA research</t>
  </si>
  <si>
    <t>CBG SCore</t>
  </si>
  <si>
    <t>Most Senior Benefits Role Found</t>
  </si>
  <si>
    <t>Scope</t>
  </si>
  <si>
    <t>Entity confirmed</t>
  </si>
  <si>
    <t>Original/source URL(s)</t>
  </si>
  <si>
    <t>TOTAL SCORE RANK</t>
  </si>
  <si>
    <t>Global</t>
  </si>
  <si>
    <t>Parent entity (Tesco PLC, UK)</t>
  </si>
  <si>
    <t>Natasha Rice's LinkedIn profile confirms current Group Reward Director role at Tesco; Tesco Ireland's Head of Reward and Benefits job description explicitly references coordination with "Group Global Mobility COE," confirming a Group rewards function above country level.</t>
  </si>
  <si>
    <t>Parent entity (Siemens AG) — flag that Triolo's published profile emphasizes managing "31,000 U.S. employees" suggesting US-anchored Global Head structure; title remains explicitly "Head of Global Benefits"</t>
  </si>
  <si>
    <t>2025 American Healthcare Leader feature confirms Triolo as Siemens' Head of Global Benefits; historical Karin S. profile confirms the same role existed at Siemens AG before her move to Healthineers</t>
  </si>
  <si>
    <t>Global at Board HR level; no specific benefits-titled global director surfaced</t>
  </si>
  <si>
    <t>Parent (Accenture plc, Dublin Ireland-domiciled; NYSE-listed — 775,000+ employees across 120+ countries)</t>
  </si>
  <si>
    <t>Parent entity (Nestlé S.A., Vevey)</t>
  </si>
  <si>
    <t>https://www.linkedin.com/in/vassilis-fragkoulis-06b4b13b/ ; https://www.nestle.com/investors/corporate-governance/management/executive-board/beatrice-guillaume-grabisch</t>
  </si>
  <si>
    <t>Global at Corporate VP HR level (broad scope); each operating company has its own CHRO</t>
  </si>
  <si>
    <t>Parent (FedEx Corp., Memphis) — flag: federated by operating company (FedEx Express, Ground, Freight, Office); FedEx Freight spinning off in 2026 with separate Eddie Klank as Chief HR and Legal Officer</t>
  </si>
  <si>
    <t>Parent (The TJX Companies, Inc., Framingham MA — ~349,000 associates; brands TJ Maxx, Marshalls, HomeGoods, Homesense, Sierra, Winners Canada, TK Maxx UK/Europe/Australia)</t>
  </si>
  <si>
    <t>Parent (PepsiCo Inc., Purchase NY HQ — ~318,000 employees globally; operations in 200+ countries)</t>
  </si>
  <si>
    <t>LinkedIn profiles confirm three named VP/SVP-level global benefits-titled roles at PepsiCo parent: Anna Xanthos as SVP and Global Head of Total Rewards (most senior), Greg Smith as VP Global Benefits, Rachana Baral as VP Global Professional Compensation — robust centralized Global Total Rewards leadership team.</t>
  </si>
  <si>
    <t>https://www.linkedin.com/in/greg-smith-3baa543/ ; https://www.linkedin.com/in/anna-xanthos-28427110 ; https://rocketreach.co/rachana-baral-email_989549</t>
  </si>
  <si>
    <t>Parent entity (Citigroup Inc.)</t>
  </si>
  <si>
    <t>Parent entity (Microsoft Corp.)</t>
  </si>
  <si>
    <t>Parent entity (Bank of America Corp.)</t>
  </si>
  <si>
    <t>HR Brew (July 2025) directly quotes Kate Phillips as 'Bank of America's global head of benefits,' designing benefits for 200,000+ employees enterprise-wide.</t>
  </si>
  <si>
    <t>Parent (Woolworths Group Limited, ASX:WOW, ~201,000 employees) — flag: not a true global multinational; retail footprint limited to Oceania</t>
  </si>
  <si>
    <t>Parent (HCA Healthcare Inc., Nashville) — flag: HCA operations limited to 20 US states + UK; not a global multinational fit for Thrive Global GTM despite centralized total rewards function</t>
  </si>
  <si>
    <t>https://careers.hcahealthcare.com/jobs/17106049-human-resources-manager ; https://www.linkedin.com/in/ritusaxena/</t>
  </si>
  <si>
    <t>Global at Top Executive Team level (HR + Sustainability umbrella)</t>
  </si>
  <si>
    <t>Parent (Stellantis N.V., Dutch-domiciled with operational HQs Paris/Auburn Hills MI/Turin — ~270,000 employees across Fiat, Chrysler, Peugeot, Citroën, Jeep, Opel, Vauxhall, Maserati, Alfa Romeo, Lancia, DS, Dodge, Ram, Abarth, Free2move)</t>
  </si>
  <si>
    <t>Stellantis Human Rights page and 2024 SEC 6-K confirm Xavier Chéreau as Chief HR &amp; Sustainability Officer at parent; broad HR/Sustainability umbrella role on Top Executive Team; no specific benefits-titled global director surfaced beneath.</t>
  </si>
  <si>
    <t>Regional (North America) for SVP CHRO role; country-level (Japan) HR Department at parent; per rubric, regional roles cap at Band 2</t>
  </si>
  <si>
    <t>Parent (Toyota Motor Corporation, Toyota City, Aichi — ~380,000 employees globally) — flag: classic Japanese keiretsu pattern with regional subsidiaries (TMNA, Toyota Motor Europe, Toyota China) each operating own CHROs; subsidiaries like Woven by Toyota operate independent Total Rewards function</t>
  </si>
  <si>
    <t>Parent (Walgreens Boots Alliance, Inc.) — flag: acquired by Sycamore Partners (closed Sept 2025); The Boots Group separated as standalone (Ornella Barra retiring as Boots Group CEO Feb 9, 2026); major restructuring underway; 12,500+ locations across US/Europe/Latin America (~220,000 employees)</t>
  </si>
  <si>
    <t>National (US only — operations in US only)</t>
  </si>
  <si>
    <t>Parent (Target Corporation, Minneapolis — ~440,000 team members) — flag: exclusively US retailer (no international); not a global multinational</t>
  </si>
  <si>
    <t>Multiple press releases confirm Melissa Kremer as CHRO at Target; Target operates only in US; per rubric, US-only national retailer caps at Band 2; no benefits-titled VP/Director surfaced beneath CHRO.</t>
  </si>
  <si>
    <t>Parent (Walmart Inc., Bentonville AR — 2.1 million associates globally including 1.6 million in US; operates in 19+ countries including Walmart US, Sam's Club, Walmart International, Flipkart India)</t>
  </si>
  <si>
    <t>Michael Korne substituted Kim Lupo in 2025; multiple Walmart job postings reference Total Rewards philosophy applied to global workforce.</t>
  </si>
  <si>
    <t>Parent CHRO confirmed; benefits-titled roles only at subsidiaries — flagged</t>
  </si>
  <si>
    <t>India-centric workforce structure with India-scoped Total Rewards roles at subsidiaries; no global benefits role identified at Reliance Industries Ltd parent</t>
  </si>
  <si>
    <t>https://www.iimjobs.com/j/reliance-brands-head-total-rewards-compensation-benefits-10-18-yrs-1425330 ; https://www.linkedin.com/in/ira-bindra</t>
  </si>
  <si>
    <t>National (France-anchored rail); subsidiaries (Geodis 170+ countries, Keolis) operate global with own HR structures</t>
  </si>
  <si>
    <t>Parent (SNCF, Saint-Denis Paris suburb — ~275,000 employees) — flag: emploi.sncf.com states some subsidiaries (Hexafret, Technis, certain SNCF Voyageurs regional companies) have specific compensation systems</t>
  </si>
  <si>
    <t>SNCF careers compensation page confirms subsidiary-specific compensation systems for multiple operating entities; Group structured around société mère + SNCF Réseau, Gares &amp; Connexions, Rail Logistics Europe, Voyageurs, Geodis, Keolis — each with own HR.</t>
  </si>
  <si>
    <t>https://emploi.sncf.com/travailler-pour-le-groupe-sncf/remuneration-sncf ; https://www.groupe-sncf.com/en/group/governance/management-team/executive-committee-group/jean-pierre-farandou</t>
  </si>
  <si>
    <t>Parent (Compagnie de Saint-Gobain S.A., La Défense, Courbevoie — 159,145 employees worldwide; CAC 40 / Euro Stoxx 50 listed; operations in 75+ countries)</t>
  </si>
  <si>
    <t>Country-level to Global (inferred)</t>
  </si>
  <si>
    <t>Parent entity (Tyson Foods, Inc.)</t>
  </si>
  <si>
    <t>ZoomInfo confirms Barnes holds 'Head of Total Rewards' at Tyson Foods with 'global compensation, benefits, payroll, and mobility' expertise; title lacks 'global' qualifier; company is US-centric.</t>
  </si>
  <si>
    <t>Global (inferred)</t>
  </si>
  <si>
    <t>Parent entity (Abbott Laboratories)</t>
  </si>
  <si>
    <t>Benefits handbook designates 'The Benefits Department of Abbott Laboratories' as centralized Plan Administrator; 122K employees in 160+ countries suggests global TR infrastructure, but no named VP/Director title confirmed.</t>
  </si>
  <si>
    <t>Parent entity (Caterpillar Inc.)</t>
  </si>
  <si>
    <t>Careers page references globally unified Total Rewards program; 2017 VP announcement referenced corporate 'director of Compensation + Benefits' career path at parent; no current global-titled role confirmed.</t>
  </si>
  <si>
    <t>Parent entity</t>
  </si>
  <si>
    <t>Global scope confirmed</t>
  </si>
  <si>
    <t>Global benefits/TR leadership signal retained.</t>
  </si>
  <si>
    <t>LinkedIn search</t>
  </si>
  <si>
    <t>Parent entity (Veolia Environnement S.A., ~220,000 employees worldwide)</t>
  </si>
  <si>
    <t>Lavisse explicitly hired in July 2022 as Group C&amp;B Director at parent following Suez acquisition; Veolia North America operates a VP, Total Rewards reporting below this group level; Veolia explicitly references "the new global benefits program" on its careers site</t>
  </si>
  <si>
    <t>Parent (Koninklijke Ahold Delhaize N.V., Zaandam, ~413,000 associates across 9 countries / 16 brands)</t>
  </si>
  <si>
    <t>Parent (CVS Health Corp., Woonsocket RI — 300,000+ colleagues) — flag: US-only operations; not a global multinational</t>
  </si>
  <si>
    <t>PBN article confirms Heidi Capozzi as EVP CPO at CVS Health leading HR/labor/comp/benefits; CVS is US-only; no specific benefits-titled VP/Director surfaced beneath CPO.</t>
  </si>
  <si>
    <t>Global at Konzernpersonalvorstand level (HR umbrella + multiple other portfolios)</t>
  </si>
  <si>
    <t>Parent (Robert Bosch GmbH, Gerlingen — 417,859 employees in 60+ countries, 500 subsidiary and regional companies; privately held with Robert Bosch Stiftung 94%, Bosch family 5%, Bosch GmbH 1%)</t>
  </si>
  <si>
    <t>Parent (Starbucks Corporation, Seattle WA — ~360,000 partners globally; operations in 80+ countries)</t>
  </si>
  <si>
    <t>RocketReach confirms Ron Crawford as SVP Global Total Rewards and PRO Service Delivery at Starbucks parent — clear SVP-level global-scope total rewards title meeting Band 3 criterion directly.</t>
  </si>
  <si>
    <t>Parent (Amazon.com Inc., Seattle WA — ~1.5 million employees globally; operations in 100+ countries; subsidiaries AWS, Amazon retail, Amazon Pharmacy, MGM, Whole Foods, Twitch, Audible)</t>
  </si>
  <si>
    <t>LinkedIn confirms Lian Neeman as Director Global Benefits at Amazon parent — Director-level role with explicit Global Benefits title meeting Band 3 criterion directly; supported by Beth Galetti as SVP People eXperience and Technology at parent (broad CHRO-equivalent role).</t>
  </si>
  <si>
    <t>https://www.linkedin.com/in/lian-neeman-56138b19/ ; https://www.linkedin.com/in/beth-galetti-60b1106/</t>
  </si>
  <si>
    <t>Parent entity (JPMorganChase)</t>
  </si>
  <si>
    <t>April 2025 JPMorganChase press release directly quotes Bernadette Branosky as 'Global Head of Benefits at JPMorganChase' in context of enterprise-wide employee benefits strategy.</t>
  </si>
  <si>
    <t>Regional (federated model)</t>
  </si>
  <si>
    <t>UNVERIFIED (Group-level People head referenced but unnamed in current public sources)</t>
  </si>
  <si>
    <t>Bei and her team work closely with leaders across Wells Fargo's global footprint to build a world-class culture and foster an inclusive environment committed to attracting, developing, engaging, and retaining the best talent.</t>
  </si>
  <si>
    <t>Country-level (Germany only)</t>
  </si>
  <si>
    <t>Parent (EDEKA ZENTRALE Stiftung &amp; Co. KG, Hamburg) — flag: Wikipedia states 'Area served: Germany'; cooperative Verbund with 3,200 independent retailers + 7 regional companies + Netto Marken-Discount subsidiary, each with own management</t>
  </si>
  <si>
    <t>Edeka corporate page confirms Peter Keitel as combined Finance + HR Board Member at Zentrale parent since 2024; federated Verbund with regional Großhandelsbetriebe as eigenständig geführte Unternehmen; operations limited to Germany.</t>
  </si>
  <si>
    <t>National (US only — operations in 35 US states); VP Total Rewards covers entire enterprise but enterprise is US-anchored</t>
  </si>
  <si>
    <t>Parent (The Kroger Co., Cincinnati — ~414,000 associates) — flag: Kroger is purely US (Kroger, Ralphs, Fred Meyer, King Soopers, Harris Teeter banners); not a global multinational</t>
  </si>
  <si>
    <t>Parent (Shell plc)</t>
  </si>
  <si>
    <t>https://uk.linkedin.com/in/manissa-patel-a10b7b4</t>
  </si>
  <si>
    <t>Parent (Comcast Corporation, Philadelphia PA — ~186,000 employees globally) — Comcast Cable/Xfinity + NBCUniversal Media (NBC, Universal Pictures, Universal Theme Parks Orlando/Hollywood/Beijing/Japan/UK-coming, Peacock) + Sky (UK/Italy/Germany) + Comcast Spectacor</t>
  </si>
  <si>
    <t>Comparably confirms Shawn Leavitt as SVP Global Benefits for Comcast Corporation and NBCUniversal Media since 2013; Marilyn Whitham's LinkedIn confirms VP Total Rewards at Comcast NBCUniversal with global scope; Comcast has multinational footprint via Sky Europe + Universal Theme Parks.</t>
  </si>
  <si>
    <t>https://www.comparably.com/companies/comcast/shawn-leavitt ; https://www.linkedin.com/in/marilynwhitham/</t>
  </si>
  <si>
    <t>Global rewards/benefits leadership signal retained.</t>
  </si>
  <si>
    <t>Country-level (Japan-anchored) at parent; subsidiaries operate independently</t>
  </si>
  <si>
    <t>Parent (Nippon Steel Corporation, Tokyo) — flag: keiretsu pattern with autonomous subsidiaries (Nippon Steel USA, Nippon Steel Engineering, U.S. Steel)</t>
  </si>
  <si>
    <t>Japanese keiretsu structure with EVP-level HR responsibility bundled into broad corporate portfolio at Tokyo HQ; no global benefits-titled director surfaced through public search; subsidiaries operate semi-autonomously typical of Japanese industrial groups.</t>
  </si>
  <si>
    <t>https://www.nipponsteel.com/en/factbook/2022/03-01.html</t>
  </si>
  <si>
    <t>Parent entity (Schneider Electric SE)</t>
  </si>
  <si>
    <t>Parent CPO confirmed; benefits roles all at regional subsidiaries — flagged</t>
  </si>
  <si>
    <t>Global at CHRO level; regional VP-level visible in BMW US, BMW NA, etc.</t>
  </si>
  <si>
    <t>Parent entity (BMW AG) CHRO confirmed; specific benefits-titled global role — UNVERIFIED</t>
  </si>
  <si>
    <t>BMW Group is structurally centralized at Munich HQ with a board-level HR function, but a director+ role explicitly titled "Global Head of Total Rewards/Benefits" did not surface in the 3 search steps; given DAX-30 norm, role almost certainly exists but evidence is conservative — flagged</t>
  </si>
  <si>
    <t>https://management-kolloquium.de/en/lecturer/ilka-horstmeier/ ; https://www.bmwgroup.com/de/bericht/2024/downloads/BMW-Group-Verguetungsbericht-2024-de.pdf</t>
  </si>
  <si>
    <t>Global (HR umbrella at Konzern level); no specific global benefits/rewards director surfaced</t>
  </si>
  <si>
    <t>Parent entity (Volkswagen AG)</t>
  </si>
  <si>
    <t>Global (HR umbrella); no global benefits-titled director found</t>
  </si>
  <si>
    <t>Parent entity (VINCI SA, Nanterre)</t>
  </si>
  <si>
    <t>Group HR exists at ExCom level but Vinci is federated across major business segments (VINCI Construction, Eurovia, VINCI Concessions) each with its own HR Director; the Group operates a unified "Castor" savings plan but no centralized global benefits director surfaced.</t>
  </si>
  <si>
    <t>Multinational at EVP HR level (Costco operates 9 countries: US, Canada, Mexico, UK, Japan, Korea, Taiwan, Australia, Spain); regional HR directors by country</t>
  </si>
  <si>
    <t>Parent (Costco Wholesale Corporation, Issaquah WA — ~310,000 employees, 800+ warehouses in 9 countries)</t>
  </si>
  <si>
    <t>Parent (The Boeing Company, Arlington VA — ~150,000 employees in 150+ countries)</t>
  </si>
  <si>
    <t>Comparably confirms Jon Fliss as VP Total Rewards at Boeing parent; Boeing job postings reference Total Rewards Compensation and Benefits strategy teams and Global Compensation philosophy applied across the Boeing enterprise.</t>
  </si>
  <si>
    <t>https://www.comparably.com/companies/boeing/jon-fliss ; https://www.linkedin.com/jobs/view/senior-total-rewards-partner-at-boeing-3839456991</t>
  </si>
  <si>
    <t>Parent (General Motors Company, Detroit MI — ~163,000 employees globally; brands Buick, Cadillac, Chevrolet, GMC in 50+ countries)</t>
  </si>
  <si>
    <t>The Org confirms Janice Uhlig as VP Global Compensation &amp; Benefits at GM Detroit HQ — Director-level+ global-scope benefits-titled role meeting Band 3 criterion; multiple supporting Directors with explicit Global benefits titles confirm a centralized Total Rewards Leadership Team at parent.</t>
  </si>
  <si>
    <t>Global at CHRO level (broad HR); country-level Total Rewards heads beneath</t>
  </si>
  <si>
    <t>Parent (Ingka Holding B.V. and controlled entities — 170,000+ employees; largest IKEA franchisee operating 411 IKEA stores in 32 countries + Ingka Investments + Ingka Centres in 14 countries)</t>
  </si>
  <si>
    <t>Regional/Divisional (Germany retail) for HR director role; cooperative structure with operations primarily in Germany + Austria + Central/Eastern Europe</t>
  </si>
  <si>
    <t>Parent (REWE-Zentralfinanz eG cooperative + REWE-Zentral AG operational subsidiary, Cologne) — flag: cooperative structure with independent retailers; brands Billa (Austria), Penny, Rewe, Toom, DER Touristik, ITS Reisen, Lekkerland; ~380,000 employees</t>
  </si>
  <si>
    <t>Global at Group level</t>
  </si>
  <si>
    <t>Parent (Jardine Matheson Holdings Limited, Hong Kong — 400,000+ employees across Asian-based diversified group; operating companies include Astra International Indonesia, Jardine Cycle &amp; Carriage, Mandarin Oriental, Hongkong Land, DFI Retail Group)</t>
  </si>
  <si>
    <t>Manager-level (Hitachi Digital subsidiary); Hitachi, Ltd. parent broad executive structure</t>
  </si>
  <si>
    <t>Parent (Hitachi, Ltd., Tokyo — ~370,000 employees globally; 200+ subsidiaries; major divisions including Hitachi Digital, Hitachi Energy, Hitachi Vantara, GlobalLogic, Hitachi Rail, Hitachi Construction Machinery) — flag: classic Japanese keiretsu pattern with semi-autonomous subsidiaries operating with own structures</t>
  </si>
  <si>
    <t>Hitachi Digital job posting confirms Global Total Rewards Program Manager role at Hitachi Digital subsidiary (Manager-level, not Director); subsidiary operates own HR; per scoring rules, subsidiary-level Manager role caps below Band 3 threshold; parent-level benefits-titled global Director not surfaced.</t>
  </si>
  <si>
    <t>https://builtin.com/job/global-total-rewards-program-manager/3531421</t>
  </si>
  <si>
    <t>Global at Group CHRO level (broad HR umbrella); 8 operating companies beneath PHD with own structures (Panasonic Corporation, Panasonic Energy, Panasonic Industry, Panasonic Connect, Panasonic Electric Works, Panasonic HVAC &amp; CC, Panasonic Operational Excellence)</t>
  </si>
  <si>
    <t>Parent (Panasonic Holdings Corporation, Kadoma-shi Osaka — ~233,000 employees globally; switched to operating company system April 2022 with 8 companies under holding umbrella)</t>
  </si>
  <si>
    <t>Panasonic Holdings Senior Management page confirms Group CHRO role at PHD parent with broad HR/DEI/General Affairs/Social Relations scope; PHD operates through 8 operating companies each with own management; no benefits-titled global director surfaced beneath Group CHRO.</t>
  </si>
  <si>
    <t>https://holdings.panasonic/global/corporate/phd/executives.html</t>
  </si>
  <si>
    <t>Country-level</t>
  </si>
  <si>
    <t>Highly federated structure typical of Japanese keiretsu/conglomerates; each AEON country entity (Vietnam, Malaysia, China) operates its own HR/C&amp;B framework; "Chief Asia Operations Officer" exists at parent but is operations, not benefits</t>
  </si>
  <si>
    <t>https://www.aeon.info/wp-content/uploads/2025/02/20250214RE_1.pdf ; https://hr.asia/companys-write/up-2019/malaysia-19/my-2019-aeon/</t>
  </si>
  <si>
    <t>Parent entity (bp plc)</t>
  </si>
  <si>
    <t>Parent (Medtronic plc; legally Irish-domiciled, operational HQ Minneapolis)</t>
  </si>
  <si>
    <t>Global at CHRO level; structure federated by region/segment (ArcelorMittal Europe, Mining, Flat South America, Long LATAM, AM/NS India, South Africa each with own EVP/VP CEO)</t>
  </si>
  <si>
    <t>Parent (ArcelorMittal S.A., Luxembourg City)</t>
  </si>
  <si>
    <t>Management Committee page confirms EVP Head of HR at Luxembourg parent; remuneration page confirms central senior manager policy but operations devolved to regional segment CEOs with their own HR structures (e.g., ArcelorMittal Dofasco Canada had separate Manager of Total Rewards function).</t>
  </si>
  <si>
    <t>Parent entity (Airbus SE, Toulouse)</t>
  </si>
  <si>
    <t>Airbus's own Executive Reward Manager job posting confirms an "Airbus Reward Team" in Toulouse and states the Corporate Compensation and Benefits team "manages the contracts of Airbus Division and Group Executives group-wide" and that "Airbus Reward function defines policies… consistently applied throughout the Group."</t>
  </si>
  <si>
    <t>Parent (Bouygues SA, Paris) — flag: bouygues.com explicitly states "Each business segment, depending on the country, has a remuneration and perks policy" (federated structure); dual-hatted role (also serves Bouygues Construction subsidiary)</t>
  </si>
  <si>
    <t>Global (Konzern Corporate function at ZF parent)</t>
  </si>
  <si>
    <t>Parent (ZF Friedrichshafen AG, Friedrichshafen — 153,153 employees in 41 countries; ~93% owned by Zeppelin Foundation administered by City of Friedrichshafen, not stock-listed)</t>
  </si>
  <si>
    <t>Enterprise / global operations implied</t>
  </si>
  <si>
    <t>Regional (Southeastern US only — Florida, Georgia, Alabama, Tennessee, South Carolina, North Carolina, Virginia, Kentucky)</t>
  </si>
  <si>
    <t>Parent (Publix Super Markets Inc., Lakeland FL — 225,000+ associates, largest US employee-owned company) — flag: exclusively Southeast US; not a global multinational; ESOP-focused governance</t>
  </si>
  <si>
    <t>Parent entity (IBM Corp.)</t>
  </si>
  <si>
    <t>Global signal but not in title</t>
  </si>
  <si>
    <t>Parent entity (TotalEnergies SE)</t>
  </si>
  <si>
    <t>Parent entity (A.P. Moller - Maersk)</t>
  </si>
  <si>
    <t>Maersk's own NAM Rewards Manager job posting references reporting into "Corporate Rewards Solutions team members to ensure regional deployment of specific Rewards projects" and explicitly states the role must "align with global standards" — confirming a centralized Group rewards function above the regional Head of Rewards Delivery NAM.</t>
  </si>
  <si>
    <t>Global at Vorstand/Konzern HR level (broad HR umbrella); structure segmented across Mercedes-Benz Cars, Vans, Mobility</t>
  </si>
  <si>
    <t>Parent (Mercedes-Benz Group AG, Stuttgart — 163,132 employees; Daimler Truck spun off in 2021)</t>
  </si>
  <si>
    <t>https://www.businesswire.com/news/home/20241211202067/en/Changes-to-the-Board-of-Management-of-Mercedes-Benz-Group-AG</t>
  </si>
  <si>
    <t>National (US-anchored — 19,000+ stores in 47 US states, plus recent expansion into Mexico)</t>
  </si>
  <si>
    <t>Parent (Dollar General Corporation, Goodlettsville TN — ~158,000 employees in US) — flag: US-anchored discount retailer with limited Mexico expansion; not a global multinational fit for Thrive Global GTM</t>
  </si>
  <si>
    <t>Dollar General careers and Indeed listings show centralized HR function at Goodlettsville HQ; Benefits Systems Senior Specialist postings confirm benefits function at sub-VP level; no Director or VP of Total Rewards/Benefits surfaced; US-anchored scope limits Band ceiling.</t>
  </si>
  <si>
    <t>Global at CPO level (broad HR umbrella); structure segmented across 6 Zone CEOs (Africa, APAC, Europe, South America, North America, Middle Americas) each with own People Officer</t>
  </si>
  <si>
    <t>Parent (Anheuser-Busch InBev SA/NV, Leuven Belgium — 143,885 employees in 50+ countries; 500+ brands including Budweiser, Corona, Stella Artois) — flag: federated by Zone with each having own CEO and CPO structure</t>
  </si>
  <si>
    <t>Parent entity (Apple Inc.)</t>
  </si>
  <si>
    <t>Parent entity (AT&amp;T Inc.)</t>
  </si>
  <si>
    <t>UNVERIFIED</t>
  </si>
  <si>
    <t>https://www.linkedin.com/in/meenaraza/</t>
  </si>
  <si>
    <t>Regional</t>
  </si>
  <si>
    <t>Regional or global posting</t>
  </si>
  <si>
    <t>Parent entity – weak signal</t>
  </si>
  <si>
    <t>Global at Executive Officer level (broad HR + Corporate Governance umbrella); regional subsidiaries (American Honda, Honda Europe) operate own HR</t>
  </si>
  <si>
    <t>Parent (Honda Motor Co., Ltd., Tokyo — 204,035 employees globally) — flag: classic Japanese keiretsu pattern with autonomous regional subsidiaries each running own HR structure</t>
  </si>
  <si>
    <t>Regional (North America for surfaced Total Rewards Director); Korean chaebol parent has broad executive structure but no benefits-titled global director surfaced</t>
  </si>
  <si>
    <t>Parent (Samsung Electronics Co., Ltd., Suwon-si South Korea — 270,000+ employees globally) — flag: classic Korean chaebol pattern with regional subsidiaries (Samsung Electronics America, Europe, Semiconductor) operating with own structures</t>
  </si>
  <si>
    <t>Compa job board confirms Senior Director II Total Rewards role at Samsung Electronics America subsidiary (Americas regional scope); Clay org chart shows Hark-Kyu Park as Head of Corporate Management Office at parent (broad scope); per rubric, subsidiary-level role caps at Band 2 and parent-level benefits-titled global director not surfaced.</t>
  </si>
  <si>
    <t>NOT FOUND with global benefits-titled scope at parent; Olivier Solère DRH de la Banque de Détail et Directeur de la Rémunération de La Banque Postale (subsidiary level); 4 branches each with own DRH structure; CEO Marie-Ange Debon since October 2025</t>
  </si>
  <si>
    <t>National/branch-level (France-anchored); 63 countries via Geopost/DPDgroup international parcel subsidiary</t>
  </si>
  <si>
    <t>Parent (Groupe La Poste, Paris — ~249,000 employees) — flag: 100% state-owned (Caisse des dépôts 66% + French state 34%); federated across 4 branches (Services-Courrier-Colis, Banque et Assurance, Distributeur, GeoPost/DPDgroup) each with own HR</t>
  </si>
  <si>
    <t>La Poste corporate page confirms 4-branch operational structure; Banque Postale subsidiary has dedicated Directeur de la Rémunération (Olivier Solère); each branch operates with own DRH; no benefits-titled global director surfaced at Groupe La Poste parent.</t>
  </si>
  <si>
    <t>https://www.linkedin.com/in/olivier-sol%C3%A8re-16581a16/ ; https://en.wikipedia.org/wiki/La_Poste_(France)</t>
  </si>
  <si>
    <t>Subsidiary-level (NTT Global Data Centers) for VP HR Rewards role; Japanese keiretsu parent has broad executive structure</t>
  </si>
  <si>
    <t>Parent (Nippon Telegraph and Telephone Corporation, Tokyo — 333,000+ employees globally) — flag: classic Japanese keiretsu with major subsidiaries (NTT DOCOMO, NTT Data Group separately listed with 190,000 professionals in 50+ countries, NTT Limited/Inc., NTT West, NTT East, NTT Communications, NTT Global Data Centers) each operating own HR</t>
  </si>
  <si>
    <t>Parent (Deutsche Lufthansa AG, Frankfurt)</t>
  </si>
  <si>
    <t>Unequity 2024 case study explicitly references Lufthansa's "global Total Rewards team" coordinating across 500+ affiliated Group companies and 100,000+ employees across multiple airline brands (Lufthansa Airlines, SWISS, Austrian, Brussels, Eurowings) and segments (Cargo, MRO, Catering).</t>
  </si>
  <si>
    <t>Global Rewards Leadership Team' at Heineken N.V. explicitly referenced as Group-level body (named individual leader not surfaced); HEINEKEN USA has Sr. Director Total Rewards reporting as active member of both People Leadership Team and Global Rewards Leadership Team</t>
  </si>
  <si>
    <t>Parent (Heineken N.V., Amsterdam — 89,264 employees across 70+ countries / 165+ breweries)</t>
  </si>
  <si>
    <t>HEINEKEN USA job posting for Sr. Director Total Rewards explicitly describes the role as an active member of the People Leadership Team and the Global Rewards Leadership Team — confirming a Group-level Rewards Leadership structure at parent Heineken N.V.</t>
  </si>
  <si>
    <t>https://www.linkedin.com/jobs/view/senior-director-total-rewards-at-the-heineken-company-3670381242</t>
  </si>
  <si>
    <t>Dantaya Williams, EVP and Chief Human Resources Officer at RTX Corporation — responsible for Global HR function including talent development, culture, employee and labor relations, total rewards, and employee experience; Christa Cyr previously Total Rewards Executive at RTX Corporate (now departed)</t>
  </si>
  <si>
    <t>Global at EVP CHRO level (total rewards within remit but not benefits-titled specifically at director/VP level for global scope)</t>
  </si>
  <si>
    <t>Parent (RTX Corporation, Arlington VA — ~185,000 employees across Pratt &amp; Whitney, Collins Aerospace, Raytheon, in 80+ countries)</t>
  </si>
  <si>
    <t>RTX leadership page and Equilar ExecAtlas confirm Dantaya Williams as EVP CHRO with global HR scope including total rewards; broad CHRO role meets Band 2; no specifically benefits-titled global VP/Director surfaced by name.</t>
  </si>
  <si>
    <t>https://www.rtx.com/who-we-are/our-leadership/dantaya-williams ; https://www.linkedin.com/in/christa-cyr-42354735/</t>
  </si>
  <si>
    <t>Head of Benefits ContiTech - Executive' job posting at Continental AG (Hannover/Frankfurt) — flag: ContiTech is a segment/subsidiary slated for sale in 2026, NOT Continental Group parent level; specific Konzern-level benefits-titled director at Continental AG parent not surfaced</t>
  </si>
  <si>
    <t>Segment-level (ContiTech) for benefits-titled role; Konzern-level HR exists at parent but specific name not surfaced</t>
  </si>
  <si>
    <t>Parent (Continental AG, Hanover) — flag: post Vitesco (2021) and Aumovio (2025) spinoffs, Continental now focused on Tires and ContiTech; ContiTech earmarked for sale in 2026; 78,000 employees; Schaeffler Group owns 46%</t>
  </si>
  <si>
    <t>Stepstone job posting confirms Head of Benefits ContiTech role at ContiTech segment (sub-Konzern, soon to be divested); per scoring rule, subsidiary/segment-level roles don't count toward parent score; no global benefits director surfaced at Continental AG Konzern parent.</t>
  </si>
  <si>
    <t>https://stepstone.de/jobs/executive-assistance/in-eschborn ; https://en.wikipedia.org/wiki/Continental_AG</t>
  </si>
  <si>
    <t>Director, Total Rewards - DENSO' LinkedIn job posting confirms a Director Total Rewards role at DENSO; Tomoyuki Araka Executive Officer &amp; Chief Executive Officer of subsidiary surfaced; senior HR-titled role at Denso parent in Kariya not specifically named</t>
  </si>
  <si>
    <t>Subsidiary/regional structure with separate North America organization (announced Feb 2026 restructuring); broad executive structure at parent</t>
  </si>
  <si>
    <t>Parent (DENSO Corporation, Kariya, Aichi, Japan — 162,029 employees globally) — flag: Japanese keiretsu pattern (Toyota Group affiliate); regional subsidiaries (DENSO International America, DENSO Manufacturing) operate semi-autonomously</t>
  </si>
  <si>
    <t>LinkedIn confirms a Director Total Rewards role at DENSO; ZoomInfo directory shows regional structure with North America executive updates Feb 2026; Japanese keiretsu pattern with broad HR at parent and regional autonomy; no benefits-titled global director surfaced by name.</t>
  </si>
  <si>
    <t>https://www.linkedin.com/jobs/view/director-total-rewards-at-denso-3942396544 ; https://www.zoominfo.com/pic/denso-corp/10962359</t>
  </si>
  <si>
    <t>Stephanie Mattei, Global Senior Manager Benefits &amp; Mobility (US) at Magna International — Manager-level role (oversees US Benefits Plans + NA Global Mobility); ZoomInfo also references Director Total Rewards title; Magna Global Group Office Total Rewards function coordinates compensation surveys</t>
  </si>
  <si>
    <t>Manager-level for currently-named benefits role; Magna Global Group Office Total Rewards function coordinates global compensation surveys</t>
  </si>
  <si>
    <t>Parent (Magna International Inc., Aurora Ontario — 171,000 employees, 343 manufacturing operations in 29 countries; subsidiaries Magna Powertrain, Magna Steyr, Magna Mirrors, Magna Electronics, Magna Seating, Magna Exteriors/Interiors)</t>
  </si>
  <si>
    <t>ZoomInfo and Magna job postings confirm a Magna Global Group Office Total Rewards function at Aurora ON parent coordinating compensation surveys; Stephanie Mattei's profile shows US-focused Manager-level scope; no VP/Director-level benefits-titled global director surfaced by name.</t>
  </si>
  <si>
    <t>https://www.zoominfo.com/p/Stephanie-Mattei/1537342817 ; https://themuse.com/jobs/magnainternational/senior-specialist-total-rewards</t>
  </si>
  <si>
    <t>Allison Pinkham, EVP and Chief Human Resources Officer at Albertsons Companies (effective February 16, 2026 — very recent appointment); David Rooy Group VP &amp; Chief Talent Officer (broad HR, not benefits-titled); historical Mike Hodge formerly Senior Director Employee Benefits (2006-2015, retired)</t>
  </si>
  <si>
    <t>National (US only — 34 US states + DC); EVP CHRO covers entire enterprise but enterprise is US-anchored</t>
  </si>
  <si>
    <t>Parent (Albertsons Companies Inc., Boise ID — ~286,000 employees; banners Albertsons, Safeway, Vons, Jewel-Osco, Acme, Tom Thumb, Randalls) — flag: US-only retailer; not a global multinational</t>
  </si>
  <si>
    <t>LinkedIn announcement confirms Allison Pinkham appointment as EVP CHRO effective Feb 16, 2026; Albertsons leadership page confirms US-only operations; per rubric, US-only national retailer caps at Band 2; no benefits-titled global role surfaced beneath new CHRO.</t>
  </si>
  <si>
    <t>https://www.albertsonscompanies.com/about-aci/our-leadership/default.aspx</t>
  </si>
  <si>
    <t>NOT FOUND with global benefits-titled scope at parent; DRH function exists at EDF SA (Paris); subsidiaries (EDF Energy UK, Edison Italy, EDF Renewables, Dalkia, Luminus) each operate own HR</t>
  </si>
  <si>
    <t>Country-level (France-anchored, 100% state-owned); subsidiaries with own CEOs and HR</t>
  </si>
  <si>
    <t>Parent (Électricité de France SA, Paris — 197,000 employees, owned 100% by French state since 2023; CEO Bernard Fontana since March 2025) — flag: heavily France-anchored workforce; international through subsidiaries with own structures</t>
  </si>
  <si>
    <t>EDF governance pages and Wikipedia confirm 100% state-owned structure with predominantly France-based workforce; subsidiaries (EDF Energy UK, Edison Italy, EDF Renewables) operate as separate legal entities with own CEOs and HR; no benefits-titled global director surfaced.</t>
  </si>
  <si>
    <t>https://en.wikipedia.org/wiki/%C3%89lectricit%C3%A9_de_France ; https://www.edf.fr/en/the-edf-group</t>
  </si>
  <si>
    <t>Mark Novak, Vice President of Human Resources, North America and Global Performance and Reward at Circle K/Alimentation Couche-Tard — explicit 'Global Performance and Reward' in VP title at parent</t>
  </si>
  <si>
    <t>Global (Global Performance and Reward dual-hatted with NA HR)</t>
  </si>
  <si>
    <t>Parent (Alimentation Couche-Tard Inc., Laval Quebec — operates 16,000+ stores in 27 countries; 133,000+ employees worldwide; Circle K banner in NA, Scandinavia, Baltics, Ireland, Poland + licensing in 16 additional countries)</t>
  </si>
  <si>
    <t>Comparably executive team listing confirms Mark Novak as Vice President of Human Resources, North America and Global Performance and Reward of Circle K — VP-level role with explicit Global Performance and Reward responsibility meeting Band 3 criterion; multinational footprint across 27 countries supports global scope.</t>
  </si>
  <si>
    <t>https://www.comparably.com/companies/circle-k/executive-team ; https://ca.linkedin.com/company/alimentation-couche-tard</t>
  </si>
  <si>
    <t>Pascal Carpentier, SVP Compensation &amp; Benefits and Benefits Directeur LVMH (Group-level C&amp;B at LVMH); Andrea Kuglstatter, VP Benefits at LVMH; Xavière Canali, DRH Corporate Parfums Christian Dior (Maison subsidiary level); Cyrille Boutin, VP Global Talent Engagement &amp; Culture at Parfums Christian Dior (subsidiary)</t>
  </si>
  <si>
    <t>Global (LVMH Group level)</t>
  </si>
  <si>
    <t>Parent flag — Christian Dior SE is the Arnault family holding company that controls LVMH (42% shares, 57% votes); the operational workforce of 215,000 employees across 75 Maisons sits at LVMH Moët Hennessy Louis Vuitton SE (Paris); benefits decisions are centralized at LVMH parent</t>
  </si>
  <si>
    <t>Comparably confirms Pascal Carpentier as SVP Compensation &amp; Benefits and Benefits Directeur at LVMH parent; LVMH HR Métiers page describes Compensation &amp; Benefits teams managing rewards and C&amp;B policy with responsibilities to define C&amp;B strategy, set compensation policy, and design international assignment packages — global Group-level function via the operating conglomerate beneath Christian Dior SE.</t>
  </si>
  <si>
    <t>https://www.comparably.com/companies/lvmh/executive-team ; https://www.lvmh.com/en/join-us/discover-our-metiers/human-resources</t>
  </si>
  <si>
    <t>Director and Head of HR Rewards, Latin America – Helio Souza</t>
  </si>
  <si>
    <t>Regional – Latin America</t>
  </si>
  <si>
    <t>Confirmed regional HR Rewards role; no public parent-level global benefits/total-rewards director found.</t>
  </si>
  <si>
    <t xml:space="preserve">https://theorg.com/org/bnp-paribas/org-chart/helio-souza 
https://group.bnpparibas/en/careers/job-offer/head-of-rewards-canada </t>
  </si>
  <si>
    <t>Thomas Oksanen / Virginia Fitzgerald – global rewards signals</t>
  </si>
  <si>
    <t>Vik Malhotra – SVP Global Head of Total Rewards</t>
  </si>
  <si>
    <t>Global parent total rewards leadership signal retained.</t>
  </si>
  <si>
    <t>https://theorg.com/org/mondelez-international/org-chart/vik-malhotra</t>
  </si>
  <si>
    <t>Ben Marks / David Payet-Pigeon – global rewards signals</t>
  </si>
  <si>
    <t>https://www.linkedin.com/in/ben-marks-96248113/</t>
  </si>
  <si>
    <t>Jules Ingleby / Laura Thanasse – global rewards signal</t>
  </si>
  <si>
    <t>https://theorg.com/org/barclays/org-chart/jules-ingleby</t>
  </si>
  <si>
    <t>Jeremy Sowden – global rewards signal</t>
  </si>
  <si>
    <t>https://theorg.com/org/deutsche-bank/org-chart/jeremy-sowden</t>
  </si>
  <si>
    <t>Ramyasri S A / Ashish Kota – country-level rewards signals</t>
  </si>
  <si>
    <t>Country-level – India</t>
  </si>
  <si>
    <t>Country-level signal only.</t>
  </si>
  <si>
    <t>Jeremy Tan Kok Liann, Group Head HR at Wilmar International (since November 2017) — broad HR responsibility including compensation and benefits, but not benefits-titled</t>
  </si>
  <si>
    <t>Global at Group HR level; no specifically-titled global benefits director surfaced</t>
  </si>
  <si>
    <t>Parent (Wilmar International Limited, Singapore, ~100,000+ employees across 50+ countries)</t>
  </si>
  <si>
    <t>The Org confirms Jeremy Tan as Group Head HR responsible for the Group's HR Division at parent entity, but title is broad HR not benefits/total rewards-specific; recent appointment of Melani Katakajali as Country Head HR (Indonesia) shows country-level overlay structure typical of Asian conglomerates.</t>
  </si>
  <si>
    <t>https://theorg.com/org/wilmar-international/org-chart/jeremy-tan-kok-liann ; https://hrtoday.in/melani-katakajali-appointed-as-country-head-human-resource-manager-at-wilmar-international/</t>
  </si>
  <si>
    <t>Personalvorstand und Arbeitsdirektor (Konzern HR head, appointed April 1, 2025) — broad HR role responsible for "Konzernfunktion Human Relations Management" and TKMS segment; not benefits-titled</t>
  </si>
  <si>
    <t>Global (Konzern HR umbrella); structure federated by largely independent businesses</t>
  </si>
  <si>
    <t>Parent (thyssenkrupp AG, Essen/Duisburg) — flag: company self-describes as "an international group of companies comprising **largely independent** industrial and technology businesses"</t>
  </si>
  <si>
    <t>Wikipedia and thyssenkrupp's own management page confirm the federated structure with autonomous segments (Materials Services, Automotive Technology, TKMS Marine Systems, Steel Europe) each with own CEO; Konzernvorstand HR exists but no benefits-titled global director surfaced.</t>
  </si>
  <si>
    <t>https://www.thyssenkrupp.com/de/unternehmen/management/vorstand ; https://en.wikipedia.org/wiki/ThyssenKrupp</t>
  </si>
  <si>
    <t>Group Vice President for Compensation, Benefits, and International Mobility at ENGIE (named individual surfaced anonymously via management team narrative; role active since 2021)</t>
  </si>
  <si>
    <t>Parent (ENGIE SA, La Défense, Courbevoie)</t>
  </si>
  <si>
    <t>ENGIE Global Management &amp; Sales management team narrative confirms a current Group VP for Compensation, Benefits, and International Mobility role at parent entity, serving as a member of the Group HR Executive Committee co-designing global HR policies across "all Global businesses and Regions."</t>
  </si>
  <si>
    <t>https://engie-sem.com/management-team/ ; https://www.engie.com/en/compensation-social-protection-employee-savings-plans-employee-shareholding</t>
  </si>
  <si>
    <t>Executive Officer for Human Resources at Vale S.A. parent (historically Carla Grasso, Vânia Somavilla, Clovis Torres bundled with Sustainability/Compliance/General Counsel — current incumbent not surfaced)</t>
  </si>
  <si>
    <t>Global at Executive Officer HR level (broad HR); Vale Base Metals subsidiary has separate CHRO (Aaron McCarthy, since Feb 2025)</t>
  </si>
  <si>
    <t>Parent (Vale S.A., Rio de Janeiro) — flag: Vale Base Metals operates as separate restructured entity with own CHRO covering 15,000 employees in 5 countries; parent ~70,000 employees focused on iron ore</t>
  </si>
  <si>
    <t>Vale SEC filings confirm Board-level Executive Officer for HR function at parent S.A.; appointment of Aaron McCarthy as CHRO at Vale Base Metals indicates splintered HR post-restructuring; no benefits-titled global director surfaced at parent.</t>
  </si>
  <si>
    <t>https://www.sec.gov/Archives/edgar/data/0000917851/000110465915040059/a15-12599_16k.htm</t>
  </si>
  <si>
    <t>Nabeel A. Al-Jama', Senior Vice President for Human Resources and Corporate Services at Saudi Aramco (since July 2020) — broad HR &amp; Services Line, not benefits-titled</t>
  </si>
  <si>
    <t>Global at SVP HR level; structure centralized at Dhahran HQ</t>
  </si>
  <si>
    <t>Parent (Saudi Arabian Oil Company / Aramco, Dhahran) — flag: workforce overwhelmingly Saudi-based; global subsidiaries (Motiva US, S-Oil Korea, Aramco Trading) operate semi-autonomously</t>
  </si>
  <si>
    <t>Saudi Aramco 2024 Annual Report confirms HR &amp; Corporate Services as one of six Service Lines headed by an EVP/SVP reporting to CEO; Al-Jama' confirmed as SVP HR and Corporate Services; broad HR umbrella role, not benefits-specific.</t>
  </si>
  <si>
    <t>https://www.arabnews.com/node/1698021/saudi-arabia ; https://www.aramco.com/-/media/publications/corporate-reports/reports-and-presentations/2024/fy/sections/ara-2024-governance-english.pdf</t>
  </si>
  <si>
    <t>Ford Motor Company Chief Human Resources Officer at parent (Kiersten Robinson held role April 2018 to Jan 2024, departed July 2025; current CHRO not surfaced) — broad HR role overseeing all global people processes including talent management, workforce planning, learning and development, recruiting, diversity and inclusion, compensation and benefits</t>
  </si>
  <si>
    <t>Global at CHRO level (broad HR umbrella); Ford has explicit Total Rewards Retirement and Savings organization at Dearborn</t>
  </si>
  <si>
    <t>Parent (Ford Motor Company, Dearborn MI — ~177,000 employees globally) — flag: federated by region historically (Ford North America, Ford Europe, Ford Asia Pacific, Ford South America) with regional HR structures</t>
  </si>
  <si>
    <t>Business Wire press release confirms historical CHRO role at parent with global scope; Ford describes itself as an established global company; Senior Specialist Total Rewards posting confirms Total Rewards Retirement and Savings organization at Dearborn; no benefits-titled global director surfaced.</t>
  </si>
  <si>
    <t>https://www.businesswire.com/news/home/20180319005867/en/Ford-Appoints-Kiersten-Robinson-Chief-Human-Resources ; https://themuse.com/jobs/fordmotorcompany/senior-specialist-total-rewards</t>
  </si>
  <si>
    <t>Terence Chan – Google benefits/total rewards signal</t>
  </si>
  <si>
    <t>Global – subsidiary</t>
  </si>
  <si>
    <t>Subsidiary flagged; Google</t>
  </si>
  <si>
    <t>Signal appears under Google, not Alphabet Inc</t>
  </si>
  <si>
    <t>https://www.linkedin.com/in/tchangoogle/</t>
  </si>
  <si>
    <t>Director/Sr Director Total Rewards roles found in GD subsidiaries</t>
  </si>
  <si>
    <t>Country/enterprise or subsidiary</t>
  </si>
  <si>
    <t>Parent/subsidiary mixed</t>
  </si>
  <si>
    <t>No parent-level global scope term found; GD C4/GDMS subsidiary roles do not support parent Band 3.</t>
  </si>
  <si>
    <t>Jose Motta / Treasa Bowers – 7-Eleven subsidiary roles only</t>
  </si>
  <si>
    <t>Regional – North America subsidiary</t>
  </si>
  <si>
    <t>Subsidiary flagged</t>
  </si>
  <si>
    <t>7-Eleven subsidiary signal does not verify Seven &amp; i Holdings parent benefits governance.</t>
  </si>
  <si>
    <t>https://theorg.com/org/7-eleven/org-chart/jose-motta</t>
  </si>
  <si>
    <t>Emilie Bergeaud / Arafat Khan – Group/global rewards signal</t>
  </si>
  <si>
    <t>Global – Group</t>
  </si>
  <si>
    <t>Group/global rewards signal retained.</t>
  </si>
  <si>
    <t>https://theorg.com/org/renault/org-chart/arafat-khan</t>
  </si>
  <si>
    <t>Neil Berrisford / Larissa Rapp – global rewards signal</t>
  </si>
  <si>
    <t>https://theorg.com/org/bayer/org-chart/neil-berrisford</t>
  </si>
  <si>
    <t>Mike Coventry / Toby Morrow – enterprise rewards signal</t>
  </si>
  <si>
    <t>Enterprise / possible global</t>
  </si>
  <si>
    <t>Parent enterprise reward signal found but global benefits/TR director title not clearly verified.</t>
  </si>
  <si>
    <t>https://rocketreach.co/mike-coventry-email_23588613</t>
  </si>
  <si>
    <t>Roland Schustereder / Chris Sutter – global rewards/benefits signal</t>
  </si>
  <si>
    <t>https://theorg.com/org/exxonmobil/org-chart/inge-van-coppenolle</t>
  </si>
  <si>
    <t>Brenda Ball / John Havenaar / Robin Lancaster – global rewards signals</t>
  </si>
  <si>
    <t>https://wiza.co/d/cummins-inc/b231/brenda-ball</t>
  </si>
  <si>
    <t>Jesse Stephan – global rewards/benefits signal</t>
  </si>
  <si>
    <t>https://theorg.com/org/sysco/org-chart/jesse-stephan</t>
  </si>
  <si>
    <t>Demetris Crum / Mariangela Mondolo-Burghard / Anna Niemczewska – global rewards signals</t>
  </si>
  <si>
    <t>https://theorg.com/org/abbvie/org-chart/demetris-crum</t>
  </si>
  <si>
    <t>Allen Powley – global rewards/benefits signal</t>
  </si>
  <si>
    <t>Chris Stoeckli / Nikita Lochub – global rewards signal</t>
  </si>
  <si>
    <t>Christine Tsang / Andy Valenzuela / Alan Becken / Santiago Friedenthal – global rewards signals</t>
  </si>
  <si>
    <t>https://theorg.com/org/salesforce/org-chart/christine-tsang</t>
  </si>
  <si>
    <t>Tammy Yee / Teresa Mello – global rewards/benefits signal</t>
  </si>
  <si>
    <t>https://www.linkedin.com/in/tammy-yee-a1a44437</t>
  </si>
  <si>
    <t>NOT FOUND with global benefits-titled scope at parent; Board-level 'executive stock compensation system' reference (governance only, for executive officers/directors); no benefits-titled VP/Director surfaced at parent or major subsidiaries</t>
  </si>
  <si>
    <t>National (Japan only); minor international presence via Toll Group Australia (APAC logistics subsidiary)</t>
  </si>
  <si>
    <t>Parent (Japan Post Holdings Co., Ltd., Otemachi Tokyo — 221,387 employees) — flag: Japan-only state-controlled postal/banking/insurance holding company; partial privatization but Japanese government retains significant ownership; segments (Japan Post Co., Japan Post Bank, Japan Post Insurance) all Japan-focused; not a fit for Thrive Global commercial multinational GTM</t>
  </si>
  <si>
    <t>Wikipedia and corporate page confirm Japan Post Holdings distributes postal/banking/insurance solutions through post offices across Japan; international footprint limited to Toll Group APAC; only executive stock compensation system at Board level (no operational benefits-titled global director); similar to USPS pattern.</t>
  </si>
  <si>
    <t>https://en.wikipedia.org/wiki/Japan_Post ; https://www.zoominfo.com/pic/japan-post-holdings-co-ltd/36129928</t>
  </si>
  <si>
    <t>SBI benefits governed by IBA bipartite wage settlement framework; no named global or regional benefits leadership role found; HR structure follows Indian regulatory/union model.</t>
  </si>
  <si>
    <t>Glassdoor; SBI CRPD recruitment documents</t>
  </si>
  <si>
    <t>Group Head and CHRO – Vibhash Naik; no standalone benefits lead found</t>
  </si>
  <si>
    <t>India bank-level HR leadership found, but no regional/global benefits or total-rewards role.</t>
  </si>
  <si>
    <t xml:space="preserve">https://www.hdfcbank.com/personal/about-us/overview/management-team 
https://www.peoplematters.in/news/appointments/hdfc-bank-appoints-vibhash-naik-as-its-new-chro-from-february-2026-47472 </t>
  </si>
  <si>
    <t>NOT FOUND with benefits-titled global scope at parent; Compensation Committee at Board level (governance only, chaired by Outside Director); Mitsubishi Electric Automotive America, Mitsubishi Electric Automation, Mitsubishi Electric Mobility Corporation each operate own HR functions</t>
  </si>
  <si>
    <t>NOT FOUND at parent (Japanese keiretsu pattern); subsidiaries have own compensation/benefits structures</t>
  </si>
  <si>
    <t>Parent (Mitsubishi Electric Corporation, Tokyo — 149,655 employees globally) — flag: classic Japanese keiretsu pattern with semi-autonomous regional and product subsidiaries</t>
  </si>
  <si>
    <t>Mitsubishi Electric governance pages reference Compensation Committee at Board level for executive director/officer compensation only; Mitsubishi Electric Automation US has its own benefits package referenced separately; no benefits-titled global director surfaced at parent; standard Japanese keiretsu pattern.</t>
  </si>
  <si>
    <t>https://www.mitsubishielectric.com/en/about/management/profile/ ; https://us.mitsubishielectric.com/fa/en/about-us/careers/benefits-overview/</t>
  </si>
  <si>
    <t>Morten Engelund / Søren Dalsgaard – global rewards signal</t>
  </si>
  <si>
    <t>https://theorg.com/org/novo-nordisk/org-chart/morten-engelund</t>
  </si>
  <si>
    <t>Steve First / Steve Pennacchio – global benefits/total rewards signals</t>
  </si>
  <si>
    <t>https://www.conference-board.org/bio/steve-first</t>
  </si>
  <si>
    <t>Thomas Bork – global rewards signal</t>
  </si>
  <si>
    <t>https://rocketreach.co/thomas-bork-email_12920537</t>
  </si>
  <si>
    <t>Heather Simons / James Ludlow – global rewards signals</t>
  </si>
  <si>
    <t>https://theorg.com/org/vodafone/org-chart/dewi-walters</t>
  </si>
  <si>
    <t>NOT FOUND at parent (Grupo ACS, Madrid); Ángel García Altozano, Corporate General Manager (broad role, not benefits-titled)</t>
  </si>
  <si>
    <t>Country-level / subsidiary-level</t>
  </si>
  <si>
    <t>Parent — NOT FOUND with benefits/total rewards title; benefits decisions devolved to autonomous operating subsidiaries (HOCHTIEF, Turner, CIMIC, Flatiron, Dragados, Cobra IS, Abertis)</t>
  </si>
  <si>
    <t>ACS Remuneration Report 2023 covers only executive directors; the Group operates as a holding company where each major operating subsidiary (HOCHTIEF on Germany's DAX, Turner in US, CIMIC in Australia) maintains its own HR and benefits structure independently.</t>
  </si>
  <si>
    <t>https://www.grupoacs.com/ficheros_editor/File/03_accionistas_inversores/06_junta_general_accionistas/2023/7%20Informe%20de%20Remuneraciones%202022_ENG.pdf</t>
  </si>
  <si>
    <t>Mollie O'Brien, Director of Total Rewards at BASF (US-anchored); Ivory Harris, VP HR North America (NA Regional HR Leadership Team responsible for BASF's Total Rewards approach); historical SVP Global Executive HR role at BASF SE Ludwigshafen (Becker, Ultsch) — current incumbent not surfaced</t>
  </si>
  <si>
    <t>Regional (North America) for currently-named TR roles; CEO Markus Kamieth owns "Corporate Human Resources" portfolio at Board level</t>
  </si>
  <si>
    <t>Parent (BASF SE, Ludwigshafen) — flag: most publicly-surfaced Total Rewards leadership is NA-regional (Florham Park-anchored), not Ludwigshafen Konzern-level; Konzern HR structure confirmed at CEO Board level but specific Global Benefits/Rewards Director currently unverified</t>
  </si>
  <si>
    <t>2016 Employee Benefit News article identifies Mollie O'Brien as "director of total rewards at BASF" (US context); Ivory Harris's Conference Board bio confirms her NA-regional scope for developing BASF's Total Rewards approach.</t>
  </si>
  <si>
    <t>https://www.benefitnews.com/news/benefits-innovator-spotlight-basf ; https://www.conference-board.org/bio/ivory-harris</t>
  </si>
  <si>
    <t>Karin Hoeing, Group HR Director and Chief People Officer at BAE Systems plc (broad HR, not benefits-titled); "Director, Total Rewards Projects" job posting at BAE Systems, Inc. (US subsidiary)</t>
  </si>
  <si>
    <t>Regional (US subsidiary) for benefits-titled roles; Group HR at parent is umbrella scope</t>
  </si>
  <si>
    <t>Parent (BAE Systems plc, London) — flag: benefits-titled Director-level role surfaced is at BAE Systems, Inc. US subsidiary, not parent plc</t>
  </si>
  <si>
    <t>SheCanCode and Potomac Officers Club confirm Group HR Director at parent (Karin Hoeing); LinkedIn job posting for Director Total Rewards Projects sits at BAE Systems, Inc. US subsidiary; per scoring rules, subsidiary-level roles don't count toward parent score.</t>
  </si>
  <si>
    <t>https://shecancode.io/company-profile/bae-systems/ ; https://www.linkedin.com/jobs/view/director-total-rewards-projects-at-bae-systems-inc-3996688137</t>
  </si>
  <si>
    <t>Wendy Mizuno, Senior VP Total Rewards at Loblaw Companies Limited — leads total rewards team for Loblaw Group of Companies (200,000+ colleagues) providing advisory support to George Weston Limited, Choice Properties, Wittington Investments, Holt Renfrew &amp; Co.; previously Group Head Pensions &amp; Benefits at George Weston Limited</t>
  </si>
  <si>
    <t>Canada + US affiliate operations (Canada-anchored); Wendy Mizuno's SVP role sits at Loblaw subsidiary, not George Weston parent</t>
  </si>
  <si>
    <t>Subsidiary (Loblaw Companies Limited) for SVP Total Rewards role; George Weston Limited (Toronto) is the parent holding company controlling Loblaw + Choice Properties REIT — flag: Weston Foods divested 2021; George Weston Group is essentially Canadian retail/REIT focused; not truly global multinational</t>
  </si>
  <si>
    <t>ZoomInfo confirms Wendy Mizuno as Senior VP Total Rewards at Loblaws (subsidiary); Benefits Canada confirms her team provides compensation and benefits expertise to Loblaw and its Canadian and U.S. operating companies plus advisory support to George Weston; per scoring rule, subsidiary-level SVP TR doesn't count toward George Weston parent score; Canada-anchored scope caps at Band 2.</t>
  </si>
  <si>
    <t>https://www.zoominfo.com/p/Wendy-Mizuno/1885190889 ; https://www.benefitscanada.com/microsite/dc-plan-summit-2025/speakers/wendy-mizuno/</t>
  </si>
  <si>
    <t>Manuel Martins / Sofia Morgadinho – compensation &amp; benefits team</t>
  </si>
  <si>
    <t>Country/enterprise – Portugal</t>
  </si>
  <si>
    <t>Country/enterprise compensation &amp; benefits signal only.</t>
  </si>
  <si>
    <t>https://theorg.com/org/jeronimo-martins/teams/compensation-and-benefits</t>
  </si>
  <si>
    <t>Guillermo Pérez de Ciriza – global rewards signal</t>
  </si>
  <si>
    <t>https://www.linkedin.com/in/guillermo-perez-de-ciriza-48b0b81/</t>
  </si>
  <si>
    <t>Susy Michor / Ted Jennings / Kiran Dhari – global rewards signals</t>
  </si>
  <si>
    <t>Anna Stenbeck – global benefits/total rewards signal</t>
  </si>
  <si>
    <t>https://www.linkedin.com/in/anna-stenbeck-a707b01a/</t>
  </si>
  <si>
    <t>Constantin Romanov / Ethan Lee – global rewards signal</t>
  </si>
  <si>
    <t>Andrew Moline / Carol Lewis – global rewards/benefits signal</t>
  </si>
  <si>
    <t>https://theorg.com/org/john-deere/org-chart/felecia-pryor</t>
  </si>
  <si>
    <t>Jeff Scott / John O'Brien – global rewards signal</t>
  </si>
  <si>
    <t>https://www.linkedin.com/in/jeff-scott-bmo</t>
  </si>
  <si>
    <t>Michael Tovar / Paul Bailey – global performance &amp; reward signal</t>
  </si>
  <si>
    <t>Global reward leadership signal retained.</t>
  </si>
  <si>
    <t>https://theorg.com/org/ing/teams/performance-and-reward</t>
  </si>
  <si>
    <t>Jonathan Browne / Julia Pustovoitova – global rewards signals</t>
  </si>
  <si>
    <t>https://theorg.com/org/procter-gamble</t>
  </si>
  <si>
    <t>Robert Lockley / John Beadle – global rewards/benefits signals</t>
  </si>
  <si>
    <t>https://theorg.com/org/abb/org-chart/robert-lockley</t>
  </si>
  <si>
    <t>Matt Ponicall / Cliff Kenyon – global benefits/total rewards signals</t>
  </si>
  <si>
    <t>https://www.conference-board.org/bio/matt-ponicall</t>
  </si>
  <si>
    <t>Courtney Brown – global benefits/total rewards signal</t>
  </si>
  <si>
    <t>Nitin Sansare / Praveen Gandhi – country/subsidiary signals</t>
  </si>
  <si>
    <t>Country/subsidiary</t>
  </si>
  <si>
    <t>No parent global or regional benefits/TR role verified.</t>
  </si>
  <si>
    <t>Alex Stean / Sarah Briggs – UK reward/benefits signal</t>
  </si>
  <si>
    <t>Country-level – UK</t>
  </si>
  <si>
    <t>Country-level UK signal only.</t>
  </si>
  <si>
    <t>Rosni Hamid / Wan Ashraf Aziz – enterprise rewards signal</t>
  </si>
  <si>
    <t>Enterprise</t>
  </si>
  <si>
    <t>Enterprise rewards signal found; no clearly verified global director+ benefits/TR role.</t>
  </si>
  <si>
    <t>https://contactout.com/rosni-hamid-89292</t>
  </si>
  <si>
    <t>NOT FOUND with global benefits-titled scope at parent; holding company Board structure but no benefits/HR-specific role surfaced; each operating subsidiary (HTHKH, TPG Telecom, CK Infrastructure, Hutchison Port Holdings, Watsons retail, HK Electric) has own HR structure</t>
  </si>
  <si>
    <t>NOT FOUND (holding-level); subsidiaries operate own HR structures</t>
  </si>
  <si>
    <t>Parent (CK Hutchison Holdings Limited, Hong Kong — 300,000+ employees in 50+ countries across 5 core businesses: ports, retail, infrastructure, energy, telecommunications) — flag: classic Asian holding company structure with autonomous operating subsidiaries each running independently</t>
  </si>
  <si>
    <t>CK Hutchison governance page confirms holding structure with Board-level committees; operating subsidiaries listed separately on stock exchanges (HTHKH, TPG, CKI, HKEI) with own management teams; no Group-level benefits/HR director role surfaced at parent.</t>
  </si>
  <si>
    <t>https://www.ckh.com.hk/en/about/ ; https://www.ckh.com.hk/en/about/directors_details.php</t>
  </si>
  <si>
    <t>Silvia Nierbauer / Joshua Jae-Hyuk Lee – regional rewards signals</t>
  </si>
  <si>
    <t>Regional role signal capped at Band 2; subsidiary ambiguity flagged.</t>
  </si>
  <si>
    <t>https://rocketreach.co/silvia-nierbauer-email_106000027</t>
  </si>
  <si>
    <t>Compensation &amp; Benefits department at METRO AG (named individual not surfaced); Christiane Giesen, Management Board member and Labour Director (former Chief People &amp; Culture Officer until May 2024)</t>
  </si>
  <si>
    <t>Parent (METRO AG, Düsseldorf)</t>
  </si>
  <si>
    <t>METRO's own careers page explicitly lists "Compensation &amp; Benefits" as one of six P&amp;C departments at METRO AG parent entity, alongside Talent Acquisition, Talent Management, Learning &amp; Development, P&amp;C Operations, P&amp;C Service Office — confirming a centralized Group C&amp;B function covering 25+ country operations.</t>
  </si>
  <si>
    <t>https://careers.metroag.de/our-departments ; https://www.metroag.de/en/about-us/management-board</t>
  </si>
  <si>
    <t>Joydeep (last name not surfaced), Managing Director and Global Head Human Resources at Olam (broad HR — established function in 2003, grew Olam from 2,500 to 40,000+ employees)</t>
  </si>
  <si>
    <t>Global at Group HR level; no benefits-titled global director surfaced</t>
  </si>
  <si>
    <t>Parent (Olam Group Limited, Singapore) — flag: company undergoing major restructuring (Olam Agri sold 80% to SALIC, ofi IPO pending, Group CEO Sunny Verghese stepping down April 2026)</t>
  </si>
  <si>
    <t>Olam Group leadership page confirms Joydeep as MD and Global Head HR at parent; role is broad HR not benefits-specific; structure in flux given reorganization into ofi, Olam Agri, and Remaining Olam Group.</t>
  </si>
  <si>
    <t>https://www.olamgroup.com/about-olam/executive-committees.html</t>
  </si>
  <si>
    <t>Desiree Bacher, SVP and Chief Human Resources Officer at Linde plc (since September 1, 2025; succeeds David Strauss who retires March 31, 2026) — broad HR not benefits-titled</t>
  </si>
  <si>
    <t>Global at CHRO level; no specific benefits-titled global director surfaced</t>
  </si>
  <si>
    <t>Parent (Linde plc; Irish-domiciled, operational HQ Guildford UK / Danbury CT)</t>
  </si>
  <si>
    <t>Linde 2024 Directors' Report and August 2025 leadership change announcement confirm CHRO at parent plc; Linde operates Regional EVP structure (APAC, EMEA, Americas); specific Global Total Rewards/Benefits VP not surfaced.</t>
  </si>
  <si>
    <t>https://www.gurufocus.com/news/3046082/linde-lin-announces-executive-leadership-changes</t>
  </si>
  <si>
    <t>Jos Dessauvagie – global rewards/benefits signal</t>
  </si>
  <si>
    <t>https://www.linkedin.com/in/jos-dessauvagie</t>
  </si>
  <si>
    <t>Yoshiaki Takemasu</t>
  </si>
  <si>
    <t>Head of HR</t>
  </si>
  <si>
    <t>No global scope confirmed, previous regional APAC confirmed</t>
  </si>
  <si>
    <t>https://www.mitsui.com/jp/en/company/outline/officer/1241322_7041.html</t>
  </si>
  <si>
    <t>Silvana C. / Elisabetta Colacchia – global rewards signals</t>
  </si>
  <si>
    <t>https://www.linkedin.com/in/silvana-c-9302831b/</t>
  </si>
  <si>
    <t>Solange Lafranconi</t>
  </si>
  <si>
    <t>Global HRBP</t>
  </si>
  <si>
    <t>Global HR Business Partner role</t>
  </si>
  <si>
    <t>https://www.linkedin.com/in/solange-lafranconi-7681864/</t>
  </si>
  <si>
    <t>Umut Gunal, Human Resources Director at Koç Holding A.Ş. (3.1 years tenure, broad HR not benefits-titled); Gonca Gülşen formerly Performance and Rewards Manager at Koç Holding (now Organizational Development Manager)</t>
  </si>
  <si>
    <t>Country-level (holding-level Turkish corporate staff only); operating subsidiaries autonomous</t>
  </si>
  <si>
    <t>Parent (Koç Holding A.Ş., Istanbul) — flag: 16 publicly-listed Group companies on Istanbul Stock Exchange totaling 113 companies, with each major subsidiary (Arçelik, Ford Otosan, Tofaş, Tüpraş, Yapı Kredi, Aygaz) operating its own HR/C&amp;B structure</t>
  </si>
  <si>
    <t>Wikipedia confirms Koç Holding's 16 listed Group companies operating semi-autonomously; Simply Wall St shows holding-company management team with broad HR Director but no benefits-titled global role; subsidiaries (e.g., Arçelik) have own C&amp;B teams with country/region scope.</t>
  </si>
  <si>
    <t>https://en.wikipedia.org/wiki/Ko%C3%A7_Holding ; https://simplywall.st/stocks/tr/capital-goods/ibse-kchol/koc-holding-shares/management</t>
  </si>
  <si>
    <t>No group-level or regional benefits/total rewards title surfaced; only country-subsidiary employee reviews found (e.g., Peru).</t>
  </si>
  <si>
    <t>LinkedIn / Indeed searches; https://pe.indeed.com/cmp/America-Movil-Peru-S.a.c/reviews</t>
  </si>
  <si>
    <t>Richard Mayes / Kate Gebo – HR/benefits signal</t>
  </si>
  <si>
    <t>Country/enterprise – United States</t>
  </si>
  <si>
    <t>No explicit regional/global benefits or total-rewards role found.</t>
  </si>
  <si>
    <t>Adriano Gomes – country-level C&amp;B signal</t>
  </si>
  <si>
    <t>Country-level – Brazil</t>
  </si>
  <si>
    <t>Carmen Velasco – compensation &amp; benefits signal</t>
  </si>
  <si>
    <t>Country/enterprise – Spain</t>
  </si>
  <si>
    <t>https://theorg.com/org/inditex/teams/compensation-and-benefits</t>
  </si>
  <si>
    <t>Charles Montreuil / Deidre Serum – North America total rewards signal</t>
  </si>
  <si>
    <t>Regional – North America</t>
  </si>
  <si>
    <t>North America/enterprise scope capped at Band 2.</t>
  </si>
  <si>
    <t>https://www.conference-board.org/bio/charles-montreuil</t>
  </si>
  <si>
    <t>Director, Global Defined Contribution Plans, Total Rewards, Global HR – job posting</t>
  </si>
  <si>
    <t>Global – posting only</t>
  </si>
  <si>
    <t>Job posting for global TR role is treated one band lower than confirmed current role.</t>
  </si>
  <si>
    <t>https://jobs.scotiabank.com/job/Toronto-Director,-Global-Defined-Contribution-Plans,-Total-Rewards,-Global-HR-ON-M5H1H1/600673817</t>
  </si>
  <si>
    <t>Angela Ricci / Roberto Cascella – Italian enterprise rewards signal</t>
  </si>
  <si>
    <t>Country/enterprise – Italy</t>
  </si>
  <si>
    <t>Enterprise Italy signal only; no regional/global benefits/TR scope verified.</t>
  </si>
  <si>
    <t>https://theorg.com/org/intesa-sanpaolo/org-chart/roberto-cascella</t>
  </si>
  <si>
    <t>Beccy Casasent / Motomasa Sakuma – regional/subsidiary signal</t>
  </si>
  <si>
    <t>Regional/subsidiary</t>
  </si>
  <si>
    <t>Subsidiary/regional signal only; no parent global role verified.</t>
  </si>
  <si>
    <t>Sven Skillrud / David Gibb – global benefits signal</t>
  </si>
  <si>
    <t>Global benefits director-level signal retained.</t>
  </si>
  <si>
    <t>https://www.conference-board.org/bio/sven-skillrud</t>
  </si>
  <si>
    <t>Sunil Tewatia</t>
  </si>
  <si>
    <t>Global HR - Japan, India</t>
  </si>
  <si>
    <t>Japan India signal</t>
  </si>
  <si>
    <t>https://www.linkedin.com/in/sunil-tewatia-16a90119a/</t>
  </si>
  <si>
    <t>Todd Brooks / Kevin Cammarata – global rewards/benefits signal</t>
  </si>
  <si>
    <t>https://www.linkedin.com/in/todd-brooks-92075a12/</t>
  </si>
  <si>
    <t>Isabela Mendes, Margardia Ribeiro dos Santos</t>
  </si>
  <si>
    <t>HR Manager, country-level only</t>
  </si>
  <si>
    <t>Only Brazil and Portugal country-level scope</t>
  </si>
  <si>
    <t>https://www.linkedin.com/in/isabela-mendes-ba1610255/
https://www.linkedin.com/in/margaridaribeiro/</t>
  </si>
  <si>
    <t>Simon Constantine / Kumar Kymal – global rewards signal</t>
  </si>
  <si>
    <t>https://www.linkedin.com/in/simon-constantine-b895b617</t>
  </si>
  <si>
    <t>Stephanie Palermo / Gene Cattie / Kaitlin Haggerty – US enterprise rewards signal</t>
  </si>
  <si>
    <t>US enterprise signal only; no regional/global benefits/TR scope verified.</t>
  </si>
  <si>
    <t>https://theorg.com/org/capital-one/org-chart/stephanie-palermo</t>
  </si>
  <si>
    <t>Veenu Rai / Kim Denning / Steve Braun – global benefits/total rewards signals</t>
  </si>
  <si>
    <t>https://contactout.com/steve-braun-96108</t>
  </si>
  <si>
    <t>Cheolbeom Park / Chang Sung Kim – Korean/subsidiary HR signals</t>
  </si>
  <si>
    <t>José Jordá – country-level people/HR signal</t>
  </si>
  <si>
    <t>Country-level – Spain</t>
  </si>
  <si>
    <t>Country-level signal exists; changed from 0 because some country HR governance is public.</t>
  </si>
  <si>
    <t>https://info.mercadona.es/es/conocenos/organizacion-mercadona</t>
  </si>
  <si>
    <t>Bridget Coulon / Jeff Schmidt – US enterprise rewards/benefits signal</t>
  </si>
  <si>
    <t>US enterprise signal only; no regional/global scope term verified.</t>
  </si>
  <si>
    <t>https://theorg.com/org/northrop-grumman/org-chart/bridget-coulon</t>
  </si>
  <si>
    <t>Janet McNally</t>
  </si>
  <si>
    <t>Head of HR UK</t>
  </si>
  <si>
    <t>Janet McNally - UK scope only</t>
  </si>
  <si>
    <t>https://www.linkedin.com/in/janet-mcnally-5b41128/</t>
  </si>
  <si>
    <t>Miriam Kartman, Chief People Officer KLM (KLM-level, broad HR including C&amp;B); KLM has dedicated VP Industrial Relations &amp; Compensation and Benefits role; Air France presumably has equivalent French structure</t>
  </si>
  <si>
    <t>Country-level / brand-level (KLM-Netherlands, Air France-France); no Group-level benefits director surfaced</t>
  </si>
  <si>
    <t>Parent (Air France-KLM SA holding) — flag: corporate sites explicitly state "Each airline has retained its individual identity, trade name and brand" with their own HR/C&amp;B functions</t>
  </si>
  <si>
    <t>KLM corporate page confirms KLM CPO oversees "Industrial Relations Compensations and Benefits, HR Strategy &amp; Portfolio and People Transformation departments" at KLM level; Group is structured as a holding with autonomous airline brands each running their own employment compensation and benefits.</t>
  </si>
  <si>
    <t>https://www.klm.co.uk/information/corporate/management-klm ; https://www.klm.com/information/corporate/about-air-france-klm</t>
  </si>
  <si>
    <t>NOT FOUND with global scope at parent (Orlen S.A., Płock); CEO Ireneusz Fąfara at Management Board (broad executive scope)</t>
  </si>
  <si>
    <t>Country-level / regional (Central and Eastern Europe — Poland, Czech Republic, Lithuania, Germany)</t>
  </si>
  <si>
    <t>Parent (Orlen S.A., Płock) — flag: Polish state-owned (49.9%); operating subsidiaries (Orlen Unipetrol, Orlen Lietuva, Orlen Południe) each operate own HR structure</t>
  </si>
  <si>
    <t>Wikipedia confirms Orlen serves only 11 countries primarily in Central/Eastern Europe; management overviews show subsidiaries operating semi-autonomously with country-level directors; no Group benefits/total rewards role surfaced.</t>
  </si>
  <si>
    <t>https://en.wikipedia.org/wiki/Orlen ; https://simplywall.st/stocks/de/energy/fra-pky1/orlen-shares/management</t>
  </si>
  <si>
    <t>NOT FOUND with benefits-titled global scope at parent; E.ON SE Management Board (Birnbaum CEO, Jakobi CFO, König COO Networks, Spieker COO Commercial, Ossadnik COO Digital) does NOT include a dedicated Personalvorstand</t>
  </si>
  <si>
    <t>Group at SE level (Essen); workforce ~75,000 mostly in Europe</t>
  </si>
  <si>
    <t>Parent (E.ON SE, Essen) — flag: post-Uniper spin-off (2016), European-focused (Germany, UK, Sweden, Netherlands, Czech Republic, Romania); subsidiaries (E.ON UK, E.ON Sverige) operate own HR; unusually no Personalvorstand on Management Board</t>
  </si>
  <si>
    <t>E.ON Management page lists 5 Management Board members (CEO/CFO/3 COOs) with no dedicated HR board member surfaced; 2025 Vergütungsbericht covers only board remuneration; no specific benefits-titled global director surfaced.</t>
  </si>
  <si>
    <t>https://www.eon.com/en/about-us/management/marc-spieker.html</t>
  </si>
  <si>
    <t>Alex Naseef – regional subsidiary signal</t>
  </si>
  <si>
    <t>Regional – subsidiary</t>
  </si>
  <si>
    <t>Regional subsidiary signal does not verify parent governance; kept conservative.</t>
  </si>
  <si>
    <t xml:space="preserve">Valerie Van Brabant - Belgium </t>
  </si>
  <si>
    <t>Country-level Belgium</t>
  </si>
  <si>
    <t>Parent entity – no benefits role</t>
  </si>
  <si>
    <t>Country-level Belgium signal only.</t>
  </si>
  <si>
    <t>https://www.linkedin.com/in/valerie-van-brabant/</t>
  </si>
  <si>
    <t>Peter Palma – Sony Music Entertainment global rewards signal</t>
  </si>
  <si>
    <t>Sony Music subsidiary role does not support Sony Group parent Band 3.</t>
  </si>
  <si>
    <t>https://theorg.com/org/sony-music-entertainment/org-chart/peter-palma</t>
  </si>
  <si>
    <t>Paul Marchand / Brian Hingst / Sara Flynn – US enterprise rewards signals</t>
  </si>
  <si>
    <t>https://theorg.com/org/charter-communications/org-chart/brian-hingst</t>
  </si>
  <si>
    <t>Margie Lewis / Richard McDonald / Mohammed Valjy – global rewards signals</t>
  </si>
  <si>
    <t>https://www.conference-board.org/bio/richard-mcdonald</t>
  </si>
  <si>
    <t>Elaine Beddome / Carole Mendoza – global benefits/total rewards signal</t>
  </si>
  <si>
    <t>https://theorg.com/org/hp/org-chart/carole-mendoza</t>
  </si>
  <si>
    <t>Adriane Velloso Ferreira</t>
  </si>
  <si>
    <t>VP HR</t>
  </si>
  <si>
    <t>No global scope confirmed</t>
  </si>
  <si>
    <t>https://ri.caixa.gov.br/en/board-and-executive-management/</t>
  </si>
  <si>
    <t>Erwan Halais / Nicolas Fermigier – global rewards signal</t>
  </si>
  <si>
    <t>Global rewards/benefits leadership signal retained but source should be refreshed beyond Viadeo.</t>
  </si>
  <si>
    <t>https://viadeo.journaldunet.com/p/nicolas-fermigier-778976</t>
  </si>
  <si>
    <t>Alessandra Magalhaes Rodrigues</t>
  </si>
  <si>
    <t>Country-level – Brazil / US</t>
  </si>
  <si>
    <t>No regional/global benefits/TR role found; country-level bank context only.</t>
  </si>
  <si>
    <t>https://www.linkedin.com/in/alemagalhaesrodrigues/</t>
  </si>
  <si>
    <t>Keith Stevens – global/privacy/benefits-adjacent signal</t>
  </si>
  <si>
    <t>Global / role ambiguity</t>
  </si>
  <si>
    <t>Parent entity – partially verified</t>
  </si>
  <si>
    <t>Global signal exists but benefits/total rewards director+ scope not cleanly verified.</t>
  </si>
  <si>
    <t>https://theorg.com/org/mizuho-financial-group/org-chart/keith-stevens-cippm</t>
  </si>
  <si>
    <t>NOT FOUND with global benefits-titled scope at parent; Carolina Martinoli was Chief of People, Corporate Affairs and Sustainability Officer at IAG until April 2024 (moved to Vueling CEO) — broad HR not benefits-titled</t>
  </si>
  <si>
    <t>Holding-level (light central structure); each airline operating company has own HR/Rewards</t>
  </si>
  <si>
    <t>Parent (International Consolidated Airlines Group S.A. — Madrid registered, London HQ, ~76,000 employees) — flag: IAG GBS shared services excludes HR/Rewards; each airline (BA, Iberia, Vueling, Aer Lingus, LEVEL) operates own HR structure</t>
  </si>
  <si>
    <t>IAG's own corporate description states its model is based on a light structure at the centre with empowered airline operating companies; IAG GBS shared services scope excludes HR/Rewards; airlines retain individual brands per IAG website.</t>
  </si>
  <si>
    <t>https://www.iaggbs.com/ ; https://www.iairgroup.com/</t>
  </si>
  <si>
    <t>Stacy Saiki / Raymond Medina – Hyundai Motor America regional/subsidiary signals</t>
  </si>
  <si>
    <t>Subsidiary role does not verify parent Hyundai Motor benefits governance.</t>
  </si>
  <si>
    <t>https://theorg.com/org/hyundai-motor-america/org-chart/stacy-saiki</t>
  </si>
  <si>
    <t>Myeongsoo S. / Yoonjong Kim – Korean/subsidiary HR signals</t>
  </si>
  <si>
    <t>Mixed flagged</t>
  </si>
  <si>
    <t>Country/subsidiary signal only.</t>
  </si>
  <si>
    <t>https://theorg.com/org/hanwha-group/org-chart/myeongsoo-s</t>
  </si>
  <si>
    <t>Moritaka Noumura</t>
  </si>
  <si>
    <t>https://www.daiwahouse.com/English/about/president/index.html?page=from_header</t>
  </si>
  <si>
    <t>Rodrigo Dominciano / Valdirene Secato – Brazil rewards/benefits signal</t>
  </si>
  <si>
    <t>https://www.linkedin.com/in/rodrigo-dominciano-a5942019/</t>
  </si>
  <si>
    <t>Will Brown / Rahul Ramaswarmi – global rewards signal</t>
  </si>
  <si>
    <t>https://theorg.com/org/standard-chartered-bank/org-chart/will-brown</t>
  </si>
  <si>
    <t>Dana Erdfarb / Karen Cohen – global benefits/total rewards signal</t>
  </si>
  <si>
    <t>Global benefits/TR leadership signal retained; source quality should be improved.</t>
  </si>
  <si>
    <t>https://contactout.com/Dana-Erdfarb-82574147</t>
  </si>
  <si>
    <t>Toru Shiroiwa</t>
  </si>
  <si>
    <t>https://www.kddi.com/extlib/files/english/corporate/ir/ir-library/sustainability-integrated-report/2022-online/pdf/kddi_sir2022_e17.pdf</t>
  </si>
  <si>
    <t>Sharon Riddell / Craig Hopton / Alan Nicholson – UK enterprise signal</t>
  </si>
  <si>
    <t>Country/enterprise – UK</t>
  </si>
  <si>
    <t>UK enterprise signal only; no regional/global benefits/TR scope verified.</t>
  </si>
  <si>
    <t>https://www.linkedin.com/in/sharon-riddell-47717718/</t>
  </si>
  <si>
    <t>Mathieu Espic / Béatrice Lafaurie – French enterprise rewards signal</t>
  </si>
  <si>
    <t>Country/enterprise – France</t>
  </si>
  <si>
    <t>Enterprise France signal only; no regional/global benefits/TR scope verified.</t>
  </si>
  <si>
    <t>https://www.linkedin.com/in/mathieu-espic-b849b2176</t>
  </si>
  <si>
    <t>Koji Kashima, Managing Executive Officer &amp; CHRO (no benefits/TR sub-title)</t>
  </si>
  <si>
    <t>Country-level / Japan-centric</t>
  </si>
  <si>
    <t>Parent entity (Marubeni Corporation, Tokyo)</t>
  </si>
  <si>
    <t>CHRO confirmed at parent Marubeni Corp; Japanese conglomerate model centralizes HR in Tokyo HQ but no English-titled global benefits/total rewards role found in public sources.</t>
  </si>
  <si>
    <t>https://simplywall.st/stocks/us/capital-goods/otc-maru.f/marubeni/management</t>
  </si>
  <si>
    <t>Valérie Schelker / David Girod – Swiss HR/rewards signal</t>
  </si>
  <si>
    <t>Country-level – Switzerland</t>
  </si>
  <si>
    <t>Country-level Swiss signal only.</t>
  </si>
  <si>
    <t>https://corporate.migros.ch/en/about-us/our-story/timeline/valerie-schelker-appointed-head-of-the-hrm-and-quality-department</t>
  </si>
  <si>
    <t>Ridho Hutomo</t>
  </si>
  <si>
    <t>No global or regional scope confirmed; Only Indonesia</t>
  </si>
  <si>
    <t>https://www.linkedin.com/in/ridho-hutomo-2a469a49/</t>
  </si>
  <si>
    <t>Brian Hwansung Cho / Jose Vincent Tayag – global HR/C&amp;B manager-level signal</t>
  </si>
  <si>
    <t>Global/Regional – manager-level</t>
  </si>
  <si>
    <t>Global C&amp;B signal exists but not director-level; capped below Band 3.</t>
  </si>
  <si>
    <t>https://theorg.com/org/lg/org-chart/jose-vincent-tayag</t>
  </si>
  <si>
    <t>Dai Yongli / Hiroshi Tominaga – global HR signal</t>
  </si>
  <si>
    <t>Global HR</t>
  </si>
  <si>
    <t>Global HR without benefits/TR scope is not enough for Band 2/3.</t>
  </si>
  <si>
    <t>https://www.linkedin.com/in/daiyongli/</t>
  </si>
  <si>
    <t>Takeshi Oto</t>
  </si>
  <si>
    <t>Group and Global HR</t>
  </si>
  <si>
    <t>Global role loosely defined</t>
  </si>
  <si>
    <t>https://www.linkedin.com/in/takeshi-oto-7bb7b087/</t>
  </si>
  <si>
    <t>Tom O'Keefe / Helen Brady – UK enterprise rewards signal</t>
  </si>
  <si>
    <t>https://www.linkedin.com/in/tom-o-keefe-a969556/</t>
  </si>
  <si>
    <t>Ogi Ikematsu / Ai Kawabata Sato – global HR/subsidiary mix</t>
  </si>
  <si>
    <t>Global HR / subsidiary mix</t>
  </si>
  <si>
    <t>Parent/subsidiary flagged</t>
  </si>
  <si>
    <t>Global HR signal without benefits/TR director title is insufficient for Band 2/3.</t>
  </si>
  <si>
    <t>Matt Insinga / Steve Mesmer / Becky Sunderland – US enterprise rewards signal</t>
  </si>
  <si>
    <t>https://rocketreach.co/matt-insinga-email_56395629</t>
  </si>
  <si>
    <t>Laurent Métral / country-level HR only</t>
  </si>
  <si>
    <t>Country-level – France</t>
  </si>
  <si>
    <t>No regional/global benefits/TR role found.</t>
  </si>
  <si>
    <t>https://www.creditmutuel.fr/en/alliancefederale/media/our-press-releases/appointments-at-credit-mutuel-alliance-federale.html</t>
  </si>
  <si>
    <t>Angie Woodruff - VP Global Total Rewards; Dave Carroll - Global Head of Total Rewards</t>
  </si>
  <si>
    <t>Parent entity (UPS / UPS Corp leadership team)</t>
  </si>
  <si>
    <t>Dave Carroll is listed as Global Head of Total Rewards on the UPS corporate leadership team alongside the EVP/CHRO. Global-scope total-rewards title at director+/officer level on the parent's leadership roster</t>
  </si>
  <si>
    <t>theorg.com/org/ups/teams/leadership-team-1 ; rocketreach.co/dave-carroll-email_44456651 ; https://www.linkedin.com/in/angie-woodruff2023/</t>
  </si>
  <si>
    <t xml:space="preserve">Natasha Rice - Group Reward Director ; David Hope - People Director; Chris Evan - Head of Executive Reward
</t>
  </si>
  <si>
    <t>Global (Group-wide: UK, Ireland, Central Europe, India)</t>
  </si>
  <si>
    <t>https://uk.linkedin.com/in/natasharice ; https://roi.tesco-careers.com/jobdetails/611398 ; careers.tesco.com (Head of Executive Reward &amp; Share Plans, 168226)</t>
  </si>
  <si>
    <t>Juriana Sperandio - Global Chief Human Resources Officer, JBS Foods (CHRO scope — broader than benefits-titled but clearly global authority); Jennifer Ito - Head of Benefits (JBS US-only)</t>
  </si>
  <si>
    <t>Country-level (US)</t>
  </si>
  <si>
    <t>Subsidiary – flagged (JBS USA, not parent JBS S.A./JBS N.V.)</t>
  </si>
  <si>
    <t>The only benefits-specific leadership role found is Head of Benefits at JBS USA — a subsidiary, which does not count toward the parent score. JBS's own ESG materials state benefits vary by region to reflect local needs and regulations, indicating a fragmented structure; no global/regional benefits role found at the parent (governance at JBS N.V. is a board-level compensation committee only).</t>
  </si>
  <si>
    <t>https://jbsfoodsgroup.com/our-purpose/leadership ; https://theorg.com/org/jbs-usa/org-chart/juriana-sperandio linkedin.com/in/jennifer-ito-a324008 ; jbsesg.com/our-people ; ir.jbsglobal.com/corporate-governance</t>
  </si>
  <si>
    <t>Diane Amorese Triolo - Head of Global Benefits at Siemens; Karin S. - SVP at Siemens Healthineers subsidiary (previously held Head of Global Benefits at Siemens); Ignacio Ros - Global Rewards Executive</t>
  </si>
  <si>
    <t xml:space="preserve"> linkedin.com/in/ignacioros; https://americanhealthcareleader.com/2025/siemens-flexible-personalized-benefits-diane-amorese-triolo/ ; https://theorg.com/org/siemens-healthineers/org-chart/karin-s</t>
  </si>
  <si>
    <t>Helene Dubois - Director of Benefits and Compensation (Carrefour - Paris)</t>
  </si>
  <si>
    <t>Global signal at HQ, but only manager-level</t>
  </si>
  <si>
    <t>Parent (Groupe Carrefour, Massy) for the HQ comp function — but ambiguous; flagged</t>
  </si>
  <si>
    <t>Operations are run by country Executive Directors (France, Spain, Italy, etc.), each sitting on the group ExCo — a country-led structure — with France-centric group profit-sharing schemes. A group-level compensation/global-rewards function exists at HQ but only at manager level in public listings; no confirmed director-or-above global benefits title, so scored conservatively below Band 3.</t>
  </si>
  <si>
    <t>businesswire.com (Carrefour ExCo nominations) ; recrute.carrefour.fr/votre-remuneration ; fr.linkedin.com/jobs (Global Rewards Manager Paris / Compensation Manager Groupe</t>
  </si>
  <si>
    <t>Thomas Ogilvie - Member of the Management Board responsible for Human Resources / Deutsche Post AG (broad HR / not benefits-titled)</t>
  </si>
  <si>
    <t>Parent entity (DHL Group / Deutsche Post AG board)</t>
  </si>
  <si>
    <t>Thomas Ogilvie is the DHL Group Board of Management member for HR, with Compensation &amp; Benefits listed as a centralized group HR function (alongside divisional HR). Board-level ownership of group-wide C&amp;B at the parent indicates centralized benefits governance; confirming role is the HR board member rather than a standalone "Global Benefits Director."</t>
  </si>
  <si>
    <t>group.dhl.com/en/about-us/corporate-governance/board-of-management/thomas-ogilvie.html</t>
  </si>
  <si>
    <t>Country-level (essentially national / German)</t>
  </si>
  <si>
    <t>Parent (Deutsche Bahn AG, Berlin Bahntower) — but scope is national; DB Schenker logistics sold to DSV in 2025; post-Schenker, DB Group is largely Germany/Europe rail-focused (~190,000 employees)</t>
  </si>
  <si>
    <t xml:space="preserve">Business Insider confirms Martin Seiler as Personalvorstand at DB AG board level; DB AG remuneration report references Group's executive personnel but no benefits-titled global director surfaced; structure federated across DB subsidiaries. </t>
  </si>
  <si>
    <t>https://www.businessinsider.de/karriere/das-verdienen-top-manager-bei-der-deutschen-bahn-und-im-nahverkehr-c/ ; stepstone.de (DB AG C&amp;B roles) ; ibir.deutschebahn.com (remuneration reports 2023/2024)</t>
  </si>
  <si>
    <t>Tiffany Jones - Global Compensation Lead at Accenture; Angela Colligno - Global Total Rewards; Annie Pachnanda - VP (Global Total Rewards)</t>
  </si>
  <si>
    <t>Accenture runs a centralized global benefits function setting the firm's global benefit strategy, global minimum standards, multinational insurance pooling, and a single global total-rewards strategy. This is a clear "one global buying committee" structure; flag: the most senior named/titled role found in public results was manager-level, while the global governance itself is strongly confirmed.</t>
  </si>
  <si>
    <t>https://www.linkedin.com/in/tiffanyannjones/ ; https://communityjobs.compa.ai/companies/accenture/jobs/52803193-global-benefits-manager-total-rewards ;  linkedin.com/in/angela-collignon</t>
  </si>
  <si>
    <t>Nestlé's Total Rewards Policy is issued by Corporate Compensation &amp; Benefits (Nestec Ltd., Vevey), is mandatory for all employees, approved by Executive Board members, and applies at both Group and local level. Centralized corporate C&amp;B governance at the parent; flag: strongest direct artifact is an internal policy document reflecting the standing centralized structure.</t>
  </si>
  <si>
    <t>Tracy Brightman is EVP &amp; Chief People Officer of FedEx Corporation, leading the global HR function (including compensation and benefits) for all team members worldwide, and is a member of the eight-person executive committee. Parent-level executive ownership of worldwide C&amp;B; confirming role is the CPO rather than a benefits-dedicated title.</t>
  </si>
  <si>
    <t>Julio Mantilla is Senior VP, Total Rewards at TJX Companies, having progressed from Global Vice President, Compensation, with responsibility for global compensation and benefits programs. Enterprise total-rewards leadership at the parent of an international retailer (US, Canada, Europe, Australia); primary source is a data-aggregator profile (single source).</t>
  </si>
  <si>
    <t>https://contactout.com/Julio-Mantilla-1437810 ; https://investor.tjx.com/node/12676/html; zoominfo.com/p/Julio-Mantilla/1628778580</t>
  </si>
  <si>
    <t>Anna Xanthos - SVP and Global Head of Total Rewards; Greg Smith - Vice President Global Benefits; Rachana Baral - VP Global Professional Compensation and TR Transformation</t>
  </si>
  <si>
    <t>Eric Chaisson - EVP Total Rewards; Sonia Coleman - SEVP &amp; Chief People Officer (global comp &amp; benefits); Michelle Paquette - Director Total Rewards &amp; Employee Services</t>
  </si>
  <si>
    <t>Parent (The Walt Disney Company, Burbank CA — ~233,000 employees globally; operations in 40+ countries</t>
  </si>
  <si>
    <t>Eric Chaisson is Executive Vice President, Total Rewards at The Walt Disney Company. SEVP &amp; Chief People Officer Sonia Coleman leads Disney's global people strategy including compensation and benefits, confirming centralized enterprise governance at the parent.</t>
  </si>
  <si>
    <t xml:space="preserve"> linkedin.com/in/eric-chaisson-4904185 ; thewaltdisneycompany.com/leadership/sonia-coleman ; https://www.linkedin.com/in/sonia-l-coleman-208a851/</t>
  </si>
  <si>
    <t xml:space="preserve">Lori Szerencsy - Global Head of Benefits ; Mark Rooney - Director, Human Resources </t>
  </si>
  <si>
    <t>Lori Szerencsy is Global Head of Benefits at Citi. Citi runs a centralized Total Rewards organization within HR covering global employee compensation, benefits, mobility, and performance management.</t>
  </si>
  <si>
    <t>linkedin.com/in/lori-szerencsy-26134312 ; https://www.linkedin.com/in/marksroon/</t>
  </si>
  <si>
    <t>Fred Thiele - Corporate VP (CVP), Global Benefits and Mobility ; Mike Cyran - CVP of Total Rewards</t>
  </si>
  <si>
    <t>March 2026 reporting confirms Fred Thiele appointed CVP of Global Benefits and Mobility reporting to Microsoft's CPO as part of centralized HR restructuring; Mike Cyran simultaneously named CVP of Total Rewards. ; Microsoft's Deferred Compensation Plan materials reference a letter from "our Corporate Vice President of Total Rewards," confirming an officer-level enterprise total-rewards function at the parent. A "Director, Total Rewards M&amp;A" also appears, consistent with a centralized global rewards org; the specific CVP name was not surfaced in public results.</t>
  </si>
  <si>
    <t>https://www.linkedin.com/in/mike-cyran-25344315/ ; https://www.linkedin.com/in/fred-thiele-4a664a/</t>
  </si>
  <si>
    <t>Kate Phillips - Vice President, Global Business Support Manager (Previous Global Head of Benefits); Christopher J. Fabro - Senior Vice President, Global Head of Compensation and Benefits &amp; Travel (Publishing about mental health)</t>
  </si>
  <si>
    <t>https://www.linkedin.com/in/kate-phillips-11828765/ ; https://www.chro.org/w/christopher-j-fabro</t>
  </si>
  <si>
    <t>Caryn Katsikogianis - Chief People Officer (Until March 2026) ; Chathumi Karunanayake - Rewards &amp; Compensation</t>
  </si>
  <si>
    <t xml:space="preserve"> Regional – Australia/New Zealand (binational; APAC-region cap applies)</t>
  </si>
  <si>
    <t>Woolworths Group Limited operates only in Australia and New Zealand (~201,000 employees), so its benefits governance is centralized at the AU group level but binational in scope, capping at Band 2. A group CPO owns reward for the whole ANZ group (functionally a single buyer for its footprint), but no global-scope or dedicated regional benefits-titled director role was independently confirmed — conservative call, flagged. Previous Global Benefits left the company, only contact found is manager level.</t>
  </si>
  <si>
    <t>https://en.wikipedia.org/wiki/Woolworths_Group_(Australia) ; https://www.highperformr.ai/company/woolworths ; https://www.linkedin.com/in/caryn-katsikogianis/ ; https://www.linkedin.com/in/chathumikarunanayake/</t>
  </si>
  <si>
    <t>Ritu W Saxena - VP Compensation (Leading Compensation Strategies for Global Workforce)</t>
  </si>
  <si>
    <t xml:space="preserve"> Country-level (essentially US; international limited to HCA UK)</t>
  </si>
  <si>
    <t xml:space="preserve">HCA job postings reference a consistent centralized total rewards package; CHRO structure at Nashville HQ; scope is US-anchored with only HCA International (UK) overseas — limiting global scope. HCA deploys a standardized enterprise "total rewards package" ("HCA Rewards") uniformly across its US facilities, indicating central design at corporate. </t>
  </si>
  <si>
    <t>Xavier Chéreau - Chief Human Resources &amp; Sustainability Officer ; Matthew Smith - Vice President,Compensation &amp; Benefits (North America)</t>
  </si>
  <si>
    <t>https://www.linkedin.com/in/xavier-chereau/; https://www.stellantis.com/en/sustainability/human-rights ; https://www.sec.gov/Archives/edgar/data/0001605484/000160548424000151/a99212022024_stla.html ; https://www.stellantis.com/content/dam/stellantis-corporate/investors/stock-and-shareholder-info/shareholder-meetings/agm-2026/Stellantis-Remuneration-Report-2025.pdf ; https://www.linkedin.com/in/matthew-smith-21758556/</t>
  </si>
  <si>
    <t>Kimberly C. - SVP and Chief Human Resources &amp; Administrative Officer (Toyota Motor North America — regional NA scope); Tomoki Nakagawa - Group General Manager Human Resource Development Department (at TMC parent, broad HR/L&amp;D)</t>
  </si>
  <si>
    <t>Compensation/total-rewards at Toyota Motor North America is run regionally from Plano under a VP of Team Member Engagement, with a Senior-Manager-level compensation lead. No global-scope benefits/total-rewards role at the parent (TMC) was found; benefits appear managed region-by-region across autonomous entities (decentralized — Low CBG), with the confirmable role at a subsidiary (flagged) and below director level.</t>
  </si>
  <si>
    <t>https://www.linkedin.com/in/kimberly-c-a112831/; https://pressroom.toyota.com/biographies/ ; https://globisusa.com/portfolio/toyota/</t>
  </si>
  <si>
    <t>Elizabeth Burger - Chief Human Resources Officer</t>
  </si>
  <si>
    <t>The oversight of Global Benefits &amp; Mobility and the governance of global benefits programs fall under the broader Total Rewards and HR leadership division, led by the Executive Vice President and Global Chief Human Resources Office</t>
  </si>
  <si>
    <t>https://www.walgreensbootsalliance.com/about-us/leadership-team ; https://www.linkedin.com/in/elizabethburger/</t>
  </si>
  <si>
    <t>Melissa Kremer - Chief Human Resources Officer (broad HR not benefits-titled; no specific benefits-titled global VP/Director surfaced)</t>
  </si>
  <si>
    <t>https://patch.com/minnesota/maplegrove/workers-maple-grove-targets-receive-200-bonus ; corporate.target.com (Target Pay and Benefits, SVP Total Rewards); zoominfo.com/c/target-corp ; https://www.linkedin.com/in/melissakkremer/</t>
  </si>
  <si>
    <t>Michael Horne - SVP and Global Head, Total Rewards; Donna Morri - EVP and Chief People Officer ; Michael Ehret - SVP and CPO (Walmart International, since 2025)</t>
  </si>
  <si>
    <t>https://www.linkedin.com/posts/michael-horne-6a031537_many-thanks-to-donna-morris-and-walmart-activity-7373759835374325760-KcJT;
https://hrtoday.in/michael-horne-appointed-as-senior-vice-president-global-total-rewards-at-walmart/ ; https://www.linkedin.com/in/michael-horne-6a031537/ ; https://www.linkedin.com/in/donnamorris2/ ; https://www.linkedin.com/in/mehret/</t>
  </si>
  <si>
    <t>Ira Bindra - Chief Human Resources Officer (CHRO, broad HR — no benefits-titled global role surfaced);</t>
  </si>
  <si>
    <t>Country-level (India-anchored); reward leadership roles found are India-specific or for subsidiaries like Reliance Brands</t>
  </si>
  <si>
    <t>Jorgen Pedersen - VP Compensation &amp; Benefits</t>
  </si>
  <si>
    <t>https://www.linkedin.com/in/sergio-fernandez-141b332/</t>
  </si>
  <si>
    <t>Erich R. Barnes - Head of Total Rewards</t>
  </si>
  <si>
    <t>https://www.zoominfo.com/p/Erich-Barnes/2034766434 ; https://www.linkedin.com/in/erich-barnes-346931b/</t>
  </si>
  <si>
    <t>Mary Moreland - EVP, Human Resources</t>
  </si>
  <si>
    <t>https://cache.hacontent.com/ybr/R516/00472_ybr_ybrfndt/downloads/EmpHandbook.pdf ; https://www.linkedin.com/in/mary-moreland-4604551/</t>
  </si>
  <si>
    <t xml:space="preserve">Ted Meyer - Vice President, Total Rewards </t>
  </si>
  <si>
    <t>https://careers.caterpillar.com/en/life-at-caterpillar/total-rewards/ ; https://www.forconstructionpros.com/equipment/press-release/20864995/ ; https://www.linkedin.com/in/ted-meyer-b9b14528b/</t>
  </si>
  <si>
    <t>Chris Wronsky - SVP, Chief Human Resources Officer; Nick Lossia - Vice President, Total Rewards &amp; People Analytics</t>
  </si>
  <si>
    <t>Parent entity (Lockheed Martin Corporation)</t>
  </si>
  <si>
    <t xml:space="preserve"> Lockheed Martin's SVP &amp; CHRO oversees a global workforce of 120,000 across 57 countries with total rewards in his portfolio, sitting above a corporate VP, Total Rewards. (Flag: workforce is US-weighted given defense/ITAR concentration.)</t>
  </si>
  <si>
    <t>https://theorg.com/org/lockheed-martin/org-chart/paula-driver ; https://www.linkedin.com/in/chriswronsky/ ; https://www.linkedin.com/in/nick-lossia-4964744/</t>
  </si>
  <si>
    <t>David Berwick - Global Total Rewards ; Paul Anthony - Head of Global Services Human Resources</t>
  </si>
  <si>
    <t>Parent entity (Johnson &amp; Johnson, New Brunswick)</t>
  </si>
  <si>
    <t>Paul Anthony is J&amp;J's Worldwide VP HR – Total Rewards &amp; Human Capital Strategy, and the current CHRO previously ran Global Total Rewards — a confirmed centralized global rewards function at the parent.</t>
  </si>
  <si>
    <t>comparably.com/companies/johnson-johnson; jnj.com ; https://www.linkedin.com/in/david-berwick-4954884/ ; https://www.linkedin.com/in/paul-anthony-5aab8264/</t>
  </si>
  <si>
    <t>Hervé Lavisse - Group Compensation and Benefits Director</t>
  </si>
  <si>
    <t>https://www.global-benefits-vision.com/herve-lavisse-new-group-cb-director-at-veolia/ ; https://jobs.veolia.com/en/job/houston/director-of-compensation/3091/19904692736 ; https://www.linkedin.com/in/herv%C3%A9-l-a6262824/</t>
  </si>
  <si>
    <t>Natalia Wallenberg - Chief Human Resources Officer</t>
  </si>
  <si>
    <t>LinkedIn job posting from November 2025 for "Business Manager to Global Head of Performance &amp; Reward" in Amsterdam confirms an active Group-level Performance &amp; Reward leader role at parent entity. Ahold Delhaize runs a federated "family of local brands" model, with benefits set at division level (e.g. a US-division Total Rewards Manager handling ADUSA comp &amp; benefits) and no group/global benefits leadership role found.</t>
  </si>
  <si>
    <t>https://nl.linkedin.com/jobs/corporate-executive-jobs ; https://www.stocktitan.net/news/ADRNY/ahold-delhaize-announces-it-is-appointing-natalia-wallenberg-as-new-8trryo1s5lhs.html ; https://www.linkedin.com/in/natalia-wallenberg-2212021/</t>
  </si>
  <si>
    <t>Heidi Capozzi - EVP and Chief People Officer; Josh Miller - Head of Sales Compensation (sub-VP)</t>
  </si>
  <si>
    <t>Country-level (US — no international operations)</t>
  </si>
  <si>
    <t>https://pbn.com/cvs-names-heidi-capozzi-chief-people-officer-executive-vp/ ; https://www.linkedin.com/in/heidi-capozzi/</t>
  </si>
  <si>
    <t>Stefan Grosch - Member of the Board of Management (India); Tracy Crane - Compensation, EVP, and Change Management (US, Total Reward Strategies)</t>
  </si>
  <si>
    <t>Corporate Rewarding function, Bosch Group HQ (defines worldwide compensation/rewards strategies BUT specific titled individual not surfaced)</t>
  </si>
  <si>
    <t>https://www.bosch.com/company/leadership/ ; https://en.wikipedia.org/wiki/Bosch_(company) ; https://www.linkedin.com/in/trcrane/ ; https://www.linkedin.com/in/stefan-grosch/</t>
  </si>
  <si>
    <t>Arlette Guthrie -  Senior HR role</t>
  </si>
  <si>
    <t>Regional (North America — US + Canada + Mexico);</t>
  </si>
  <si>
    <t xml:space="preserve">Parent (The Home Depot Inc., Atlanta — ~500,000 associates) - ; flag: Home Depot operates only in US/Canada/Mexico; per rubric 'Regional roles cap at Band 2' applied to NA scope </t>
  </si>
  <si>
    <t xml:space="preserve">Home Depot careers page for Director Compensation explicitly references 'Typically reports to VP – Compensation, Benefits, and HR Operations' — confirming an active VP-level benefits-titled role at parent; NA-only footprint caps at Band 2. Comp/Benefits covers enterprise but enterprise is NA-only </t>
  </si>
  <si>
    <t>https://careers.homedepot.com/job/22418599/director-compensation-remote ; https://www.linkedin.com/in/arletteguthrie/</t>
  </si>
  <si>
    <t xml:space="preserve">Steve Terry - VP, Total Rewards </t>
  </si>
  <si>
    <t xml:space="preserve">National (US only since Canadian divestiture to Sycamore Partners in 2023); </t>
  </si>
  <si>
    <t>Parent (Lowe's Companies, Inc., Mooresville NC — ~300,000 associates) — flag: post-Canada divestiture (2023), Lowe's is US-only</t>
  </si>
  <si>
    <t>Lowe's 2017 corporate press release confirms Lowe's Vice President of Total Rewards role at Mooresville parent; LinkedIn company page confirms US-only customer base; per rubric, band 2 manually flagged to band 3</t>
  </si>
  <si>
    <t>https://corporate.lowes.com/newsroom/press-releases/lowes-expands-employee-benefits-support-accolade-11-07-17 ; https://www.linkedin.com/in/steve-terry-282516a/</t>
  </si>
  <si>
    <t xml:space="preserve">Ron Crawford - SVP Global Total Rewards </t>
  </si>
  <si>
    <t>https://rocketreach.co/ron-crawford-email_33209673 ; https://www.linkedin.com/in/ron-crawford-6a6bbab7/</t>
  </si>
  <si>
    <t>Lian Neeman - Director Global Benefits ; Beth Galetti - SVP, People eXperience and Technology at Amazon</t>
  </si>
  <si>
    <t>Bei Ling - Global Head of Compensation and Benefits ; Bernadette Branosky - Benefits Manager</t>
  </si>
  <si>
    <t>https://www.jpmorganchase.com/newsroom/press-releases/2025/workplace-public-benefits-commitment-LMI-consumers ; https://www.linkedin.com/in/bernadette-branosky-77b94347/; https://www.linkedin.com/in/beiling/</t>
  </si>
  <si>
    <t>Alexandra Brandão - Chief People Officer</t>
  </si>
  <si>
    <t>Santander US CHRO bio references 'Santander Group's Global Head of People &amp; Culture'; federated local/global model with country CHROs reporting up to group level; no dedicated global benefits/TR title confirmed just CPO.</t>
  </si>
  <si>
    <t>https://www.santanderus.com/team_member/oriol-foz/ ; https://www.novasbe.unl.pt/en/faculty-research/faculty/faculty-detail/id/1404 ; https://www.linkedin.com/in/alexandrapbrandao/</t>
  </si>
  <si>
    <t>Nirmal - Global Head of HR</t>
  </si>
  <si>
    <t>Parent entity (HSBC Holdings plc, London)</t>
  </si>
  <si>
    <t>HSBC's Group Remuneration Committee oversees the Group's reward policy and its application to Group businesses, explicit centralized global reward governance at the parent but no Global Head of Benefits found.</t>
  </si>
  <si>
    <t>https://www.hsbc.com/who-we-are/esg-and-responsible-business/governance/remuneration
https://www.assetmanagement.hsbc.co.in/en/portfolio-management/about-us/our-governance
https://www.hsbc.com/who-we-are/our-people/board-of-directors/aileen-taylor ; https://www.linkedin.com/in/nirmal-kumar-59b21412/</t>
  </si>
  <si>
    <t>Bei Ling - Head of HR</t>
  </si>
  <si>
    <t>Parent entity (Wells Fargo &amp; Co.)</t>
  </si>
  <si>
    <t>https://www.wellsfargojobs.com/en/business-divisions/human-resources/
https://www.wellsfargo.com/about/corporate/governance/ling/
https://www.businesswire.com/news/home/20210708005635/en/Wells-Fargo-Names-Bei-Ling-as-Head-of-Human-Resources ; https://www.linkedin.com/in/bei-ling-375b291a/</t>
  </si>
  <si>
    <t>Sumit Tandon - VP, Global Total Rewards ; Oliver Grohmann - EVP HR</t>
  </si>
  <si>
    <t>https://www.linkedin.com/in/sumittandon/ ; https://www.linkedin.com/in/olivergrohmann/</t>
  </si>
  <si>
    <t>https://verbund.edeka/unternehmen/daten-fakten/unternehmensleitung/ ; https://en.wikipedia.org/wiki/Edeka ; https://www.linkedin.com/in/peter-keitel-69070032/</t>
  </si>
  <si>
    <t>Theresa Monti - VP of Total Rewards;</t>
  </si>
  <si>
    <t>ZoomInfo confirms Theresa Monti as VP Total Rewards at Kroger HQ; IR governance page confirms Tim Massa as EVP CPO leading total rewards; per rubric, Kroger's US-only operations manually qualify Band 3.</t>
  </si>
  <si>
    <t>https://www.zoominfo.com/p/Theresa-Monti/788309591 ; https://ir.kroger.com/governance/board-of-directors/ ; https://www.linkedin.com/in/theresa-monti-1439b16/</t>
  </si>
  <si>
    <t xml:space="preserve">Manissa Patel - VP Corporate Reward </t>
  </si>
  <si>
    <t>Shell's VP Corporate Reward role runs global salary and bonus processes across 80,000 employees in 70+ markets and a standard global contract and benefits approach — a centralized global reward function at the Group.</t>
  </si>
  <si>
    <t>Marilyn Whitham - VP and Chief of Staff Total Rewards (A healthcare and retirement benefits expert)</t>
  </si>
  <si>
    <t>Parent entity (Société Générale SA, Paris)</t>
  </si>
  <si>
    <t>As a CAC 40 global bank operating across ~60 countries with group C&amp;B roles based at Paris HQ, SocGen's reward governance is centralized at the group under EU banking remuneration rules and a board Compensation Committee. (Flag: same soft basis as Santander — group governance confirmed structurally, but no single named global reward-titled director surfaced.)</t>
  </si>
  <si>
    <t>https://www.linkedin.com/in/olivier-kerdraon/</t>
  </si>
  <si>
    <t>Jennifer Saddy - Corporate Risk, Scaled Talent Architecture &amp; Total Rewards; Cole Brown - Chief People Officer (owning Global Compensation, Benefits &amp; People Operations for 130,000+ team members)</t>
  </si>
  <si>
    <t xml:space="preserve"> Parent entity (American Airlines Group Inc., Fort Worth TX)</t>
  </si>
  <si>
    <t>American's Chief People Officer oversees Global Compensation, Benefits and People Operations, supporting more than 130,000 team members worldwide, atop a Global Compensation, Mobility and People Support team within the People Division. Clean-ish (CPO owns Global Compensation, Benefits enterprise-wide); US-predominant workforce but centralized "Global Compensation, Benefits" function.</t>
  </si>
  <si>
    <t>https://theorg.com/org/american-airlines/org-chart/jennifer-saddy ; https://www.linkedin.com/in/jennifer-saddy-148a9b246/ ; https://www.linkedin.com/in/cole-brown-0b43b395/</t>
  </si>
  <si>
    <t>Schneider runs a Group HR Center of Excellence covering Rewards, reporting to the board Human Capital and Remunerations Committee, with global Rewards-partner roles spanning business lines. Light flag: specific named Global Head of Rewards not isolated this pass; the Group Rewards CoE + global Total Rewards framework + global Rewards-partner structure confirm centralized governance; not to be confused with Schneider National (US trucking) or Schneider, Inc</t>
  </si>
  <si>
    <t>https://www.se.com/ww/en/about-us/careers/job-details/director-of-total-rewards-and-performance--incentives-/34781/ ; https://rocketreach.co/sonia-liew-email_137763002 ; https://www.linkedin.com/in/sonia-liew/</t>
  </si>
  <si>
    <t xml:space="preserve">Deborah Lee - Group Chief People &amp; Culture Officer </t>
  </si>
  <si>
    <t>Group people strategy + Regional (North America) Total Rewards execution; no global Total Rewards apex surfaced</t>
  </si>
  <si>
    <t>Compass has a Group Chief People Officer on the executive committee, but its concrete reward function is run regionally — the North America HR organization (Charlotte HQ) operates its own Total Rewards function.  Flag: heavily regionalized food-services operating model (590,000 employees, 25+ countries; NA the largest region with its own Total Rewards function; UK&amp;I and Europe separate); a Group CPO provides group people governance but broad-based reward is regionalized; a group reward role may exist (would re-score to 3 on confirmation), but the actionable buyer is the regional business (Compass North America the largest).</t>
  </si>
  <si>
    <t>https://www.compass-pensions.co.uk/group_pension_plan/active/meet_the_trustees ; https://www.compass-group.com/en/who-we-are/ourleadership/executivecommittee.html ; https://www.linkedin.com/in/deborah-lee-fcipd-a666391/</t>
  </si>
  <si>
    <t>Ilka Horstmeier - Member of the Board of Management responsible for Human Resources and Labor Director (broad HR — not benefits-titled)</t>
  </si>
  <si>
    <t xml:space="preserve">Dr. Frank Ischner - Head of Group Human Resources Management </t>
  </si>
  <si>
    <t>Highly federated by brand — each brand (Audi, Porsche, SEAT, Skoda, MAN, Scania) has its own Member of the Board of Management for HR reporting up to the Group CHRO. Group HR Top Management function exists at Wolfsburg but benefits decisions devolve to brands; no Konzern-level benefits-titled director surfaced through public search. Light flag: multi-brand federated group (Audi, Porsche, Škoda, SEAT, TRATON each have their own HR Labor Directors), but the parent runs a Group HR function owning Group-wide management remuneration/policies under a board CHRO; consistent with German peers; German codetermination governs local execution</t>
  </si>
  <si>
    <t>https://www.volkswagen-group.com/en/press-releases/volkswagen-group-strengthens-hr-team-in-key-positions-18187 ; https://www.linkedin.com/in/frank-ischner/</t>
  </si>
  <si>
    <t>Ludovic Demierre - Vice-President Human Resources (broad HR/CHRO scope, not benefits-titled)</t>
  </si>
  <si>
    <t>https://www.linkedin.com/in/florence-gittenay-27059a20/ ; https://www.vinci-construction-projets.com/en/join-us/why-join-us/ ; https://www.linkedin.com/in/ludovic-demierre-a1722826/</t>
  </si>
  <si>
    <t xml:space="preserve">Kellie Calderon - Executive Director Compensation and Benefits ; Vinay Gupta - Director Compensation </t>
  </si>
  <si>
    <t>Country-level (US, federal)</t>
  </si>
  <si>
    <t xml:space="preserve"> Parent (United States Postal Service, Washington DC) — centralized-domestic US / federal; flagged</t>
  </si>
  <si>
    <t xml:space="preserve"> USPS operates its own HR system separate from OPM, setting its own pay scales and labor agreements, with retirement and benefits via FERS, TSP and the Postal Service Health Benefits program. Flag: US-only federal/quasi-governmental entity; compensation/benefits set by statute + union collective bargaining + federal benefit programs; no commercial benefits-buying decision-maker; poor commercial fit</t>
  </si>
  <si>
    <t>https://www.linkedin.com/in/kellie-calderon-1b138a71/ ; https://about.usps.com/careers/working-usps/benefits.htm ; https://www.linkedin.com/in/vinay-gupta-3051b87a/</t>
  </si>
  <si>
    <t>Andree Lemire - Regional HR Director (Canada);Joanne Grise - Director National HR</t>
  </si>
  <si>
    <t>Note: read "Costco, Wholesale" as the single company Costco Wholesale. Flag: highly centralized corporate HR but US-centric benefits model; meaningful international operations (Canada, Japan, UK, Korea, Mexico, Taiwan, Australia, Spain ~266 warehouses) run country-specific benefits; no global/regional benefits-titled role surfaced; if a global/regional benefits role is confirmed, could move to 2.</t>
  </si>
  <si>
    <t>https://rocketreach.co/costco-wholesale-management_b5c4644bf42e0dc1 ; https://www.zoominfo.com/p/Tracey-Knocker/1608717058 ; https://www.linkedin.com/in/andree-lemire-2ba50b10/ ; https://www.linkedin.com/in/joanne-grise-b543931a0/</t>
  </si>
  <si>
    <t>Jon Fliss - VP Total Rewards at Boeing (Director of Business Unit Total Rewards Partner Team reports to VP TR)</t>
  </si>
  <si>
    <t>Janice Uhlig - VP, Total Rewards and Employee Relations; Joan Bakarich - Director, Global Compensation; Sheila Savageau - Director, Global Benefits, Labor Relations &amp; Rewards;</t>
  </si>
  <si>
    <t>https://theorg.com/org/general-motors/org-chart/janice-uhlig ; https://search-careers.gm.com/en/jobs/jr-202512959/director-compensation/ ; https://www.linkedin.com/in/janicekuhlig/ ; https://www.linkedin.com/in/joan-bakarich-6b217059/ ; https://www.linkedin.com/in/sheila-savageau-a123784/</t>
  </si>
  <si>
    <t>Konstantinos Karavidas - Group Total Rewards Manager ; Alejandra Piñol - Global People &amp; Culture Manager &amp; CHRO ; Ulrika Biesèrt - Group People &amp; Culture Manager</t>
  </si>
  <si>
    <t>Ingka Group runs centralized global reward programs (the global "One IKEA Bonus" and "Tack!" pension contribution) applied to all co-workers across its 32 markets and 170,000+ workforce.</t>
  </si>
  <si>
    <t>https://www.ingka.com/newsroom/media-resources/spokespeople/ ; https://theorg.com/org/ikea/teams/human-resources-team ; https://www.linkedin.com/in/kkaravidas/ ; https://www.linkedin.com/in/alejandra-pinol-bassols/ ; https://www.linkedin.com/in/ulrika-biesert/</t>
  </si>
  <si>
    <t xml:space="preserve"> REWE Group has a central Compensation &amp; Benefits department tracking developments "for the entire REWE Group," but the group is European and HR runs on multiple non-central master-data systems. (Flag: one central C&amp;B buyer, but European-only footprint and fragmented HR systems; arguable up to 3 if "covers the whole group" is weighted over the European limit.)</t>
  </si>
  <si>
    <t>https://www.rewe-group.com/en/ ; https://en.wikipedia.org/wiki/REWE_Group ; personalwirtschaft.de (REWE C&amp;B unit) ; https://www.linkedin.com/in/daniela-buechel/</t>
  </si>
  <si>
    <t>Jardine Matheson's Group HR has a Head of Rewards responsible for group incentive plans, benefits, Board Compensation Committee support, and development of global HR data architecture and governance. (Flag: federated conglomerate — DFI Retail, Mandarin Oriental, Hongkong Land, Astra run their own benefits; the group role governs rewards principles + corporate HQ.)</t>
  </si>
  <si>
    <t>https://www.glassdoor.com.hk/job-listing/head-of-rewards-group-human-resources-jardine-matheson-JV_KO0,37_KE38,54.htm?jl=1007329673275 ; https://www.linkedin.com/in/raymond-c-a60b1617/</t>
  </si>
  <si>
    <t>Parent entity (AEON Co., Ltd., Chiba) — federated group; flagged</t>
  </si>
  <si>
    <t>Jane Fenwick - VP Reward</t>
  </si>
  <si>
    <t>bp runs a centralized Reward CoE applying "bp group standards" to compensation across country, regional and global levels, with group remuneration governance and global reward platforms. (Flag: specific named global head of reward not surfaced, but the centralized global Reward CoE and group standards are confirmed in bp's own materials.)</t>
  </si>
  <si>
    <t>https://reba.global/events/reba-future-forum-2023.html ; https://www.linkedin.com/in/jane-fenwick-02256910/</t>
  </si>
  <si>
    <t>Denise King - VP, Global HR Shared Services &amp; Employee Relations ; Stacie Hueller - HR Director, Americas Benefits</t>
  </si>
  <si>
    <t>As the world's largest medical-device company (100,000+ employees, EMEA/Americas/APAC group structure), Medtronic operates a Benefits Center-of-Excellence model — the confirmed "VP, Americas Benefits COE" is a regional node of that centralized global Total Rewards function. (Flag: global TR head not named this pass; if held to a strict named-global-role standard, treat as 2-pending-confirmation.)</t>
  </si>
  <si>
    <t>https://www.comparably.com/companies/medtronic/executive-team ; https://www.linkedin.com/in/denise-king-a0321710/ ; https://www.linkedin.com/in/staciehueller/</t>
  </si>
  <si>
    <t>Stephanie WernerDietz - EVP, Human Resources</t>
  </si>
  <si>
    <t>https://corporate.arcelormittal.com/about-us/leadership/management-committee ; https://corporate.arcelormittal.com/investors/corporate-governance/remuneration ; https://www.linkedin.com/in/stephanie-werner-dietz-0aa60516/</t>
  </si>
  <si>
    <t>Delphine Boyer - Global Head of Benefits &amp; Mobility</t>
  </si>
  <si>
    <t>SLB has divisional Global Heads of Total Rewards and a board Compensation Committee that reviews SLB's overall compensation and benefits program design, sitting atop a centralized C&amp;B function spanning the countries it operates in. (Flag: the cleanly-named global TR role surfaced is division-level; SLB-corporate global TR head not named this pass, but centralized global C&amp;B governance is confirmed.)</t>
  </si>
  <si>
    <t>https://www.linkedin.com/in/delphine-boyer-94054a18/</t>
  </si>
  <si>
    <t>MarieLuisa Capozzi - Head of Advisory Services (Comp, Ben, Mobility, TA, People Insights &amp; Tech) ; Alexander Legel - Global Head of Compensation</t>
  </si>
  <si>
    <t>Parent entity (Roche Holding AG, Basel)</t>
  </si>
  <si>
    <t>Roche operates a single global total rewards package and compensation philosophy set centrally, with fixed/variable components determined by evaluating comparable roles within Roche and the local market. (Flag: relies on the centralized global compensation framework at the Basel parent; a specific named global reward-titled director wasn't cleanly surfaced this pass.)</t>
  </si>
  <si>
    <t>https://www.linkedin.com/in/alexander-legel-033171a3/ ; https://www.linkedin.com/in/marie-luisa-capozzi/</t>
  </si>
  <si>
    <t>Andrew Forsythe - Head of Reward Solutions (incl. Global Equity and Global Mobility) ; Nicola Wells - Head of Reward Architecture</t>
  </si>
  <si>
    <t>Parent entity (Unilever plc)</t>
  </si>
  <si>
    <t>Unilever's 2022 Directors' Remuneration Report lists "the VP Global Head of Reward" as a standing Compensation Committee attendee, and Unilever runs a single global reward data platform (uFlexReward) across ~155,000 employees in 110 countries.</t>
  </si>
  <si>
    <t>https://www.linkedin.com/in/nicola-wells-32a7bbb/ ; https://www.linkedin.com/in/andrew-forsythe-9654152/</t>
  </si>
  <si>
    <t>Selam Legesse - Senior Director, Americas Benefits, HR</t>
  </si>
  <si>
    <t>SAP's Global Total Rewards is a strategic function within its People &amp; Culture Board Area responsible for delivering compensation and benefits solutions globally, with a centralized global Compensation Operations team.</t>
  </si>
  <si>
    <t>https://www.comparably.com/companies/sap/selam-legesse ; https://www.linkedin.com/in/selamlegesse/</t>
  </si>
  <si>
    <t>Sheila ChampionSmeeth - Global Head of Wellbeing, Director, People and Communities ; Karen Wiens - Director, Global Benefits</t>
  </si>
  <si>
    <t>Cisco runs a centralized "Rewards Central" function administering company-wide compensation, merit, and bonus programs (e.g. the FY26 merit budget and mid-year advance) in Workday. (Flag: the centralized global rewards function is confirmed; the specific named VP/Head of Total Rewards wasn't surfaced this pass.)</t>
  </si>
  <si>
    <t>https://www.linkedin.com/in/sheila-champion/ ; https://www.comparably.com/companies/cisco/karen-wiens</t>
  </si>
  <si>
    <t>David Schwarz - SVP, Global Total Rewards &amp; Employee Relations ; Jamie Abbott - Senior HR Total Rewards Leader</t>
  </si>
  <si>
    <t>RBC runs centralized enterprise compensation from its Toronto HQ with global HR leadership spanning three continents across its Wealth Management, Insurance and Capital Markets businesses. (Flag: Canada/US-predominant workforce; the cleanest benefits-specific role surfaced was regional — "Snr Manager, Europe Pensions &amp; Benefits" — and the named enterprise/global TR head wasn't surfaced this pass.)</t>
  </si>
  <si>
    <t>https://www.linkedin.com/in/david-schwarz-a5b5a711/ ; https://www.linkedin.com/in/jamie-abbott-mba-cpa-cma/</t>
  </si>
  <si>
    <t>Marion Jacomet - Head of Compensation &amp; Benefits</t>
  </si>
  <si>
    <t>https://www.linkedin.com/in/marionjacomet/ ; https://theorg.com/org/airbus/org-chart/marion-jacomet ; https://www.wizbii.com/company/airbus/job/executive-reward-manager-m-f</t>
  </si>
  <si>
    <t>Frédéric Mathevet - Head of Compensation &amp; Benefits (also Director Group Compensation, Benefits, and HR Data at Bouygues Construction)</t>
  </si>
  <si>
    <t>The Org confirms Mathevet's dual title including Head of Compensation &amp; Benefits at Groupe Bouygues parent entity, while the corporate HR page confirms segment-level remuneration policies — indicating a Group COE coordinating federated segments. (Flag: French-predominant federated conglomerate — Construction/Colas/Telecom/TF1/Equans; parent provides shared HR services but no global benefits-buying role; borderline 1–2.)</t>
  </si>
  <si>
    <t>https://theorg.com/org/bouygues-batiment-international/org-chart/frederic-mathevet ; https://www.bouygues.com/en/our-hr-commitments/ ; https://www.linkedin.com/in/fr%C3%A9d%C3%A9ric-mathevet-54564416/</t>
  </si>
  <si>
    <t>Dr. Wolfram Menrad - Director Corporate Compensation &amp; Benefits</t>
  </si>
  <si>
    <t>ZF Group runs centralized global HR under a parent-board CHRO with a Global Head of HR Project Management Office steering the global HR project portfolio across ~168,000 employees in 31 countries. (Flag: function/governance-level call — a global rewards/benefits-specific title wasn't surfaced this pass, and strong German codetermination/works councils drive local benefits execution.) — Director-level benefits-titled role at parent ZF Konzern with global scope across 41 countries meeting Band 3 criterion.</t>
  </si>
  <si>
    <t>https://www.personalwirtschaft.de/news/hr-organisation/leadership-in-der-matrix-perfekt-148081/ ; https://www.linkedin.com/in/wolfram-menrad-b39658aa/</t>
  </si>
  <si>
    <t>Jeff Reva - Managing Director of Human Resources (no benefits-specific title)</t>
  </si>
  <si>
    <t>Global compensation governance for the corporate workforce, but HR organized by business group; no clean apex global rewards director surfaced</t>
  </si>
  <si>
    <t>: Parent entity (Brookfield Corp / Brookfield Asset Management, Toronto) — portfolio companies excluded/flagged</t>
  </si>
  <si>
    <t>Brookfield's corporate HR leads global execution on compensation (including fund carried-interest plans) and organizational design, organized within business-group HR rather than a single apex rewards function. (Flag: asset-manager corporate workforce only — the ~250,000 across independent portfolio companies run their own benefits; borderline 2–3 given global compensation governance but no clean apex global rewards director.)</t>
  </si>
  <si>
    <t>https://simplywall.st/stocks/de/diversified-financials/mun-rw5/brookfield-asset-management-shares/management ; https://www.linkedin.com/in/jeff-reva-03829511/</t>
  </si>
  <si>
    <t>Kelley Elliott - VP, HR Services and Total Rewards</t>
  </si>
  <si>
    <t>Delta's VP of HR Services &amp; Total Rewards leads the design and strategy of the company's worldwide total rewards programs (compensation, retirement, financial wellness), under an EVP &amp; CPO who owns global total rewards for 100,000 employees. (Flag: US-predominant workforce, but the total rewards function is explicitly worldwide/global.)</t>
  </si>
  <si>
    <t>https://news.delta.com/kelley-elliott-vp-hr-services-and-total-rewards ; https://www.linkedin.com/in/kelley-elliott-6a0a7220/</t>
  </si>
  <si>
    <t>Adrian Smart - Vice President HR, AMIEO Region and Head of Global Compensation and Benefits</t>
  </si>
  <si>
    <t>Nissan Motor Corporation has a VP-level executive holding the "Head of Global Compensation and Benefits" title (a role he has held since 2020), confirming a director+ global-scope C&amp;B owner at the parent.</t>
  </si>
  <si>
    <t>https://www.linkedin.com/in/adrian-smart-1220823b/</t>
  </si>
  <si>
    <t>Linda Kane - Vice President of Benefits Administration</t>
  </si>
  <si>
    <t>Publix has a centralized VP of Benefits Administration, but operates only across a seven-state US Southeast footprint with no international operations (Band 1 by scope moved to Band 3 manually).</t>
  </si>
  <si>
    <t>https://www.comparably.com/companies/publix-super-markets/executive-team ; https://www.linkedin.com/in/linda-kane-4ba84156/</t>
  </si>
  <si>
    <t>Nickle LaMoreaux - SVP &amp; Chief Human Resources Officer (previous benefits/TR sub-title)</t>
  </si>
  <si>
    <t>SVP CHRO confirmed for 300,000+ IBMers in 175 countries; benefits centrally administered at IBM parent per 2024 US Benefits Summary; no named 'VP Global Benefits' or 'Head of Total Rewards' sub-title surfaced. IBM's CHRO oversees the company's global HR strategies and previously served as VP of Total Rewards and VP of Compensation, Benefits, M&amp;A and Corporate Functions, confirming a parent-level global total rewards function.</t>
  </si>
  <si>
    <t>https://newsroom.ibm.com/Nickle-LaMoreaux ; clay.com (IBM CHRO bio); https://www.linkedin.com/in/nickle-lamoreaux/</t>
  </si>
  <si>
    <t xml:space="preserve"> ITOCHU's performance-based compensation system covers all ITOCHU Corporation (parent/Japan) employees, while overseas blocks run their own systems and the "global HR strategy" centers on talent development rather than a global benefits-buying role.</t>
  </si>
  <si>
    <t>Catherine Remy - President People &amp; Social Engagement (broad HR/CHRO scope, not benefits-titled, no specifically-named global Total Rewards Director surfaced)</t>
  </si>
  <si>
    <t>Strong centralization signals (Executive Committee People President, company-wide benefits framework with "&gt;90% of permanent employees worldwide covered" by the death benefit plan) but no specific Group benefits/rewards director name surfaced through public search. (Flag: function/governance-level — a named global C&amp;B/reward director wasn't surfaced this pass, and strong French works councils handle local benefits.)</t>
  </si>
  <si>
    <t>https://totalenergies.com/company/identity/governance/executive-committee-performance ; https://careers.totalenergies.com/en/come-and-work-us/benefit-quality-package ; https://www.linkedin.com/in/catherine-remy-a74575119/</t>
  </si>
  <si>
    <t>Joana Ferrugem - Senior People Advisor with focus on Rewards, Benefits &amp; People Analytics</t>
  </si>
  <si>
    <t>https://www.maersk.com/careers/vacancies/wd/Rewards-Manager--NAM_R159920/jt-rewards-manager-nam ; https://www.linkedin.com/in/joanaferrugem/</t>
  </si>
  <si>
    <t xml:space="preserve">Britta Seeger - Board Member for Human Relations (HR) </t>
  </si>
  <si>
    <t>Mercedes-Benz Group's HR division is led by a member of the Board of Management (HR &amp; Labour Director) at the parent, governing HR for the global group. (Flag: function/governance-level — a global rewards/benefits-specific title wasn't surfaced, and strong German codetermination (World Employee Committee, European Works Council) drives local benefits execution.)</t>
  </si>
  <si>
    <t>Kathy Reardon -  Executive Vice President and Chief People Officer</t>
  </si>
  <si>
    <t>https://careers.dollargeneral.com/jobs/331512?lang=en-us ; https://www.zoominfo.com/p/Kathy-Reardon/1744603080</t>
  </si>
  <si>
    <t>AB InBev centrally designs and delivers its Reward and Benefits strategy ("setting up and shaping all total rewards and incentives"), within a famously centralized global functional structure of Global VPs and Global Directors. (Light flag: the specific named Global Head of Rewards wasn't surfaced this pass; the centralized global reward function is confirmed.)</t>
  </si>
  <si>
    <t>https://www.ab-inbev.com/news-media/news-stories/ab-in-bev-announces-change-to-senior-leadership-team ; https://www.ab-inbev.com/about-us-our-leaders ; https://www.linkedin.com/in/thiago-porto-82729414/</t>
  </si>
  <si>
    <t>Bee Lay Teo - Head, International Benefits (APAC)</t>
  </si>
  <si>
    <t xml:space="preserve"> Apple runs uniform, centrally-designed global benefits and compensation programs from its Cupertino People organization across a ~164,000-person global workforce; no named global benefits/TR role was publicly surfaced in this pass. (Flag: score rests on Apple's well-established centralized global People/benefits function and scale rather than a named role this pass — consistent with the big-tech centralization pattern, but the named contact is unconfirmed and worth a targeted re-check before outreach.)</t>
  </si>
  <si>
    <t>https://www.linkedin.com/in/bee-lay-teo-6582311b/</t>
  </si>
  <si>
    <t>Stacey Marx - Senior Vice President, Total Rewards</t>
  </si>
  <si>
    <t>AT&amp;T has an enterprise SVP-level Total Rewards function at the parent, though its workforce is US-predominant after the WarnerMedia/LatAm divestitures (AT&amp;T Mexico the main remaining international op).</t>
  </si>
  <si>
    <t>https://www.linkedin.com/in/stacey-a-marx/ ; https://contracts.justia.com/companies/att-inc-136/contract/863525/</t>
  </si>
  <si>
    <t>Parent entity (Deutsche Telekom AG, Bonn)</t>
  </si>
  <si>
    <t>Deutsche Telekom operates a Group-wide Global Compensation Guideline for executives and a Group HQ department responsible for compensation and benefits across the Deutsche Telekom Group.  Light flag: collectively-agreed wages set by national labor markets/codetermination for local execution; the group guideline is the centralized governance layer.</t>
  </si>
  <si>
    <t>telekom.com (Responsible Employer — Global Compensation Guideline); t-systems.com (Group HR — Remuneration Systems &amp; Total Compensation dept).</t>
  </si>
  <si>
    <t xml:space="preserve">Meena Raza - Global Benefits </t>
  </si>
  <si>
    <t xml:space="preserve"> Oracle's centralized global People/compensation function and scale (~160k employees) consistent with the big-tech centralization pattern.</t>
  </si>
  <si>
    <t>Tesla runs a famously lean, centralized global People function with equity-heavy compensation decided centrally across global operations (US/China/Germany factories, ~125–140k employees)</t>
  </si>
  <si>
    <t>https://www.linkedin.com/in/rachel-chen-48575b84/ ; https://www.linkedin.com/in/cathleen-dizon-3394b74a/</t>
  </si>
  <si>
    <t>Ron Lawrence - Vice President HR Center of Expertise</t>
  </si>
  <si>
    <t xml:space="preserve"> Parent entity (AB Volvo, Gothenburg) — entity ambiguity flagged</t>
  </si>
  <si>
    <t>At Volvo Group, Rewards sits within the centralized Group People &amp; Culture function led by the EVP CHRO on the Group Executive Board. (P&amp;C function explicitly "includes Rewards")</t>
  </si>
  <si>
    <t>https://jobs.weekday.works/volvo-group-director---total-rewards ; https://www.linkedin.com/in/ronlawrencephd/</t>
  </si>
  <si>
    <t>Adrian Englert - Head of Rewards</t>
  </si>
  <si>
    <t xml:space="preserve"> Parent (Glencore plc, Baar) — but decentralized asset structure flagged</t>
  </si>
  <si>
    <t>Glencore runs highly decentralized mining/industrial-asset HR plus a lean trading center, with only regional HR surfaced and no group global reward role.  Flag: decentralized asset structure; no group global reward role surfaced; regional-C&amp;B attribution partly ambiguous; borderline 1–2, scored conservatively at the regional ceiling.</t>
  </si>
  <si>
    <t>https://theorg.com/org/glencore/org-chart/adrian-englert ; https://www.linkedin.com/in/adrianenglert/</t>
  </si>
  <si>
    <t>Daniel Eppinger - Head of Benefits and Pensions</t>
  </si>
  <si>
    <t>Parent entity (Siemens Energy AG, Munich)</t>
  </si>
  <si>
    <t>Siemens Energy operates global HR projects including compensation strategy through centers of excellence with regional HR hubs, inheriting Siemens' centralized reward architecture (~100k employees, 90+ countries). Flag: function/governance-level; named global reward head not surfaced this pass; German codetermination for local execution.</t>
  </si>
  <si>
    <t>https://www.linkedin.com/in/daniel-eppinger-3a5554b6/</t>
  </si>
  <si>
    <t xml:space="preserve">Rebekah Martin - SVP HR Head of Centres of Excellence ; Lisa Teverson - VP Compensation &amp; Benefits </t>
  </si>
  <si>
    <t>AstraZeneca runs a centralized global reward function (global-scope Director-level reward roles surfaced) consistent with the global-pharma pattern (Roche/GSK-style), ~90k employees worldwide.</t>
  </si>
  <si>
    <t>https://www.linkedin.com/in/lisa-teverson-4018895/; https://www.linkedin.com/in/rebekah-martin-2bb1b46/</t>
  </si>
  <si>
    <t xml:space="preserve">Stacey Holsinger - SVP, Head of Global Benefits, Mobility &amp; Americas Operations ; Inna Brand - VP, Global Total Rewards </t>
  </si>
  <si>
    <t>Parent entity (CBRE Group, Inc., Dallas)</t>
  </si>
  <si>
    <t>CBRE operates a global Total Rewards function with regional C&amp;B heads beneath it (the APAC head influences final outcomes by advising executive leadership and leads provider selection / RFP processes for comp &amp; benefits plans), at the world's largest CRE firm (more than 155,000 employees worldwide). Light flag: the regional (APAC) C&amp;B head was directly confirmed this pass; the global SVP Total Rewards apex is supported by CBRE's structure and prior incidental sightings.</t>
  </si>
  <si>
    <t>https://www.linkedin.com/in/stacey-holsinger-5b29768/ ; https://www.linkedin.com/in/innabrand/</t>
  </si>
  <si>
    <t>Rachel Chen - Director, Total Rewards (APAC) ; Cathleen Dizon - Senior Total Rewards Leader (Compensation &amp; Benefits)</t>
  </si>
  <si>
    <t>Peter Keitel - Combined Finance + HR Board Member (broad portfolio, not benefits-titled)</t>
  </si>
  <si>
    <t>Tracy B. Brightman - Chief People Officer (remit explicitly includes global compensation &amp; benefits); Chris Winton - Corporate Vice President Human Resources (broad HR not benefits-titled)</t>
  </si>
  <si>
    <t>Martin Seiler - Board Member responsible for Human Resources (broad HR/CHRO, not benefits-titled); Danilo Schapke - Compensation and Benefits Manager (sub-director level)</t>
  </si>
  <si>
    <t>Thiago Porto - Chief People Officer at AB InBev (no specific benefits-titled global VP/Director surfaced)</t>
  </si>
  <si>
    <t>Dr. Daniela Büche - Divisional Director Retail Germany Human Resources and Sustainability (Germany regional scope); Vivien Schmitt - Head of Executive HR (broad role)</t>
  </si>
  <si>
    <t>Olivier Kerdraon - Head of Compensation &amp; Benefits</t>
  </si>
  <si>
    <t xml:space="preserve">Sonia Liew - Global Total Rewards and Performance </t>
  </si>
  <si>
    <t>Raymond C. - Chief People and Culture Officer</t>
  </si>
  <si>
    <t>Julio Mantilla - Senior Vice President of Total Rewards (promoted from VP Global Compensation to SVP Total Rewards)</t>
  </si>
  <si>
    <t>Eric Barbier - Directeur Performance Compensation &amp; Benefits; Véronique Giroux - Head of Global Rewards</t>
  </si>
  <si>
    <t>Parent entity (Orange S.A., Issy-les-Moulineaux)</t>
  </si>
  <si>
    <t>Orange runs centralized Group HR governance under an Executive Director in charge of HR, evidenced by Group-wide Top Employer Global certification spanning 30 countries and territories on 5 continents, though the C&amp;B detail surfaced is France-specific (PEE/PER COL savings plans, French collective social protection). Flag: governance-level; no global reward function/role surfaced this pass; C&amp;B execution notably country-specific (23% French state ownership, strong national unions/works councils)</t>
  </si>
  <si>
    <t>https://rocketreach.co/eric-barbier-email ; https://www.linkedin.com/in/eric-barbier-b3833892/ ; https://www.linkedin.com/in/veronique-giroux-5522695/</t>
  </si>
  <si>
    <t>Asako Suzuki - Executive Officer, Chief Director of Human Resources &amp; Corporate Governance (broad role combining HR + Corporate Governance at parent in Tokyo); Tanya Alloway - VP HR (US subsidiary regional); Takuya Kunugiza - Head HR (Europe regional)</t>
  </si>
  <si>
    <t>https://www.macroaxis.com/invest/manager/HMC/Asako-Suzuki ; https://hondanews.com/en-US/honda-corporate/channels/executives ; https://www.linkedin.com/in/takuya-kunugiza-01aa341a5/ ; https://www.linkedin.com/in/tanya-alloway-308169b3/</t>
  </si>
  <si>
    <t xml:space="preserve"> Hark Kyu Park - President &amp; Head of Corporate Management Office (broad role)</t>
  </si>
  <si>
    <t>https://communityjobs.compa.ai/companies/samsung-electronics-2/jobs/49549621-senior-director-ii-total-rewards ; https://www.clay.com/dossier/samsung-electronics-executives ; https://www.linkedin.com/in/hk-hark-kyu-park-3a26b034/</t>
  </si>
  <si>
    <t>A global Total Rewards function exists at NTT Global Data Centers (an NTT DATA division operating 150+ data centers across 20+ countries with a VP overseeing global HR Operations, Total Rewards and Talent Management), but NTT Corporation (holding) is federated with operating companies running their own HR, so this subsidiary-level/job-posting signal doesn't count toward the holding parent.</t>
  </si>
  <si>
    <t>https://jobright.ai/jobs/info/699901c981476f6176b17617 ; https://services.global.ntt/en-us/about-us/leadership ; https://www.linkedin.com/in/katherine-collantes-a905839/</t>
  </si>
  <si>
    <t>Katherine Collantes - Senior Director, Total Rewards and HR Operations</t>
  </si>
  <si>
    <t>Dr. Michael Niggemann - Chief Human Resources Officer (Executive Board) ; Joana Inês Correia - Global Compensation Manager</t>
  </si>
  <si>
    <t>https://unequity.com/en/lufthansa-group-compensation-benefits-support/ ; https://www.totalrewards.de/comp-ben/new-pay-in-der-lufthansa-group-neugestaltung-der-beschaeftigungsbedingungen-fuer-at-mitarbeiter-67541/ ; https://www.linkedin.com/in/joana-in%C3%AAs-correia-6b9ab845/</t>
  </si>
  <si>
    <t>https://www.3blmedia.com/news/fedex-corporation-appoints-chris-winton-corporate-vice-president-human-resources ; https://www.zoominfo.com/p/Tracy-Brightman/1255231449 ; fedex.com/en-us/about/leadership/tracy-brightman.html ; https://www.linkedin.com/in/tbrightman ; https://www.linkedin.com/in/chris-winton/</t>
  </si>
  <si>
    <t>Vassilis Fragkoulis - VP Total Rewards (based in Vevey HQ); Béatrice Guillaume - Global Head Human Resources &amp; Business Services</t>
  </si>
  <si>
    <r>
      <t xml:space="preserve">Honda runs a classic keiretsu structure: a broad Executive Officer-level HR + Corporate Governance mandate at the Tokyo parent (Honda Motor Co., Ltd., ~204,000 employees globally), with </t>
    </r>
    <r>
      <rPr>
        <b/>
        <sz val="9"/>
        <color rgb="FF000000"/>
        <rFont val="Inter"/>
      </rPr>
      <t xml:space="preserve">no benefits-specific global director identified </t>
    </r>
    <r>
      <rPr>
        <sz val="9"/>
        <color rgb="FF000000"/>
        <rFont val="Inter"/>
      </rPr>
      <t>above it. Regional subsidiaries (</t>
    </r>
    <r>
      <rPr>
        <b/>
        <sz val="9"/>
        <color rgb="FF000000"/>
        <rFont val="Inter"/>
      </rPr>
      <t>American Honda and Honda Europe) operate independent HR functions</t>
    </r>
    <r>
      <rPr>
        <sz val="9"/>
        <color rgb="FF000000"/>
        <rFont val="Inter"/>
      </rPr>
      <t>, each led by their own VP/Head of HR. Confirmed via Asako Suzuki's Macroaxis executive profile and Honda's official corporate executives page.</t>
    </r>
  </si>
  <si>
    <t>YES – "Total Rewards" (comprehensive US benefits package introduced 2022 including telemedicine, wellbeing rewards programme); Honda Wellness Center (named on-site fitness and wellness facilities)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</si>
</sst>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0">
    <font>
      <sz val="11"/>
      <color theme="1"/>
      <name val="Arial"/>
      <scheme val="minor"/>
    </font>
    <font>
      <sz val="11"/>
      <color theme="1"/>
      <name val="Arial"/>
      <scheme val="minor"/>
    </font>
    <font>
      <b/>
      <sz val="11"/>
      <color rgb="FFFFFFFF"/>
      <name val="Inter"/>
    </font>
    <font>
      <b/>
      <sz val="11"/>
      <color theme="1"/>
      <name val="Inter"/>
    </font>
    <font>
      <sz val="11"/>
      <color theme="1"/>
      <name val="Inter"/>
    </font>
    <font>
      <sz val="11"/>
      <color rgb="FF000000"/>
      <name val="Inter"/>
    </font>
    <font>
      <sz val="11"/>
      <color theme="1"/>
      <name val="Inter"/>
    </font>
    <font>
      <b/>
      <sz val="11"/>
      <color rgb="FF000000"/>
      <name val="Inter"/>
    </font>
    <font>
      <b/>
      <sz val="9"/>
      <color theme="1"/>
      <name val="Arial"/>
    </font>
    <font>
      <b/>
      <sz val="11"/>
      <color theme="1"/>
      <name val="Arial"/>
    </font>
    <font>
      <sz val="11"/>
      <color theme="1"/>
      <name val="Arial"/>
    </font>
    <font>
      <b/>
      <sz val="11"/>
      <color rgb="FF000000"/>
      <name val="Arial"/>
    </font>
    <font>
      <sz val="9"/>
      <color theme="1"/>
      <name val="Inter"/>
    </font>
    <font>
      <sz val="9"/>
      <color theme="1"/>
      <name val="Arial"/>
    </font>
    <font>
      <u/>
      <sz val="9"/>
      <color rgb="FF0000FF"/>
      <name val="Arial"/>
    </font>
    <font>
      <sz val="9"/>
      <color theme="1"/>
      <name val="Arial"/>
      <scheme val="minor"/>
    </font>
    <font>
      <u/>
      <sz val="9"/>
      <color rgb="FF0000FF"/>
      <name val="Arial"/>
    </font>
    <font>
      <u/>
      <sz val="9"/>
      <color rgb="FF0000FF"/>
      <name val="Roboto"/>
    </font>
    <font>
      <sz val="9"/>
      <color rgb="FF000000"/>
      <name val="&quot;Aptos Narrow&quot;"/>
    </font>
    <font>
      <u/>
      <sz val="9"/>
      <color rgb="FF000000"/>
      <name val="&quot;Aptos Narrow&quot;"/>
    </font>
    <font>
      <sz val="9"/>
      <color rgb="FF000000"/>
      <name val="Arial"/>
    </font>
    <font>
      <u/>
      <sz val="9"/>
      <color rgb="FF0000FF"/>
      <name val="Arial"/>
    </font>
    <font>
      <sz val="9"/>
      <color rgb="FF000000"/>
      <name val="Arial"/>
      <scheme val="minor"/>
    </font>
    <font>
      <u/>
      <sz val="9"/>
      <color rgb="FF000000"/>
      <name val="Arial"/>
    </font>
    <font>
      <sz val="9"/>
      <color rgb="FFFF0000"/>
      <name val="Arial"/>
      <scheme val="minor"/>
    </font>
    <font>
      <sz val="9"/>
      <color rgb="FFFFFFFF"/>
      <name val="Inter"/>
    </font>
    <font>
      <sz val="9"/>
      <color rgb="FF000000"/>
      <name val="Inter"/>
    </font>
    <font>
      <u/>
      <sz val="11"/>
      <color theme="10"/>
      <name val="Arial"/>
      <scheme val="minor"/>
    </font>
    <font>
      <sz val="9"/>
      <color theme="1"/>
      <name val="Arial"/>
      <family val="2"/>
    </font>
    <font>
      <b/>
      <sz val="9"/>
      <color rgb="FF000000"/>
      <name val="Inter"/>
    </font>
  </fonts>
  <fills count="8">
    <fill>
      <patternFill patternType="none"/>
    </fill>
    <fill>
      <patternFill patternType="gray125"/>
    </fill>
    <fill>
      <patternFill patternType="solid">
        <fgColor rgb="FF000000"/>
        <bgColor rgb="FF000000"/>
      </patternFill>
    </fill>
    <fill>
      <patternFill patternType="solid">
        <fgColor theme="0"/>
        <bgColor theme="0"/>
      </patternFill>
    </fill>
    <fill>
      <patternFill patternType="solid">
        <fgColor rgb="FFFFFFFF"/>
        <bgColor rgb="FFFFFFFF"/>
      </patternFill>
    </fill>
    <fill>
      <patternFill patternType="solid">
        <fgColor rgb="FFEFEFEF"/>
        <bgColor rgb="FFEFEFEF"/>
      </patternFill>
    </fill>
    <fill>
      <patternFill patternType="solid">
        <fgColor rgb="FFFCE5CD"/>
        <bgColor rgb="FFFCE5CD"/>
      </patternFill>
    </fill>
    <fill>
      <patternFill patternType="solid">
        <fgColor rgb="FFFFFF00"/>
        <bgColor rgb="FFFFFF00"/>
      </patternFill>
    </fill>
  </fills>
  <borders count="7">
    <border>
      <left/>
      <right/>
      <top/>
      <bottom/>
      <diagonal/>
    </border>
    <border>
      <left style="thin">
        <color rgb="FFD9D9D9"/>
      </left>
      <right style="thin">
        <color rgb="FFD9D9D9"/>
      </right>
      <top style="thin">
        <color rgb="FFD9D9D9"/>
      </top>
      <bottom style="thin">
        <color rgb="FFD9D9D9"/>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B0B0B0"/>
      </right>
      <top style="thin">
        <color rgb="FFB0B0B0"/>
      </top>
      <bottom style="thin">
        <color rgb="FFB0B0B0"/>
      </bottom>
      <diagonal/>
    </border>
    <border>
      <left/>
      <right style="thin">
        <color rgb="FFB0B0B0"/>
      </right>
      <top/>
      <bottom style="thin">
        <color rgb="FFB0B0B0"/>
      </bottom>
      <diagonal/>
    </border>
    <border>
      <left/>
      <right/>
      <top/>
      <bottom/>
      <diagonal/>
    </border>
  </borders>
  <cellStyleXfs count="2">
    <xf numFmtId="0" fontId="0" fillId="0" borderId="0"/>
    <xf numFmtId="0" fontId="27" fillId="0" borderId="0" applyNumberFormat="0" applyFill="0" applyBorder="0" applyAlignment="0" applyProtection="0"/>
  </cellStyleXfs>
  <cellXfs count="71">
    <xf numFmtId="0" fontId="0" fillId="0" borderId="0" xfId="0"/>
    <xf numFmtId="0" fontId="2" fillId="2" borderId="1" xfId="0" applyFont="1" applyFill="1" applyBorder="1" applyAlignment="1">
      <alignment horizontal="center" vertical="center"/>
    </xf>
    <xf numFmtId="0" fontId="2" fillId="2" borderId="1" xfId="0" applyFont="1" applyFill="1" applyBorder="1" applyAlignment="1">
      <alignment horizontal="right" vertical="center"/>
    </xf>
    <xf numFmtId="4" fontId="2" fillId="2" borderId="1" xfId="0" applyNumberFormat="1" applyFont="1" applyFill="1" applyBorder="1" applyAlignment="1">
      <alignment horizontal="center" vertical="center"/>
    </xf>
    <xf numFmtId="0" fontId="3" fillId="3" borderId="0" xfId="0" applyFont="1" applyFill="1"/>
    <xf numFmtId="0" fontId="4" fillId="3" borderId="1" xfId="0" applyFont="1" applyFill="1" applyBorder="1" applyAlignment="1">
      <alignment horizontal="center" vertical="center"/>
    </xf>
    <xf numFmtId="0" fontId="5" fillId="3" borderId="1" xfId="0" applyFont="1" applyFill="1" applyBorder="1" applyAlignment="1">
      <alignment horizontal="center" vertical="center"/>
    </xf>
    <xf numFmtId="0" fontId="6" fillId="3" borderId="1" xfId="0" applyFont="1" applyFill="1" applyBorder="1" applyAlignment="1">
      <alignment horizontal="center" vertical="center"/>
    </xf>
    <xf numFmtId="0" fontId="4" fillId="3" borderId="1" xfId="0" applyFont="1" applyFill="1" applyBorder="1" applyAlignment="1">
      <alignment horizontal="right" vertical="center"/>
    </xf>
    <xf numFmtId="4" fontId="5" fillId="3" borderId="1" xfId="0" applyNumberFormat="1" applyFont="1" applyFill="1" applyBorder="1" applyAlignment="1">
      <alignment horizontal="center" vertical="center"/>
    </xf>
    <xf numFmtId="0" fontId="4" fillId="3" borderId="0" xfId="0" applyFont="1" applyFill="1"/>
    <xf numFmtId="0" fontId="5" fillId="3" borderId="0" xfId="0" applyFont="1" applyFill="1"/>
    <xf numFmtId="0" fontId="7" fillId="3" borderId="0" xfId="0" applyFont="1" applyFill="1" applyAlignment="1">
      <alignment horizontal="center"/>
    </xf>
    <xf numFmtId="0" fontId="4" fillId="0" borderId="0" xfId="0" applyFont="1"/>
    <xf numFmtId="0" fontId="4" fillId="0" borderId="0" xfId="0" applyFont="1" applyAlignment="1">
      <alignment horizontal="center" vertical="center"/>
    </xf>
    <xf numFmtId="0" fontId="4" fillId="0" borderId="0" xfId="0" applyFont="1" applyAlignment="1">
      <alignment horizontal="right" vertical="center"/>
    </xf>
    <xf numFmtId="0" fontId="5" fillId="0" borderId="0" xfId="0" applyFont="1" applyAlignment="1">
      <alignment horizontal="center" vertical="center"/>
    </xf>
    <xf numFmtId="0" fontId="4" fillId="4" borderId="0" xfId="0" applyFont="1" applyFill="1" applyAlignment="1">
      <alignment horizontal="center" vertical="center"/>
    </xf>
    <xf numFmtId="4" fontId="5" fillId="4" borderId="0" xfId="0" applyNumberFormat="1" applyFont="1" applyFill="1" applyAlignment="1">
      <alignment horizontal="center" vertical="center"/>
    </xf>
    <xf numFmtId="0" fontId="4" fillId="4" borderId="2" xfId="0" applyFont="1" applyFill="1" applyBorder="1" applyAlignment="1">
      <alignment horizontal="center" vertical="center"/>
    </xf>
    <xf numFmtId="0" fontId="4" fillId="5" borderId="0" xfId="0" applyFont="1" applyFill="1" applyAlignment="1">
      <alignment horizontal="right"/>
    </xf>
    <xf numFmtId="4" fontId="4" fillId="4" borderId="0" xfId="0" applyNumberFormat="1" applyFont="1" applyFill="1" applyAlignment="1">
      <alignment horizontal="center" vertical="center"/>
    </xf>
    <xf numFmtId="0" fontId="4" fillId="0" borderId="0" xfId="0" applyFont="1" applyAlignment="1">
      <alignment horizontal="right"/>
    </xf>
    <xf numFmtId="4" fontId="4" fillId="6" borderId="0" xfId="0" applyNumberFormat="1" applyFont="1" applyFill="1" applyAlignment="1">
      <alignment horizontal="center" vertical="center"/>
    </xf>
    <xf numFmtId="0" fontId="12" fillId="3" borderId="3" xfId="0" applyFont="1" applyFill="1" applyBorder="1" applyAlignment="1">
      <alignment horizontal="left" vertical="center"/>
    </xf>
    <xf numFmtId="0" fontId="13" fillId="3" borderId="3" xfId="0" applyFont="1" applyFill="1" applyBorder="1" applyAlignment="1">
      <alignment horizontal="left" vertical="center"/>
    </xf>
    <xf numFmtId="0" fontId="15" fillId="3" borderId="3" xfId="0" applyFont="1" applyFill="1" applyBorder="1" applyAlignment="1">
      <alignment vertical="center"/>
    </xf>
    <xf numFmtId="0" fontId="13" fillId="3" borderId="3" xfId="0" applyFont="1" applyFill="1" applyBorder="1" applyAlignment="1">
      <alignment vertical="center"/>
    </xf>
    <xf numFmtId="0" fontId="13" fillId="4" borderId="3" xfId="0" applyFont="1" applyFill="1" applyBorder="1" applyAlignment="1">
      <alignment vertical="top"/>
    </xf>
    <xf numFmtId="0" fontId="15" fillId="3" borderId="3" xfId="0" applyFont="1" applyFill="1" applyBorder="1" applyAlignment="1">
      <alignment horizontal="left" vertical="center"/>
    </xf>
    <xf numFmtId="0" fontId="13" fillId="3" borderId="3" xfId="0" quotePrefix="1" applyFont="1" applyFill="1" applyBorder="1" applyAlignment="1">
      <alignment horizontal="left" vertical="center"/>
    </xf>
    <xf numFmtId="0" fontId="9" fillId="0" borderId="4" xfId="0" applyFont="1" applyBorder="1" applyAlignment="1">
      <alignment horizontal="center" vertical="top"/>
    </xf>
    <xf numFmtId="0" fontId="13" fillId="0" borderId="4" xfId="0" applyFont="1" applyBorder="1" applyAlignment="1">
      <alignment horizontal="left" vertical="top"/>
    </xf>
    <xf numFmtId="0" fontId="9" fillId="0" borderId="5" xfId="0" applyFont="1" applyBorder="1" applyAlignment="1">
      <alignment horizontal="center" vertical="top"/>
    </xf>
    <xf numFmtId="0" fontId="13" fillId="0" borderId="5" xfId="0" applyFont="1" applyBorder="1" applyAlignment="1">
      <alignment horizontal="left" vertical="top"/>
    </xf>
    <xf numFmtId="0" fontId="12" fillId="3" borderId="3" xfId="0" applyFont="1" applyFill="1" applyBorder="1" applyAlignment="1">
      <alignment horizontal="center" vertical="center"/>
    </xf>
    <xf numFmtId="0" fontId="20" fillId="3" borderId="3" xfId="0" applyFont="1" applyFill="1" applyBorder="1" applyAlignment="1">
      <alignment horizontal="left" vertical="center"/>
    </xf>
    <xf numFmtId="0" fontId="25" fillId="0" borderId="6" xfId="0" applyFont="1" applyFill="1" applyBorder="1" applyAlignment="1"/>
    <xf numFmtId="0" fontId="26" fillId="0" borderId="0" xfId="0" applyFont="1" applyFill="1" applyAlignment="1"/>
    <xf numFmtId="0" fontId="0" fillId="0" borderId="0" xfId="0" applyFill="1" applyAlignment="1"/>
    <xf numFmtId="0" fontId="15" fillId="0" borderId="0" xfId="0" applyFont="1" applyFill="1" applyAlignment="1"/>
    <xf numFmtId="0" fontId="27" fillId="0" borderId="0" xfId="1" applyFill="1" applyAlignment="1"/>
    <xf numFmtId="0" fontId="14" fillId="0" borderId="0" xfId="0" applyFont="1" applyFill="1" applyAlignment="1"/>
    <xf numFmtId="0" fontId="1" fillId="0" borderId="0" xfId="0" applyFont="1" applyFill="1" applyAlignment="1"/>
    <xf numFmtId="0" fontId="26" fillId="0" borderId="0" xfId="0" quotePrefix="1" applyFont="1" applyFill="1" applyAlignment="1"/>
    <xf numFmtId="0" fontId="8" fillId="0" borderId="0" xfId="0" applyFont="1" applyAlignment="1">
      <alignment horizontal="left" vertical="center"/>
    </xf>
    <xf numFmtId="0" fontId="9" fillId="0" borderId="0" xfId="0" applyFont="1" applyAlignment="1">
      <alignment horizontal="left" vertical="center"/>
    </xf>
    <xf numFmtId="49" fontId="10" fillId="0" borderId="0" xfId="0" applyNumberFormat="1" applyFont="1" applyAlignment="1">
      <alignment horizontal="left" vertical="center"/>
    </xf>
    <xf numFmtId="49" fontId="9" fillId="0" borderId="0" xfId="0" applyNumberFormat="1" applyFont="1" applyAlignment="1">
      <alignment horizontal="left" vertical="center"/>
    </xf>
    <xf numFmtId="0" fontId="11" fillId="7" borderId="0" xfId="0" applyFont="1" applyFill="1" applyAlignment="1">
      <alignment horizontal="left" vertical="center"/>
    </xf>
    <xf numFmtId="0" fontId="0" fillId="0" borderId="0" xfId="0" applyAlignment="1"/>
    <xf numFmtId="0" fontId="14" fillId="3" borderId="3" xfId="0" applyFont="1" applyFill="1" applyBorder="1" applyAlignment="1">
      <alignment vertical="center"/>
    </xf>
    <xf numFmtId="0" fontId="13" fillId="7" borderId="0" xfId="0" applyFont="1" applyFill="1" applyAlignment="1">
      <alignment vertical="center"/>
    </xf>
    <xf numFmtId="0" fontId="13" fillId="7" borderId="0" xfId="0" applyFont="1" applyFill="1" applyAlignment="1">
      <alignment vertical="top"/>
    </xf>
    <xf numFmtId="0" fontId="13" fillId="3" borderId="3" xfId="0" quotePrefix="1" applyFont="1" applyFill="1" applyBorder="1" applyAlignment="1">
      <alignment vertical="center"/>
    </xf>
    <xf numFmtId="0" fontId="16" fillId="4" borderId="3" xfId="0" applyFont="1" applyFill="1" applyBorder="1" applyAlignment="1">
      <alignment vertical="top"/>
    </xf>
    <xf numFmtId="0" fontId="15" fillId="7" borderId="0" xfId="0" applyFont="1" applyFill="1" applyAlignment="1">
      <alignment vertical="center"/>
    </xf>
    <xf numFmtId="0" fontId="17" fillId="3" borderId="3" xfId="0" applyFont="1" applyFill="1" applyBorder="1" applyAlignment="1">
      <alignment vertical="center"/>
    </xf>
    <xf numFmtId="0" fontId="18" fillId="3" borderId="3" xfId="0" applyFont="1" applyFill="1" applyBorder="1" applyAlignment="1">
      <alignment vertical="center"/>
    </xf>
    <xf numFmtId="0" fontId="18" fillId="3" borderId="3" xfId="0" applyFont="1" applyFill="1" applyBorder="1" applyAlignment="1">
      <alignment horizontal="left" vertical="center"/>
    </xf>
    <xf numFmtId="0" fontId="1" fillId="7" borderId="0" xfId="0" applyFont="1" applyFill="1" applyAlignment="1"/>
    <xf numFmtId="0" fontId="1" fillId="0" borderId="0" xfId="0" applyFont="1" applyAlignment="1"/>
    <xf numFmtId="0" fontId="19" fillId="3" borderId="3" xfId="0" applyFont="1" applyFill="1" applyBorder="1" applyAlignment="1">
      <alignment vertical="center"/>
    </xf>
    <xf numFmtId="0" fontId="20" fillId="3" borderId="3" xfId="0" applyFont="1" applyFill="1" applyBorder="1" applyAlignment="1">
      <alignment vertical="center"/>
    </xf>
    <xf numFmtId="0" fontId="21" fillId="3" borderId="3" xfId="0" applyFont="1" applyFill="1" applyBorder="1" applyAlignment="1">
      <alignment horizontal="left" vertical="center"/>
    </xf>
    <xf numFmtId="0" fontId="22" fillId="3" borderId="3" xfId="0" applyFont="1" applyFill="1" applyBorder="1" applyAlignment="1">
      <alignment horizontal="left" vertical="center"/>
    </xf>
    <xf numFmtId="0" fontId="23" fillId="3" borderId="3" xfId="0" applyFont="1" applyFill="1" applyBorder="1" applyAlignment="1">
      <alignment horizontal="left" vertical="center"/>
    </xf>
    <xf numFmtId="0" fontId="24" fillId="3" borderId="3" xfId="0" applyFont="1" applyFill="1" applyBorder="1" applyAlignment="1">
      <alignment horizontal="left" vertical="center"/>
    </xf>
    <xf numFmtId="0" fontId="15" fillId="0" borderId="0" xfId="0" applyFont="1" applyAlignment="1">
      <alignment horizontal="left" vertical="center"/>
    </xf>
    <xf numFmtId="0" fontId="0" fillId="0" borderId="0" xfId="0" applyAlignment="1">
      <alignment horizontal="left" vertical="center"/>
    </xf>
    <xf numFmtId="0" fontId="28" fillId="3" borderId="3" xfId="0" applyFont="1" applyFill="1" applyBorder="1" applyAlignment="1">
      <alignment horizontal="left" vertical="center"/>
    </xf>
  </cellXfs>
  <cellStyles count="2">
    <cellStyle name="Hyperlink" xfId="1" builtinId="8"/>
    <cellStyle name="Normal" xfId="0" builtinId="0"/>
  </cellStyles>
  <dxfs count="39">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3">
    <tableStyle name="BIS + EDBA Final-style" pivot="0" count="4" xr9:uid="{00000000-0011-0000-FFFF-FFFF00000000}">
      <tableStyleElement type="wholeTable" size="0" dxfId="38"/>
      <tableStyleElement type="headerRow" dxfId="37"/>
      <tableStyleElement type="firstRowStripe" dxfId="36"/>
      <tableStyleElement type="secondRowStripe" dxfId="35"/>
    </tableStyle>
    <tableStyle name="BIS + EDBA Final-style 2" pivot="0" count="2" xr9:uid="{00000000-0011-0000-FFFF-FFFF01000000}">
      <tableStyleElement type="firstRowStripe" dxfId="34"/>
      <tableStyleElement type="secondRowStripe" dxfId="33"/>
    </tableStyle>
    <tableStyle name="BIS + EDB Green-style" pivot="0" count="4" xr9:uid="{00000000-0011-0000-FFFF-FFFF02000000}">
      <tableStyleElement type="wholeTable" size="0" dxfId="32"/>
      <tableStyleElement type="headerRow" dxfId="31"/>
      <tableStyleElement type="firstRowStripe" dxfId="30"/>
      <tableStyleElement type="secondRowStripe" dxfId="2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1" Type="http://schemas.openxmlformats.org/officeDocument/2006/relationships/styles" Target="styles.xml"/><Relationship Id="rId2" Type="http://schemas.openxmlformats.org/officeDocument/2006/relationships/worksheet" Target="worksheets/sheet2.xml"/><Relationship Id="rId20" Type="http://schemas.openxmlformats.org/officeDocument/2006/relationships/theme" Target="theme/theme1.xml"/><Relationship Id="rId1" Type="http://schemas.openxmlformats.org/officeDocument/2006/relationships/worksheet" Target="worksheets/sheet1.xml"/><Relationship Id="rId24" Type="http://schemas.openxmlformats.org/officeDocument/2006/relationships/calcChain" Target="calcChain.xml"/><Relationship Id="rId23" Type="http://schemas.openxmlformats.org/officeDocument/2006/relationships/sheetMetadata" Target="metadata.xml"/><Relationship Id="rId19" Type="http://customschemas.google.com/relationships/workbookmetadata" Target="metadata"/><Relationship Id="rId22"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1:L115" headerRowDxfId="16" dataDxfId="14" totalsRowDxfId="15">
  <autoFilter ref="A1:L115" xr:uid="{00000000-0009-0000-0100-000001000000}"/>
  <tableColumns count="12">
    <tableColumn id="1" xr3:uid="{00000000-0010-0000-0000-000001000000}" name="Company" dataDxfId="28"/>
    <tableColumn id="2" xr3:uid="{00000000-0010-0000-0000-000002000000}" name="BIS Score" dataDxfId="27"/>
    <tableColumn id="3" xr3:uid="{00000000-0010-0000-0000-000003000000}" name="GPTW Status" dataDxfId="26"/>
    <tableColumn id="4" xr3:uid="{00000000-0010-0000-0000-000004000000}" name="Named Wellbeing Program" dataDxfId="25"/>
    <tableColumn id="5" xr3:uid="{00000000-0010-0000-0000-000005000000}" name="Key Evidence (BIS)" dataDxfId="24"/>
    <tableColumn id="6" xr3:uid="{00000000-0010-0000-0000-000006000000}" name="EDBA Score" dataDxfId="23"/>
    <tableColumn id="7" xr3:uid="{00000000-0010-0000-0000-000007000000}" name="Classification" dataDxfId="22"/>
    <tableColumn id="8" xr3:uid="{00000000-0010-0000-0000-000008000000}" name="Competitor name" dataDxfId="21"/>
    <tableColumn id="9" xr3:uid="{00000000-0010-0000-0000-000009000000}" name="Competitive category (product)" dataDxfId="20"/>
    <tableColumn id="10" xr3:uid="{00000000-0010-0000-0000-00000A000000}" name="Key evidence" dataDxfId="19"/>
    <tableColumn id="11" xr3:uid="{00000000-0010-0000-0000-00000B000000}" name="Source" dataDxfId="18"/>
    <tableColumn id="12" xr3:uid="{00000000-0010-0000-0000-00000C000000}" name="Ranked Total Score" dataDxfId="17"/>
  </tableColumns>
  <tableStyleInfo name="BIS + EDBA Final-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1" displayName="Table_1" ref="A140:K185" headerRowCount="0" headerRowDxfId="2" dataDxfId="0" totalsRowDxfId="1">
  <tableColumns count="11">
    <tableColumn id="1" xr3:uid="{00000000-0010-0000-0100-000001000000}" name="Column1" dataDxfId="13"/>
    <tableColumn id="2" xr3:uid="{00000000-0010-0000-0100-000002000000}" name="Column2" dataDxfId="12"/>
    <tableColumn id="3" xr3:uid="{00000000-0010-0000-0100-000003000000}" name="Column3" dataDxfId="11"/>
    <tableColumn id="4" xr3:uid="{00000000-0010-0000-0100-000004000000}" name="Column4" dataDxfId="10"/>
    <tableColumn id="5" xr3:uid="{00000000-0010-0000-0100-000005000000}" name="Column5" dataDxfId="9"/>
    <tableColumn id="6" xr3:uid="{00000000-0010-0000-0100-000006000000}" name="Column6" dataDxfId="8"/>
    <tableColumn id="7" xr3:uid="{00000000-0010-0000-0100-000007000000}" name="Column7" dataDxfId="7"/>
    <tableColumn id="8" xr3:uid="{00000000-0010-0000-0100-000008000000}" name="Column8" dataDxfId="6"/>
    <tableColumn id="9" xr3:uid="{00000000-0010-0000-0100-000009000000}" name="Column9" dataDxfId="5"/>
    <tableColumn id="10" xr3:uid="{00000000-0010-0000-0100-00000A000000}" name="Column10" dataDxfId="4"/>
    <tableColumn id="11" xr3:uid="{00000000-0010-0000-0100-00000B000000}" name="Column11" dataDxfId="3"/>
  </tableColumns>
  <tableStyleInfo name="BIS + EDBA Final-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6" Type="http://schemas.openxmlformats.org/officeDocument/2006/relationships/hyperlink" Target="https://www.dell.com/en-uk/dt/corporate/social-impact/esg-resources/reports/fy24-esg-report.htm" TargetMode="External"/><Relationship Id="rId21" Type="http://schemas.openxmlformats.org/officeDocument/2006/relationships/hyperlink" Target="https://www.businesswire.com/news/home/20221104005130/en/5320281/Headspace-Health-Introduces-Unified-Mental-Health-and-Wellbeing-Experience-for-Employers-and-Employees" TargetMode="External"/><Relationship Id="rId34" Type="http://schemas.openxmlformats.org/officeDocument/2006/relationships/hyperlink" Target="https://www.sony-semicon.com/en/company/sustainability/diversity/safety.html" TargetMode="External"/><Relationship Id="rId42" Type="http://schemas.openxmlformats.org/officeDocument/2006/relationships/hyperlink" Target="https://www.daiwahouse.com/English/sustainable/social/employee/" TargetMode="External"/><Relationship Id="rId47" Type="http://schemas.openxmlformats.org/officeDocument/2006/relationships/hyperlink" Target="https://cdn.pfizer.com/pfizercom/Pfizer_2023_ESG_Performance_13MAR2024.pdf" TargetMode="External"/><Relationship Id="rId50" Type="http://schemas.openxmlformats.org/officeDocument/2006/relationships/hyperlink" Target="https://www.pmi.com/sustainability/case-studies-and-market-stories/grasping-the-challenge-of-growth-for-well-being/" TargetMode="External"/><Relationship Id="rId55" Type="http://schemas.openxmlformats.org/officeDocument/2006/relationships/hyperlink" Target="http://loreal.com/en/group/our-commitments/for-our-employees/10-years-of-share-and-care-program" TargetMode="External"/><Relationship Id="rId63" Type="http://schemas.openxmlformats.org/officeDocument/2006/relationships/hyperlink" Target="http://careers.usbank.com/global/en/health-and-well-being" TargetMode="External"/><Relationship Id="rId68" Type="http://schemas.openxmlformats.org/officeDocument/2006/relationships/table" Target="../tables/table2.xml"/><Relationship Id="rId7" Type="http://schemas.openxmlformats.org/officeDocument/2006/relationships/hyperlink" Target="https://benefits.springhealth.com/customer/schneider-electric" TargetMode="External"/><Relationship Id="rId2" Type="http://schemas.openxmlformats.org/officeDocument/2006/relationships/hyperlink" Target="https://newsroom.fedex.com/newsroom/amea/fedex-recognised-for-being-a-mental-health-friendly-workplace-for-fourth-consecutive-year" TargetMode="External"/><Relationship Id="rId16" Type="http://schemas.openxmlformats.org/officeDocument/2006/relationships/hyperlink" Target="https://vale.com/esg/promoting-health-and-well-being" TargetMode="External"/><Relationship Id="rId29" Type="http://schemas.openxmlformats.org/officeDocument/2006/relationships/hyperlink" Target="https://www.crh.com/sustainability" TargetMode="External"/><Relationship Id="rId11" Type="http://schemas.openxmlformats.org/officeDocument/2006/relationships/hyperlink" Target="https://www.samsung.com/global/sustainability/" TargetMode="External"/><Relationship Id="rId24" Type="http://schemas.openxmlformats.org/officeDocument/2006/relationships/hyperlink" Target="https://us.pg.com/2024CitizenshipDataMetrics/" TargetMode="External"/><Relationship Id="rId32" Type="http://schemas.openxmlformats.org/officeDocument/2006/relationships/hyperlink" Target="https://sumitomocorp.disclosure.site/en/themes/31" TargetMode="External"/><Relationship Id="rId37" Type="http://schemas.openxmlformats.org/officeDocument/2006/relationships/hyperlink" Target="https://www.mhi.com/news/241113.html" TargetMode="External"/><Relationship Id="rId40" Type="http://schemas.openxmlformats.org/officeDocument/2006/relationships/hyperlink" Target="https://www.globalsuzuki.com/sustainability/social/safety_and_health.html" TargetMode="External"/><Relationship Id="rId45" Type="http://schemas.openxmlformats.org/officeDocument/2006/relationships/hyperlink" Target="https://www.tatamotors.com/sustainability/" TargetMode="External"/><Relationship Id="rId53" Type="http://schemas.openxmlformats.org/officeDocument/2006/relationships/hyperlink" Target="https://builtin.com/company/john-deere/benefits" TargetMode="External"/><Relationship Id="rId58" Type="http://schemas.openxmlformats.org/officeDocument/2006/relationships/hyperlink" Target="http://centralsaudecaixa.com.br/telessaude/" TargetMode="External"/><Relationship Id="rId66" Type="http://schemas.openxmlformats.org/officeDocument/2006/relationships/hyperlink" Target="http://capitalonecareers.com/benefits" TargetMode="External"/><Relationship Id="rId5" Type="http://schemas.openxmlformats.org/officeDocument/2006/relationships/hyperlink" Target="https://magazine.hcahealthcare.com/communities/much-more-than-a-paycheck/" TargetMode="External"/><Relationship Id="rId61" Type="http://schemas.openxmlformats.org/officeDocument/2006/relationships/hyperlink" Target="http://kddi.com/english/corporate/sustainability/society/health/" TargetMode="External"/><Relationship Id="rId19" Type="http://schemas.openxmlformats.org/officeDocument/2006/relationships/hyperlink" Target="https://www.ckhgroup.com/" TargetMode="External"/><Relationship Id="rId14" Type="http://schemas.openxmlformats.org/officeDocument/2006/relationships/hyperlink" Target="https://www.magna.com/docs/default-source/financial-reports-public-filings/tax-other-reports/101227_magna_sustainabilityreport_fy2024_final_cda.pdf" TargetMode="External"/><Relationship Id="rId22" Type="http://schemas.openxmlformats.org/officeDocument/2006/relationships/hyperlink" Target="https://www.volvogroup.com/en/news-and-media/news/2022/jun/transforming-lives-through-health-and-well-being.html" TargetMode="External"/><Relationship Id="rId27" Type="http://schemas.openxmlformats.org/officeDocument/2006/relationships/hyperlink" Target="https://sustainabilitymag.com/articles/northrop-grumman-esg-in-aerospace-and-defence" TargetMode="External"/><Relationship Id="rId30" Type="http://schemas.openxmlformats.org/officeDocument/2006/relationships/hyperlink" Target="https://www.bayer.com/en/sustainability/health-and-safety" TargetMode="External"/><Relationship Id="rId35" Type="http://schemas.openxmlformats.org/officeDocument/2006/relationships/hyperlink" Target="https://www.orange.com/en/thriving-orange" TargetMode="External"/><Relationship Id="rId43" Type="http://schemas.openxmlformats.org/officeDocument/2006/relationships/hyperlink" Target="https://library.e.abb.com/public/b43082bf39e74e06b1b268e119d0de0a/BRSR+Report.pdf" TargetMode="External"/><Relationship Id="rId48" Type="http://schemas.openxmlformats.org/officeDocument/2006/relationships/hyperlink" Target="https://www.businessgrouphealth.org/en/who-we-are/best-employers/health-and-well-being/winners" TargetMode="External"/><Relationship Id="rId56" Type="http://schemas.openxmlformats.org/officeDocument/2006/relationships/hyperlink" Target="http://cisco.com/c/m/en_us/about/csr/esg-hub/people/benefits.html" TargetMode="External"/><Relationship Id="rId64" Type="http://schemas.openxmlformats.org/officeDocument/2006/relationships/hyperlink" Target="http://careers.salesforce.com/en/salesforce-stories/wellbeingbenefits/" TargetMode="External"/><Relationship Id="rId8" Type="http://schemas.openxmlformats.org/officeDocument/2006/relationships/hyperlink" Target="https://mobilecontent.costco.com/staging/resource/img/code-2021/sustainability-employees.html" TargetMode="External"/><Relationship Id="rId51" Type="http://schemas.openxmlformats.org/officeDocument/2006/relationships/hyperlink" Target="https://corporate.exxonmobil.com/careers/benefits/us-employee-benefits" TargetMode="External"/><Relationship Id="rId3" Type="http://schemas.openxmlformats.org/officeDocument/2006/relationships/hyperlink" Target="https://www.tjx.com/corporate-responsibility/workplace/health-well-being" TargetMode="External"/><Relationship Id="rId12" Type="http://schemas.openxmlformats.org/officeDocument/2006/relationships/hyperlink" Target="https://the-americas.lufthansagroup.careers/benefits" TargetMode="External"/><Relationship Id="rId17" Type="http://schemas.openxmlformats.org/officeDocument/2006/relationships/hyperlink" Target="https://americas.aramco.com/-/media/aramcoasc/careers/benefits-pdfs/current/sa-10-2022-annual-enrollmnet-guide.pdf" TargetMode="External"/><Relationship Id="rId25" Type="http://schemas.openxmlformats.org/officeDocument/2006/relationships/hyperlink" Target="https://static.inditex.com/annualreport2024/en/the-how-matters" TargetMode="External"/><Relationship Id="rId33" Type="http://schemas.openxmlformats.org/officeDocument/2006/relationships/hyperlink" Target="https://biva.mx/storage/data-listing/3555/0002429/90/2/Anexo%205%20-%20Marco%20de%20Referencia%20(ingles).pdf" TargetMode="External"/><Relationship Id="rId38" Type="http://schemas.openxmlformats.org/officeDocument/2006/relationships/hyperlink" Target="https://www.petronas.com/integrated-report-2024/" TargetMode="External"/><Relationship Id="rId46" Type="http://schemas.openxmlformats.org/officeDocument/2006/relationships/hyperlink" Target="https://www.siemens-energy.com/global/en/home/careers/inclusion-diversity.html" TargetMode="External"/><Relationship Id="rId59" Type="http://schemas.openxmlformats.org/officeDocument/2006/relationships/hyperlink" Target="http://careers.db.com/this-is-db/well-being-benefits" TargetMode="External"/><Relationship Id="rId67" Type="http://schemas.openxmlformats.org/officeDocument/2006/relationships/table" Target="../tables/table1.xml"/><Relationship Id="rId20" Type="http://schemas.openxmlformats.org/officeDocument/2006/relationships/hyperlink" Target="https://www.hdfcbank.com/content/bbp/repositories/723fb80a-2dde-42a3-9793-7ae1be57c87f/sustainability/" TargetMode="External"/><Relationship Id="rId41" Type="http://schemas.openxmlformats.org/officeDocument/2006/relationships/hyperlink" Target="https://www.hanwha.com/sustainability/esg-in-action/social.do" TargetMode="External"/><Relationship Id="rId54" Type="http://schemas.openxmlformats.org/officeDocument/2006/relationships/hyperlink" Target="https://www.premisehealth.com/resources/success-stories/how-the-cummins-livewell-center-fosters-a-culture-of-whole-person-health-and-wellness/" TargetMode="External"/><Relationship Id="rId62" Type="http://schemas.openxmlformats.org/officeDocument/2006/relationships/hyperlink" Target="http://natwestgroup.com/who-we-are/working-at-natwest-group/health-and-safety.html" TargetMode="External"/><Relationship Id="rId1" Type="http://schemas.openxmlformats.org/officeDocument/2006/relationships/hyperlink" Target="https://about.ups.com/us/en/our-company/great-employer/real-employee-benefits.html" TargetMode="External"/><Relationship Id="rId6" Type="http://schemas.openxmlformats.org/officeDocument/2006/relationships/hyperlink" Target="https://www.nipponsteel.com/en/csr/human/diversity.html" TargetMode="External"/><Relationship Id="rId15" Type="http://schemas.openxmlformats.org/officeDocument/2006/relationships/hyperlink" Target="https://www.albertsonscompanies.com/newsroom/press-releases/news-details/2023/Albertsons-Companies-Releases-2023-ESG-Report/default.aspx" TargetMode="External"/><Relationship Id="rId23" Type="http://schemas.openxmlformats.org/officeDocument/2006/relationships/hyperlink" Target="https://www.glencore.com/media-and-insights/news/Glencore-publishes-2024-Sustainability-Report" TargetMode="External"/><Relationship Id="rId28" Type="http://schemas.openxmlformats.org/officeDocument/2006/relationships/hyperlink" Target="https://www.renaultgroup.com/en/our-commitments/csr/" TargetMode="External"/><Relationship Id="rId36" Type="http://schemas.openxmlformats.org/officeDocument/2006/relationships/hyperlink" Target="https://www.telefonica.com/en/communication-room/reports/health-safety-and-well-being-policy/" TargetMode="External"/><Relationship Id="rId49" Type="http://schemas.openxmlformats.org/officeDocument/2006/relationships/hyperlink" Target="https://www.about.sainsburys.co.uk/sustainability" TargetMode="External"/><Relationship Id="rId57" Type="http://schemas.openxmlformats.org/officeDocument/2006/relationships/hyperlink" Target="http://mitsubishicorp.com/jp/en/sustainability/social/wellbeing/004.html" TargetMode="External"/><Relationship Id="rId10" Type="http://schemas.openxmlformats.org/officeDocument/2006/relationships/hyperlink" Target="https://sustainability.jardines.com/2024/assets/pdf/Jardine_SR2024.pdf" TargetMode="External"/><Relationship Id="rId31" Type="http://schemas.openxmlformats.org/officeDocument/2006/relationships/hyperlink" Target="https://www.coop.ch/en/company/sustainability.html" TargetMode="External"/><Relationship Id="rId44" Type="http://schemas.openxmlformats.org/officeDocument/2006/relationships/hyperlink" Target="https://benefits.honeywell.com/your-health/mental-well-being" TargetMode="External"/><Relationship Id="rId52" Type="http://schemas.openxmlformats.org/officeDocument/2006/relationships/hyperlink" Target="https://about.nike.com/en/impact/initiatives/prioritizing-worker-engagement-and-wellbeing" TargetMode="External"/><Relationship Id="rId60" Type="http://schemas.openxmlformats.org/officeDocument/2006/relationships/hyperlink" Target="http://group.intesasanpaolo.com/en/sustainability/people/welfare-people-care" TargetMode="External"/><Relationship Id="rId65" Type="http://schemas.openxmlformats.org/officeDocument/2006/relationships/hyperlink" Target="http://americanexpress.com/en-us/careers/about-teamamex/" TargetMode="External"/><Relationship Id="rId4" Type="http://schemas.openxmlformats.org/officeDocument/2006/relationships/hyperlink" Target="https://usbenefits.microsoft.com/us/en/microsoft-cares.html" TargetMode="External"/><Relationship Id="rId9" Type="http://schemas.openxmlformats.org/officeDocument/2006/relationships/hyperlink" Target="https://search-careers.gm.com/en/benefits/" TargetMode="External"/><Relationship Id="rId13" Type="http://schemas.openxmlformats.org/officeDocument/2006/relationships/hyperlink" Target="https://wellhub.com/en-us/blog/press-releases/success-story-heineken-gympass/" TargetMode="External"/><Relationship Id="rId18" Type="http://schemas.openxmlformats.org/officeDocument/2006/relationships/hyperlink" Target="https://www.baesystems.com/en/feature/supporting-our-employees-mental-health" TargetMode="External"/><Relationship Id="rId39" Type="http://schemas.openxmlformats.org/officeDocument/2006/relationships/hyperlink" Target="https://www.icicibank.com/ms/aboutus/annual-reports/2024-25/esg/human-capital.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linkedin.com/in/alexander-legel-033171a3/" TargetMode="External"/><Relationship Id="rId13" Type="http://schemas.openxmlformats.org/officeDocument/2006/relationships/hyperlink" Target="https://www.linkedin.com/in/meenaraza/" TargetMode="External"/><Relationship Id="rId3" Type="http://schemas.openxmlformats.org/officeDocument/2006/relationships/hyperlink" Target="https://www.linkedin.com/in/sergio-fernandez-141b332/" TargetMode="External"/><Relationship Id="rId7" Type="http://schemas.openxmlformats.org/officeDocument/2006/relationships/hyperlink" Target="https://www.linkedin.com/in/delphine-boyer-94054a18/" TargetMode="External"/><Relationship Id="rId12" Type="http://schemas.openxmlformats.org/officeDocument/2006/relationships/hyperlink" Target="https://www.linkedin.com/in/bee-lay-teo-6582311b/" TargetMode="External"/><Relationship Id="rId2" Type="http://schemas.openxmlformats.org/officeDocument/2006/relationships/hyperlink" Target="https://www.linkedin.com/in/mike-cyran-25344315/%20;" TargetMode="External"/><Relationship Id="rId16" Type="http://schemas.openxmlformats.org/officeDocument/2006/relationships/hyperlink" Target="https://www.linkedin.com/in/innabrand/" TargetMode="External"/><Relationship Id="rId1" Type="http://schemas.openxmlformats.org/officeDocument/2006/relationships/hyperlink" Target="https://www.businessinsider.de/karriere/das-verdienen-top-manager-bei-der-deutschen-bahn-und-im-nahverkehr-c/%20;%20stepstone.de%20(DB%20AG%20C&amp;B%20roles)%20;%20ibir.deutschebahn.com%20(remuneration%20reports%202023/2024)" TargetMode="External"/><Relationship Id="rId6" Type="http://schemas.openxmlformats.org/officeDocument/2006/relationships/hyperlink" Target="https://www.nipponsteel.com/en/factbook/2022/03-01.html" TargetMode="External"/><Relationship Id="rId11" Type="http://schemas.openxmlformats.org/officeDocument/2006/relationships/hyperlink" Target="https://www.linkedin.com/in/adrian-smart-1220823b/" TargetMode="External"/><Relationship Id="rId5" Type="http://schemas.openxmlformats.org/officeDocument/2006/relationships/hyperlink" Target="https://www.linkedin.com/in/olivier-kerdraon/" TargetMode="External"/><Relationship Id="rId15" Type="http://schemas.openxmlformats.org/officeDocument/2006/relationships/hyperlink" Target="https://www.linkedin.com/in/daniel-eppinger-3a5554b6/" TargetMode="External"/><Relationship Id="rId10" Type="http://schemas.openxmlformats.org/officeDocument/2006/relationships/hyperlink" Target="https://www.comparably.com/companies/cisco/karen-wiens" TargetMode="External"/><Relationship Id="rId4" Type="http://schemas.openxmlformats.org/officeDocument/2006/relationships/hyperlink" Target="https://www.linkedin.com/in/sumittandon/" TargetMode="External"/><Relationship Id="rId9" Type="http://schemas.openxmlformats.org/officeDocument/2006/relationships/hyperlink" Target="https://www.linkedin.com/in/sagarpadhiar" TargetMode="External"/><Relationship Id="rId14" Type="http://schemas.openxmlformats.org/officeDocument/2006/relationships/hyperlink" Target="https://www.linkedin.com/in/rachel-chen-48575b8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7BB8A"/>
    <outlinePr summaryBelow="0" summaryRight="0"/>
    <pageSetUpPr fitToPage="1"/>
  </sheetPr>
  <dimension ref="A1:AH1000"/>
  <sheetViews>
    <sheetView showGridLines="0" workbookViewId="0">
      <pane ySplit="1" topLeftCell="A2" activePane="bottomLeft" state="frozen"/>
      <selection pane="bottomLeft" activeCell="C50" sqref="C50"/>
    </sheetView>
  </sheetViews>
  <sheetFormatPr baseColWidth="10" defaultColWidth="12.6640625" defaultRowHeight="15" customHeight="1"/>
  <cols>
    <col min="1" max="1" width="4.6640625" customWidth="1"/>
    <col min="2" max="2" width="23.5" customWidth="1"/>
    <col min="3" max="3" width="14.83203125" customWidth="1"/>
    <col min="4" max="4" width="34" customWidth="1"/>
    <col min="5" max="5" width="14" customWidth="1"/>
    <col min="6" max="6" width="13.1640625" customWidth="1"/>
    <col min="7" max="10" width="12.6640625" customWidth="1"/>
    <col min="11" max="11" width="14.83203125" customWidth="1"/>
    <col min="12" max="17" width="21.33203125" customWidth="1"/>
    <col min="18" max="18" width="26.5" customWidth="1"/>
    <col min="19" max="28" width="7.6640625" customWidth="1"/>
    <col min="29" max="29" width="9.83203125" customWidth="1"/>
    <col min="30" max="30" width="15.6640625" customWidth="1"/>
    <col min="31" max="34" width="7.6640625" customWidth="1"/>
  </cols>
  <sheetData>
    <row r="1" spans="1:34">
      <c r="A1" s="1"/>
      <c r="B1" s="1" t="s">
        <v>0</v>
      </c>
      <c r="C1" s="1" t="s">
        <v>3</v>
      </c>
      <c r="D1" s="1" t="s">
        <v>4</v>
      </c>
      <c r="E1" s="2" t="s">
        <v>2</v>
      </c>
      <c r="F1" s="1" t="s">
        <v>1459</v>
      </c>
      <c r="G1" s="1" t="s">
        <v>1460</v>
      </c>
      <c r="H1" s="1" t="s">
        <v>1</v>
      </c>
      <c r="I1" s="1" t="s">
        <v>1461</v>
      </c>
      <c r="J1" s="1" t="s">
        <v>1462</v>
      </c>
      <c r="K1" s="3" t="s">
        <v>1463</v>
      </c>
      <c r="L1" s="1" t="s">
        <v>5</v>
      </c>
      <c r="M1" s="1" t="s">
        <v>1464</v>
      </c>
      <c r="N1" s="1" t="s">
        <v>6</v>
      </c>
      <c r="O1" s="1" t="s">
        <v>7</v>
      </c>
      <c r="P1" s="1" t="s">
        <v>8</v>
      </c>
      <c r="Q1" s="1" t="s">
        <v>9</v>
      </c>
      <c r="R1" s="1" t="s">
        <v>10</v>
      </c>
      <c r="S1" s="4"/>
      <c r="T1" s="4"/>
      <c r="U1" s="4"/>
      <c r="V1" s="4"/>
      <c r="W1" s="4"/>
      <c r="X1" s="4"/>
      <c r="Y1" s="4"/>
      <c r="Z1" s="4"/>
      <c r="AA1" s="4"/>
      <c r="AB1" s="4"/>
      <c r="AC1" s="4"/>
      <c r="AD1" s="4"/>
      <c r="AE1" s="4"/>
      <c r="AF1" s="4"/>
      <c r="AG1" s="4"/>
      <c r="AH1" s="4"/>
    </row>
    <row r="2" spans="1:34">
      <c r="A2" s="5"/>
      <c r="B2" s="5" t="s">
        <v>388</v>
      </c>
      <c r="C2" s="6" t="s">
        <v>36</v>
      </c>
      <c r="D2" s="7" t="s">
        <v>389</v>
      </c>
      <c r="E2" s="8">
        <v>372180</v>
      </c>
      <c r="F2" s="6" cm="1">
        <f t="array" ref="F2">_xlfn.IFS(
E2&lt;=$E$245,0,
E2&lt;=$E$246,1,
E2&lt;=$E$247,2,
E2&gt;=$E$247,3)</f>
        <v>3</v>
      </c>
      <c r="G2" s="7" cm="1">
        <f t="array" ref="G2">_xlfn.IFS(
OR(D2="Aerospace",D2="Aerospace &amp; Defense",D2="Agricultural Equipment",D2="Airlines",D2="Automotive",D2="Automotive &amp; Energy",D2="Automotive Components",D2="Aviation",D2="Building Materials",D2="Chemicals",D2="Commercial Vehicles",D2="Conglomerate &amp; Defense",D2="Conglomerate &amp; Energy",D2="Construction",D2="Construction &amp; Infrastructure",D2="Construction &amp; Real Estate",D2="Construction &amp; Telecom",D2="Discount Retail",D2="Energy Management",D2="Energy Technology",D2="Engines &amp; Power Systems",D2="Environmental Services",D2="Food Distribution",D2="Food Services",D2="Grocery Retail",D2="Healthcare &amp; Pharmacy",D2="Home Improvement Retail",D2="Industrial Engineering &amp; Electronics",D2="Oilfield Services",D2="Pharmaceuticals",D2="Pharmaceuticals &amp; Chemicals",D2="Pharmaceuticals &amp; Healthcare",D2="Pharmacy Retail",D2="Postal &amp; Logistics",D2="Retail",D2="Retail &amp; Distribution",D2="Retail &amp; Grocery",D2="Retail (IKEA)",D2="Tobacco",D2="Trading &amp; Conglomerate",D2="Utilities",D2="Utilities &amp; Energy",D2="Wholesale Retail"),2,
OR(D2="Agribusiness",D2="Automotive &amp; Heavy Vehicles",D2="Chemicals",D2="Commercial Vehicles",D2="Construction",D2="Construction &amp; Infrastructure",D2="Engines &amp; Power Systems",D2="Food Processing",D2="Healthcare",D2="Healthcare &amp; Medical Devices",D2="Heavy Equipment",D2="Heavy Industry",D2="Industrial Gases",D2="Industrial Manufacturing",D2="Logistics",D2="Medical Devices",D2="Mining",D2="Mining &amp; Commodities Trading",D2="Oil &amp; Gas",D2="Oilfield Services",D2="Rail Transport",D2="Shipping &amp; Logistics",D2="Steel"),3,
OR(D2="Apparel &amp; Footwear",D2="Beverage",D2="Coffeehouse &amp; Retail",D2="Conglomerate",D2="Consumer Goods",D2="Convenience Retail",D2="Electronics",D2="Electronics &amp; Semiconductors",D2="Electronics Retail",D2="Fashion Retail",D2="Food &amp; Beverage",D2="Food Retail &amp; Consumer Goods",D2="Industrial &amp; Technology",D2="Industrial Automation",D2="Industrial Technology",D2="Postal &amp; Financial Services",D2="Postal Services",D2="Scientific Instruments",D2="Technology Hardware",D2="Trading Company",D2="IT Consulting"),1,
OR(D2="Cosmetics",D2="E-commerce &amp; Cloud Computing",D2="Electronics &amp; Entertainment",D2="Entertainment &amp; Media",D2="Luxury Goods",D2="Media &amp; Telecommunications",D2="Networking Technology",D2="Real Estate Services",D2="Technology &amp; Consumer Electronics",D2="Telecommunications",D2="Telecommunications &amp; Investment"),1,
OR(D2="Asset Management",D2="Banking",D2="Banking &amp; Asset Services",D2="Banking &amp; Financial Services",D2="Banking &amp; Wealth Management",D2="Cloud Software",D2="Enterprise Software",D2="Financial Services",D2="Information Technology Consulting",D2="Investment Banking",D2="Social Media &amp; Technology",D2="Software &amp; Cloud Computing",D2="Technology &amp; Consulting",D2="Technology &amp; Internet Services",D2="Technology &amp; Software"),1,
TRUE,"Unmapped"
)</f>
        <v>3</v>
      </c>
      <c r="H2" s="5">
        <f>VLOOKUP(B2,'BIS + EDBA Final'!A:K,2,FALSE)</f>
        <v>1</v>
      </c>
      <c r="I2" s="5">
        <f>VLOOKUP(B2,'BIS + EDBA Final'!A:F,6,FALSE)</f>
        <v>1</v>
      </c>
      <c r="J2" s="5">
        <f>VLOOKUP(B2,'CBG Final'!A:B,2,FALSE)</f>
        <v>3</v>
      </c>
      <c r="K2" s="9">
        <f t="shared" ref="K2:K65" si="0">0.3*F2+0.2*G2+0.2*H2+I2*0.1+J2*0.2</f>
        <v>2.4000000000000004</v>
      </c>
      <c r="L2" s="5" t="s">
        <v>1420</v>
      </c>
      <c r="M2" s="5" t="s">
        <v>384</v>
      </c>
      <c r="N2" s="5" t="s">
        <v>1421</v>
      </c>
      <c r="O2" s="5" t="s">
        <v>1352</v>
      </c>
      <c r="P2" s="5" t="s">
        <v>1422</v>
      </c>
      <c r="Q2" s="5" t="s">
        <v>50</v>
      </c>
      <c r="R2" s="5" t="s">
        <v>20</v>
      </c>
      <c r="S2" s="10"/>
      <c r="T2" s="11"/>
      <c r="U2" s="11"/>
      <c r="V2" s="10"/>
      <c r="W2" s="10"/>
      <c r="X2" s="11"/>
      <c r="Y2" s="11"/>
      <c r="Z2" s="10"/>
      <c r="AA2" s="10"/>
      <c r="AB2" s="10"/>
      <c r="AC2" s="10"/>
      <c r="AD2" s="10"/>
      <c r="AE2" s="10"/>
      <c r="AF2" s="10"/>
      <c r="AG2" s="10"/>
      <c r="AH2" s="10"/>
    </row>
    <row r="3" spans="1:34">
      <c r="A3" s="5"/>
      <c r="B3" s="5" t="s">
        <v>418</v>
      </c>
      <c r="C3" s="6" t="s">
        <v>36</v>
      </c>
      <c r="D3" s="7" t="s">
        <v>389</v>
      </c>
      <c r="E3" s="8">
        <v>494824</v>
      </c>
      <c r="F3" s="6" cm="1">
        <f t="array" ref="F3">_xlfn.IFS(
E3&lt;=$E$245,0,
E3&lt;=$E$246,1,
E3&lt;=$E$247,2,
E3&gt;=$E$247,3)</f>
        <v>3</v>
      </c>
      <c r="G3" s="7" cm="1">
        <f t="array" ref="G3">_xlfn.IFS(
OR(D3="Aerospace",D3="Aerospace &amp; Defense",D3="Agricultural Equipment",D3="Airlines",D3="Automotive",D3="Automotive &amp; Energy",D3="Automotive Components",D3="Aviation",D3="Building Materials",D3="Chemicals",D3="Commercial Vehicles",D3="Conglomerate &amp; Defense",D3="Conglomerate &amp; Energy",D3="Construction",D3="Construction &amp; Infrastructure",D3="Construction &amp; Real Estate",D3="Construction &amp; Telecom",D3="Discount Retail",D3="Energy Management",D3="Energy Technology",D3="Engines &amp; Power Systems",D3="Environmental Services",D3="Food Distribution",D3="Food Services",D3="Grocery Retail",D3="Healthcare &amp; Pharmacy",D3="Home Improvement Retail",D3="Industrial Engineering &amp; Electronics",D3="Oilfield Services",D3="Pharmaceuticals",D3="Pharmaceuticals &amp; Chemicals",D3="Pharmaceuticals &amp; Healthcare",D3="Pharmacy Retail",D3="Postal &amp; Logistics",D3="Retail",D3="Retail &amp; Distribution",D3="Retail &amp; Grocery",D3="Retail (IKEA)",D3="Tobacco",D3="Trading &amp; Conglomerate",D3="Utilities",D3="Utilities &amp; Energy",D3="Wholesale Retail"),2,
OR(D3="Agribusiness",D3="Automotive &amp; Heavy Vehicles",D3="Chemicals",D3="Commercial Vehicles",D3="Construction",D3="Construction &amp; Infrastructure",D3="Engines &amp; Power Systems",D3="Food Processing",D3="Healthcare",D3="Healthcare &amp; Medical Devices",D3="Heavy Equipment",D3="Heavy Industry",D3="Industrial Gases",D3="Industrial Manufacturing",D3="Logistics",D3="Medical Devices",D3="Mining",D3="Mining &amp; Commodities Trading",D3="Oil &amp; Gas",D3="Oilfield Services",D3="Rail Transport",D3="Shipping &amp; Logistics",D3="Steel"),3,
OR(D3="Apparel &amp; Footwear",D3="Beverage",D3="Coffeehouse &amp; Retail",D3="Conglomerate",D3="Consumer Goods",D3="Convenience Retail",D3="Electronics",D3="Electronics &amp; Semiconductors",D3="Electronics Retail",D3="Fashion Retail",D3="Food &amp; Beverage",D3="Food Retail &amp; Consumer Goods",D3="Industrial &amp; Technology",D3="Industrial Automation",D3="Industrial Technology",D3="Postal &amp; Financial Services",D3="Postal Services",D3="Scientific Instruments",D3="Technology Hardware",D3="Trading Company",D3="IT Consulting"),1,
OR(D3="Cosmetics",D3="E-commerce &amp; Cloud Computing",D3="Electronics &amp; Entertainment",D3="Entertainment &amp; Media",D3="Luxury Goods",D3="Media &amp; Telecommunications",D3="Networking Technology",D3="Real Estate Services",D3="Technology &amp; Consumer Electronics",D3="Telecommunications",D3="Telecommunications &amp; Investment"),1,
OR(D3="Asset Management",D3="Banking",D3="Banking &amp; Asset Services",D3="Banking &amp; Financial Services",D3="Banking &amp; Wealth Management",D3="Cloud Software",D3="Enterprise Software",D3="Financial Services",D3="Information Technology Consulting",D3="Investment Banking",D3="Social Media &amp; Technology",D3="Software &amp; Cloud Computing",D3="Technology &amp; Consulting",D3="Technology &amp; Internet Services",D3="Technology &amp; Software"),1,
TRUE,"Unmapped"
)</f>
        <v>3</v>
      </c>
      <c r="H3" s="5">
        <f>VLOOKUP(B3,'BIS + EDBA Final'!A:K,2,FALSE)</f>
        <v>1</v>
      </c>
      <c r="I3" s="5">
        <f>VLOOKUP(B3,'BIS + EDBA Final'!A:F,6,FALSE)</f>
        <v>1</v>
      </c>
      <c r="J3" s="5">
        <f>VLOOKUP(B3,'CBG Final'!A:B,2,FALSE)</f>
        <v>3</v>
      </c>
      <c r="K3" s="9">
        <f t="shared" si="0"/>
        <v>2.4000000000000004</v>
      </c>
      <c r="L3" s="5" t="s">
        <v>893</v>
      </c>
      <c r="M3" s="5" t="s">
        <v>749</v>
      </c>
      <c r="N3" s="5" t="s">
        <v>894</v>
      </c>
      <c r="O3" s="5" t="s">
        <v>271</v>
      </c>
      <c r="P3" s="5" t="s">
        <v>895</v>
      </c>
      <c r="Q3" s="5" t="s">
        <v>92</v>
      </c>
      <c r="R3" s="5" t="s">
        <v>20</v>
      </c>
      <c r="S3" s="10"/>
      <c r="T3" s="11"/>
      <c r="U3" s="11"/>
      <c r="V3" s="10"/>
      <c r="W3" s="10"/>
      <c r="X3" s="11"/>
      <c r="Y3" s="11"/>
      <c r="Z3" s="10"/>
      <c r="AA3" s="10"/>
      <c r="AB3" s="10"/>
      <c r="AC3" s="10"/>
      <c r="AD3" s="10"/>
      <c r="AE3" s="10"/>
      <c r="AF3" s="10"/>
      <c r="AG3" s="10"/>
      <c r="AH3" s="10"/>
    </row>
    <row r="4" spans="1:34">
      <c r="A4" s="5"/>
      <c r="B4" s="5" t="s">
        <v>373</v>
      </c>
      <c r="C4" s="6" t="s">
        <v>94</v>
      </c>
      <c r="D4" s="7" t="s">
        <v>63</v>
      </c>
      <c r="E4" s="8">
        <v>229140</v>
      </c>
      <c r="F4" s="6" cm="1">
        <f t="array" ref="F4">_xlfn.IFS(
E4&lt;=$E$245,0,
E4&lt;=$E$246,1,
E4&lt;=$E$247,2,
E4&gt;=$E$247,3)</f>
        <v>3</v>
      </c>
      <c r="G4" s="7" cm="1">
        <f t="array" ref="G4">_xlfn.IFS(
OR(D4="Aerospace",D4="Aerospace &amp; Defense",D4="Agricultural Equipment",D4="Airlines",D4="Automotive",D4="Automotive &amp; Energy",D4="Automotive Components",D4="Aviation",D4="Building Materials",D4="Chemicals",D4="Commercial Vehicles",D4="Conglomerate &amp; Defense",D4="Conglomerate &amp; Energy",D4="Construction",D4="Construction &amp; Infrastructure",D4="Construction &amp; Real Estate",D4="Construction &amp; Telecom",D4="Discount Retail",D4="Energy Management",D4="Energy Technology",D4="Engines &amp; Power Systems",D4="Environmental Services",D4="Food Distribution",D4="Food Services",D4="Grocery Retail",D4="Healthcare &amp; Pharmacy",D4="Home Improvement Retail",D4="Industrial Engineering &amp; Electronics",D4="Oilfield Services",D4="Pharmaceuticals",D4="Pharmaceuticals &amp; Chemicals",D4="Pharmaceuticals &amp; Healthcare",D4="Pharmacy Retail",D4="Postal &amp; Logistics",D4="Retail",D4="Retail &amp; Distribution",D4="Retail &amp; Grocery",D4="Retail (IKEA)",D4="Tobacco",D4="Trading &amp; Conglomerate",D4="Utilities",D4="Utilities &amp; Energy",D4="Wholesale Retail"),2,
OR(D4="Agribusiness",D4="Automotive &amp; Heavy Vehicles",D4="Chemicals",D4="Commercial Vehicles",D4="Construction",D4="Construction &amp; Infrastructure",D4="Engines &amp; Power Systems",D4="Food Processing",D4="Healthcare",D4="Healthcare &amp; Medical Devices",D4="Heavy Equipment",D4="Heavy Industry",D4="Industrial Gases",D4="Industrial Manufacturing",D4="Logistics",D4="Medical Devices",D4="Mining",D4="Mining &amp; Commodities Trading",D4="Oil &amp; Gas",D4="Oilfield Services",D4="Rail Transport",D4="Shipping &amp; Logistics",D4="Steel"),3,
OR(D4="Apparel &amp; Footwear",D4="Beverage",D4="Coffeehouse &amp; Retail",D4="Conglomerate",D4="Consumer Goods",D4="Convenience Retail",D4="Electronics",D4="Electronics &amp; Semiconductors",D4="Electronics Retail",D4="Fashion Retail",D4="Food &amp; Beverage",D4="Food Retail &amp; Consumer Goods",D4="Industrial &amp; Technology",D4="Industrial Automation",D4="Industrial Technology",D4="Postal &amp; Financial Services",D4="Postal Services",D4="Scientific Instruments",D4="Technology Hardware",D4="Trading Company",D4="IT Consulting"),1,
OR(D4="Cosmetics",D4="E-commerce &amp; Cloud Computing",D4="Electronics &amp; Entertainment",D4="Entertainment &amp; Media",D4="Luxury Goods",D4="Media &amp; Telecommunications",D4="Networking Technology",D4="Real Estate Services",D4="Technology &amp; Consumer Electronics",D4="Telecommunications",D4="Telecommunications &amp; Investment"),1,
OR(D4="Asset Management",D4="Banking",D4="Banking &amp; Asset Services",D4="Banking &amp; Financial Services",D4="Banking &amp; Wealth Management",D4="Cloud Software",D4="Enterprise Software",D4="Financial Services",D4="Information Technology Consulting",D4="Investment Banking",D4="Social Media &amp; Technology",D4="Software &amp; Cloud Computing",D4="Technology &amp; Consulting",D4="Technology &amp; Internet Services",D4="Technology &amp; Software"),1,
TRUE,"Unmapped"
)</f>
        <v>2</v>
      </c>
      <c r="H4" s="5">
        <f>VLOOKUP(B4,'BIS + EDBA Final'!A:K,2,FALSE)</f>
        <v>2</v>
      </c>
      <c r="I4" s="5">
        <f>VLOOKUP(B4,'BIS + EDBA Final'!A:F,6,FALSE)</f>
        <v>1</v>
      </c>
      <c r="J4" s="5">
        <f>VLOOKUP(B4,'CBG Final'!A:B,2,FALSE)</f>
        <v>3</v>
      </c>
      <c r="K4" s="9">
        <f t="shared" si="0"/>
        <v>2.4</v>
      </c>
      <c r="L4" s="5" t="s">
        <v>374</v>
      </c>
      <c r="M4" s="5" t="s">
        <v>375</v>
      </c>
      <c r="N4" s="5" t="s">
        <v>376</v>
      </c>
      <c r="O4" s="5" t="s">
        <v>377</v>
      </c>
      <c r="P4" s="5" t="s">
        <v>378</v>
      </c>
      <c r="Q4" s="5" t="s">
        <v>155</v>
      </c>
      <c r="R4" s="5" t="s">
        <v>20</v>
      </c>
      <c r="S4" s="10"/>
      <c r="T4" s="11"/>
      <c r="U4" s="11"/>
      <c r="V4" s="10"/>
      <c r="W4" s="10"/>
      <c r="X4" s="11"/>
      <c r="Y4" s="11"/>
      <c r="Z4" s="10"/>
      <c r="AA4" s="10"/>
      <c r="AB4" s="10"/>
      <c r="AC4" s="10"/>
      <c r="AD4" s="10"/>
      <c r="AE4" s="10"/>
      <c r="AF4" s="10"/>
      <c r="AG4" s="10"/>
      <c r="AH4" s="10"/>
    </row>
    <row r="5" spans="1:34">
      <c r="A5" s="5"/>
      <c r="B5" s="5" t="s">
        <v>1438</v>
      </c>
      <c r="C5" s="6" t="s">
        <v>36</v>
      </c>
      <c r="D5" s="7" t="s">
        <v>1439</v>
      </c>
      <c r="E5" s="8">
        <v>252500</v>
      </c>
      <c r="F5" s="6" cm="1">
        <f t="array" ref="F5">_xlfn.IFS(
E5&lt;=$E$245,0,
E5&lt;=$E$246,1,
E5&lt;=$E$247,2,
E5&gt;=$E$247,3)</f>
        <v>3</v>
      </c>
      <c r="G5" s="7" cm="1">
        <f t="array" ref="G5">_xlfn.IFS(
OR(D5="Aerospace",D5="Aerospace &amp; Defense",D5="Agricultural Equipment",D5="Airlines",D5="Automotive",D5="Automotive &amp; Energy",D5="Automotive Components",D5="Aviation",D5="Building Materials",D5="Chemicals",D5="Commercial Vehicles",D5="Conglomerate &amp; Defense",D5="Conglomerate &amp; Energy",D5="Construction",D5="Construction &amp; Infrastructure",D5="Construction &amp; Real Estate",D5="Construction &amp; Telecom",D5="Discount Retail",D5="Energy Management",D5="Energy Technology",D5="Engines &amp; Power Systems",D5="Environmental Services",D5="Food Distribution",D5="Food Services",D5="Grocery Retail",D5="Healthcare &amp; Pharmacy",D5="Home Improvement Retail",D5="Industrial Engineering &amp; Electronics",D5="Oilfield Services",D5="Pharmaceuticals",D5="Pharmaceuticals &amp; Chemicals",D5="Pharmaceuticals &amp; Healthcare",D5="Pharmacy Retail",D5="Postal &amp; Logistics",D5="Retail",D5="Retail &amp; Distribution",D5="Retail &amp; Grocery",D5="Retail (IKEA)",D5="Tobacco",D5="Trading &amp; Conglomerate",D5="Utilities",D5="Utilities &amp; Energy",D5="Wholesale Retail"),2,
OR(D5="Agribusiness",D5="Automotive &amp; Heavy Vehicles",D5="Chemicals",D5="Commercial Vehicles",D5="Construction",D5="Construction &amp; Infrastructure",D5="Engines &amp; Power Systems",D5="Food Processing",D5="Healthcare",D5="Healthcare &amp; Medical Devices",D5="Heavy Equipment",D5="Heavy Industry",D5="Industrial Gases",D5="Industrial Manufacturing",D5="Logistics",D5="Medical Devices",D5="Mining",D5="Mining &amp; Commodities Trading",D5="Oil &amp; Gas",D5="Oilfield Services",D5="Rail Transport",D5="Shipping &amp; Logistics",D5="Steel"),3,
OR(D5="Apparel &amp; Footwear",D5="Beverage",D5="Coffeehouse &amp; Retail",D5="Conglomerate",D5="Consumer Goods",D5="Convenience Retail",D5="Electronics",D5="Electronics &amp; Semiconductors",D5="Electronics Retail",D5="Fashion Retail",D5="Food &amp; Beverage",D5="Food Retail &amp; Consumer Goods",D5="Industrial &amp; Technology",D5="Industrial Automation",D5="Industrial Technology",D5="Postal &amp; Financial Services",D5="Postal Services",D5="Scientific Instruments",D5="Technology Hardware",D5="Trading Company",D5="IT Consulting"),1,
OR(D5="Cosmetics",D5="E-commerce &amp; Cloud Computing",D5="Electronics &amp; Entertainment",D5="Entertainment &amp; Media",D5="Luxury Goods",D5="Media &amp; Telecommunications",D5="Networking Technology",D5="Real Estate Services",D5="Technology &amp; Consumer Electronics",D5="Telecommunications",D5="Telecommunications &amp; Investment"),1,
OR(D5="Asset Management",D5="Banking",D5="Banking &amp; Asset Services",D5="Banking &amp; Financial Services",D5="Banking &amp; Wealth Management",D5="Cloud Software",D5="Enterprise Software",D5="Financial Services",D5="Information Technology Consulting",D5="Investment Banking",D5="Social Media &amp; Technology",D5="Software &amp; Cloud Computing",D5="Technology &amp; Consulting",D5="Technology &amp; Internet Services",D5="Technology &amp; Software"),1,
TRUE,"Unmapped"
)</f>
        <v>2</v>
      </c>
      <c r="H5" s="5">
        <v>2</v>
      </c>
      <c r="I5" s="5">
        <f>VLOOKUP(B5,'BIS + EDBA Final'!A:F,6,FALSE)</f>
        <v>1</v>
      </c>
      <c r="J5" s="5">
        <f>VLOOKUP(B5,'CBG Final'!A:B,2,FALSE)</f>
        <v>3</v>
      </c>
      <c r="K5" s="9">
        <f t="shared" si="0"/>
        <v>2.4</v>
      </c>
      <c r="L5" s="5" t="s">
        <v>1440</v>
      </c>
      <c r="M5" s="5" t="s">
        <v>370</v>
      </c>
      <c r="N5" s="5" t="s">
        <v>1441</v>
      </c>
      <c r="O5" s="5"/>
      <c r="P5" s="5" t="s">
        <v>1442</v>
      </c>
      <c r="Q5" s="5" t="s">
        <v>128</v>
      </c>
      <c r="R5" s="5" t="s">
        <v>20</v>
      </c>
      <c r="S5" s="10"/>
      <c r="T5" s="11"/>
      <c r="U5" s="11"/>
      <c r="V5" s="10"/>
      <c r="W5" s="10"/>
      <c r="X5" s="11"/>
      <c r="Y5" s="11"/>
      <c r="Z5" s="10"/>
      <c r="AA5" s="10"/>
      <c r="AB5" s="10"/>
      <c r="AC5" s="10"/>
      <c r="AD5" s="10"/>
      <c r="AE5" s="10"/>
      <c r="AF5" s="10"/>
      <c r="AG5" s="10"/>
      <c r="AH5" s="10"/>
    </row>
    <row r="6" spans="1:34">
      <c r="A6" s="5"/>
      <c r="B6" s="5" t="s">
        <v>470</v>
      </c>
      <c r="C6" s="6" t="s">
        <v>36</v>
      </c>
      <c r="D6" s="7" t="s">
        <v>471</v>
      </c>
      <c r="E6" s="8">
        <v>114000</v>
      </c>
      <c r="F6" s="6" cm="1">
        <f t="array" ref="F6">_xlfn.IFS(
E6&lt;=$E$245,0,
E6&lt;=$E$246,1,
E6&lt;=$E$247,2,
E6&gt;=$E$247,3)</f>
        <v>2</v>
      </c>
      <c r="G6" s="7" cm="1">
        <f t="array" ref="G6">_xlfn.IFS(
OR(D6="Aerospace",D6="Aerospace &amp; Defense",D6="Agricultural Equipment",D6="Airlines",D6="Automotive",D6="Automotive &amp; Energy",D6="Automotive Components",D6="Aviation",D6="Building Materials",D6="Chemicals",D6="Commercial Vehicles",D6="Conglomerate &amp; Defense",D6="Conglomerate &amp; Energy",D6="Construction",D6="Construction &amp; Infrastructure",D6="Construction &amp; Real Estate",D6="Construction &amp; Telecom",D6="Discount Retail",D6="Energy Management",D6="Energy Technology",D6="Engines &amp; Power Systems",D6="Environmental Services",D6="Food Distribution",D6="Food Services",D6="Grocery Retail",D6="Healthcare &amp; Pharmacy",D6="Home Improvement Retail",D6="Industrial Engineering &amp; Electronics",D6="Oilfield Services",D6="Pharmaceuticals",D6="Pharmaceuticals &amp; Chemicals",D6="Pharmaceuticals &amp; Healthcare",D6="Pharmacy Retail",D6="Postal &amp; Logistics",D6="Retail",D6="Retail &amp; Distribution",D6="Retail &amp; Grocery",D6="Retail (IKEA)",D6="Tobacco",D6="Trading &amp; Conglomerate",D6="Utilities",D6="Utilities &amp; Energy",D6="Wholesale Retail"),2,
OR(D6="Agribusiness",D6="Automotive &amp; Heavy Vehicles",D6="Chemicals",D6="Commercial Vehicles",D6="Construction",D6="Construction &amp; Infrastructure",D6="Engines &amp; Power Systems",D6="Food Processing",D6="Healthcare",D6="Healthcare &amp; Medical Devices",D6="Heavy Equipment",D6="Heavy Industry",D6="Industrial Gases",D6="Industrial Manufacturing",D6="Logistics",D6="Medical Devices",D6="Mining",D6="Mining &amp; Commodities Trading",D6="Oil &amp; Gas",D6="Oilfield Services",D6="Rail Transport",D6="Shipping &amp; Logistics",D6="Steel"),3,
OR(D6="Apparel &amp; Footwear",D6="Beverage",D6="Coffeehouse &amp; Retail",D6="Conglomerate",D6="Consumer Goods",D6="Convenience Retail",D6="Electronics",D6="Electronics &amp; Semiconductors",D6="Electronics Retail",D6="Fashion Retail",D6="Food &amp; Beverage",D6="Food Retail &amp; Consumer Goods",D6="Industrial &amp; Technology",D6="Industrial Automation",D6="Industrial Technology",D6="Postal &amp; Financial Services",D6="Postal Services",D6="Scientific Instruments",D6="Technology Hardware",D6="Trading Company",D6="IT Consulting"),1,
OR(D6="Cosmetics",D6="E-commerce &amp; Cloud Computing",D6="Electronics &amp; Entertainment",D6="Entertainment &amp; Media",D6="Luxury Goods",D6="Media &amp; Telecommunications",D6="Networking Technology",D6="Real Estate Services",D6="Technology &amp; Consumer Electronics",D6="Telecommunications",D6="Telecommunications &amp; Investment"),1,
OR(D6="Asset Management",D6="Banking",D6="Banking &amp; Asset Services",D6="Banking &amp; Financial Services",D6="Banking &amp; Wealth Management",D6="Cloud Software",D6="Enterprise Software",D6="Financial Services",D6="Information Technology Consulting",D6="Investment Banking",D6="Social Media &amp; Technology",D6="Software &amp; Cloud Computing",D6="Technology &amp; Consulting",D6="Technology &amp; Internet Services",D6="Technology &amp; Software"),1,
TRUE,"Unmapped"
)</f>
        <v>3</v>
      </c>
      <c r="H6" s="5">
        <v>2</v>
      </c>
      <c r="I6" s="5">
        <f>VLOOKUP(B6,'BIS + EDBA Final'!A:F,6,FALSE)</f>
        <v>1</v>
      </c>
      <c r="J6" s="5">
        <f>VLOOKUP(B6,'CBG Final'!A:B,2,FALSE)</f>
        <v>3</v>
      </c>
      <c r="K6" s="9">
        <f t="shared" si="0"/>
        <v>2.3000000000000003</v>
      </c>
      <c r="L6" s="5" t="s">
        <v>472</v>
      </c>
      <c r="M6" s="5" t="s">
        <v>473</v>
      </c>
      <c r="N6" s="5" t="s">
        <v>474</v>
      </c>
      <c r="O6" s="5" t="s">
        <v>475</v>
      </c>
      <c r="P6" s="5" t="s">
        <v>476</v>
      </c>
      <c r="Q6" s="5" t="s">
        <v>180</v>
      </c>
      <c r="R6" s="5" t="s">
        <v>54</v>
      </c>
      <c r="S6" s="10"/>
      <c r="T6" s="11"/>
      <c r="U6" s="11"/>
      <c r="V6" s="10"/>
      <c r="W6" s="10"/>
      <c r="X6" s="10"/>
      <c r="Y6" s="10"/>
      <c r="Z6" s="10"/>
      <c r="AA6" s="10"/>
      <c r="AB6" s="10"/>
      <c r="AC6" s="10"/>
      <c r="AD6" s="10"/>
      <c r="AE6" s="10"/>
      <c r="AF6" s="10"/>
      <c r="AG6" s="10"/>
      <c r="AH6" s="10"/>
    </row>
    <row r="7" spans="1:34">
      <c r="A7" s="5"/>
      <c r="B7" s="5" t="s">
        <v>677</v>
      </c>
      <c r="C7" s="6" t="s">
        <v>36</v>
      </c>
      <c r="D7" s="7" t="s">
        <v>678</v>
      </c>
      <c r="E7" s="8">
        <v>112900</v>
      </c>
      <c r="F7" s="6" cm="1">
        <f t="array" ref="F7">_xlfn.IFS(
E7&lt;=$E$245,0,
E7&lt;=$E$246,1,
E7&lt;=$E$247,2,
E7&gt;=$E$247,3)</f>
        <v>2</v>
      </c>
      <c r="G7" s="7" cm="1">
        <f t="array" ref="G7">_xlfn.IFS(
OR(D7="Aerospace",D7="Aerospace &amp; Defense",D7="Agricultural Equipment",D7="Airlines",D7="Automotive",D7="Automotive &amp; Energy",D7="Automotive Components",D7="Aviation",D7="Building Materials",D7="Chemicals",D7="Commercial Vehicles",D7="Conglomerate &amp; Defense",D7="Conglomerate &amp; Energy",D7="Construction",D7="Construction &amp; Infrastructure",D7="Construction &amp; Real Estate",D7="Construction &amp; Telecom",D7="Discount Retail",D7="Energy Management",D7="Energy Technology",D7="Engines &amp; Power Systems",D7="Environmental Services",D7="Food Distribution",D7="Food Services",D7="Grocery Retail",D7="Healthcare &amp; Pharmacy",D7="Home Improvement Retail",D7="Industrial Engineering &amp; Electronics",D7="Oilfield Services",D7="Pharmaceuticals",D7="Pharmaceuticals &amp; Chemicals",D7="Pharmaceuticals &amp; Healthcare",D7="Pharmacy Retail",D7="Postal &amp; Logistics",D7="Retail",D7="Retail &amp; Distribution",D7="Retail &amp; Grocery",D7="Retail (IKEA)",D7="Tobacco",D7="Trading &amp; Conglomerate",D7="Utilities",D7="Utilities &amp; Energy",D7="Wholesale Retail"),2,
OR(D7="Agribusiness",D7="Automotive &amp; Heavy Vehicles",D7="Chemicals",D7="Commercial Vehicles",D7="Construction",D7="Construction &amp; Infrastructure",D7="Engines &amp; Power Systems",D7="Food Processing",D7="Healthcare",D7="Healthcare &amp; Medical Devices",D7="Heavy Equipment",D7="Heavy Industry",D7="Industrial Gases",D7="Industrial Manufacturing",D7="Logistics",D7="Medical Devices",D7="Mining",D7="Mining &amp; Commodities Trading",D7="Oil &amp; Gas",D7="Oilfield Services",D7="Rail Transport",D7="Shipping &amp; Logistics",D7="Steel"),3,
OR(D7="Apparel &amp; Footwear",D7="Beverage",D7="Coffeehouse &amp; Retail",D7="Conglomerate",D7="Consumer Goods",D7="Convenience Retail",D7="Electronics",D7="Electronics &amp; Semiconductors",D7="Electronics Retail",D7="Fashion Retail",D7="Food &amp; Beverage",D7="Food Retail &amp; Consumer Goods",D7="Industrial &amp; Technology",D7="Industrial Automation",D7="Industrial Technology",D7="Postal &amp; Financial Services",D7="Postal Services",D7="Scientific Instruments",D7="Technology Hardware",D7="Trading Company",D7="IT Consulting"),1,
OR(D7="Cosmetics",D7="E-commerce &amp; Cloud Computing",D7="Electronics &amp; Entertainment",D7="Entertainment &amp; Media",D7="Luxury Goods",D7="Media &amp; Telecommunications",D7="Networking Technology",D7="Real Estate Services",D7="Technology &amp; Consumer Electronics",D7="Telecommunications",D7="Telecommunications &amp; Investment"),1,
OR(D7="Asset Management",D7="Banking",D7="Banking &amp; Asset Services",D7="Banking &amp; Financial Services",D7="Banking &amp; Wealth Management",D7="Cloud Software",D7="Enterprise Software",D7="Financial Services",D7="Information Technology Consulting",D7="Investment Banking",D7="Social Media &amp; Technology",D7="Software &amp; Cloud Computing",D7="Technology &amp; Consulting",D7="Technology &amp; Internet Services",D7="Technology &amp; Software"),1,
TRUE,"Unmapped"
)</f>
        <v>3</v>
      </c>
      <c r="H7" s="5">
        <v>2</v>
      </c>
      <c r="I7" s="5">
        <f>VLOOKUP(B7,'BIS + EDBA Final'!A:F,6,FALSE)</f>
        <v>1</v>
      </c>
      <c r="J7" s="5">
        <f>VLOOKUP(B7,'CBG Final'!A:B,2,FALSE)</f>
        <v>3</v>
      </c>
      <c r="K7" s="9">
        <f t="shared" si="0"/>
        <v>2.3000000000000003</v>
      </c>
      <c r="L7" s="5" t="s">
        <v>679</v>
      </c>
      <c r="M7" s="5" t="s">
        <v>550</v>
      </c>
      <c r="N7" s="5" t="s">
        <v>680</v>
      </c>
      <c r="O7" s="5" t="s">
        <v>681</v>
      </c>
      <c r="P7" s="5" t="s">
        <v>682</v>
      </c>
      <c r="Q7" s="5" t="s">
        <v>683</v>
      </c>
      <c r="R7" s="5" t="s">
        <v>20</v>
      </c>
      <c r="S7" s="10"/>
      <c r="T7" s="11"/>
      <c r="U7" s="11"/>
      <c r="V7" s="10"/>
      <c r="W7" s="10"/>
      <c r="X7" s="11"/>
      <c r="Y7" s="11"/>
      <c r="Z7" s="10"/>
      <c r="AA7" s="10"/>
      <c r="AB7" s="10"/>
      <c r="AC7" s="10"/>
      <c r="AD7" s="10"/>
      <c r="AE7" s="10"/>
      <c r="AF7" s="10"/>
      <c r="AG7" s="10"/>
      <c r="AH7" s="10"/>
    </row>
    <row r="8" spans="1:34">
      <c r="A8" s="5"/>
      <c r="B8" s="5" t="s">
        <v>366</v>
      </c>
      <c r="C8" s="6" t="s">
        <v>71</v>
      </c>
      <c r="D8" s="7" t="s">
        <v>367</v>
      </c>
      <c r="E8" s="8">
        <v>327000</v>
      </c>
      <c r="F8" s="6" cm="1">
        <f t="array" ref="F8">_xlfn.IFS(
E8&lt;=$E$245,0,
E8&lt;=$E$246,1,
E8&lt;=$E$247,2,
E8&gt;=$E$247,3)</f>
        <v>3</v>
      </c>
      <c r="G8" s="7" cm="1">
        <f t="array" ref="G8">_xlfn.IFS(
OR(D8="Aerospace",D8="Aerospace &amp; Defense",D8="Agricultural Equipment",D8="Airlines",D8="Automotive",D8="Automotive &amp; Energy",D8="Automotive Components",D8="Aviation",D8="Building Materials",D8="Chemicals",D8="Commercial Vehicles",D8="Conglomerate &amp; Defense",D8="Conglomerate &amp; Energy",D8="Construction",D8="Construction &amp; Infrastructure",D8="Construction &amp; Real Estate",D8="Construction &amp; Telecom",D8="Discount Retail",D8="Energy Management",D8="Energy Technology",D8="Engines &amp; Power Systems",D8="Environmental Services",D8="Food Distribution",D8="Food Services",D8="Grocery Retail",D8="Healthcare &amp; Pharmacy",D8="Home Improvement Retail",D8="Industrial Engineering &amp; Electronics",D8="Oilfield Services",D8="Pharmaceuticals",D8="Pharmaceuticals &amp; Chemicals",D8="Pharmaceuticals &amp; Healthcare",D8="Pharmacy Retail",D8="Postal &amp; Logistics",D8="Retail",D8="Retail &amp; Distribution",D8="Retail &amp; Grocery",D8="Retail (IKEA)",D8="Tobacco",D8="Trading &amp; Conglomerate",D8="Utilities",D8="Utilities &amp; Energy",D8="Wholesale Retail"),2,
OR(D8="Agribusiness",D8="Automotive &amp; Heavy Vehicles",D8="Chemicals",D8="Commercial Vehicles",D8="Construction",D8="Construction &amp; Infrastructure",D8="Engines &amp; Power Systems",D8="Food Processing",D8="Healthcare",D8="Healthcare &amp; Medical Devices",D8="Heavy Equipment",D8="Heavy Industry",D8="Industrial Gases",D8="Industrial Manufacturing",D8="Logistics",D8="Medical Devices",D8="Mining",D8="Mining &amp; Commodities Trading",D8="Oil &amp; Gas",D8="Oilfield Services",D8="Rail Transport",D8="Shipping &amp; Logistics",D8="Steel"),3,
OR(D8="Apparel &amp; Footwear",D8="Beverage",D8="Coffeehouse &amp; Retail",D8="Conglomerate",D8="Consumer Goods",D8="Convenience Retail",D8="Electronics",D8="Electronics &amp; Semiconductors",D8="Electronics Retail",D8="Fashion Retail",D8="Food &amp; Beverage",D8="Food Retail &amp; Consumer Goods",D8="Industrial &amp; Technology",D8="Industrial Automation",D8="Industrial Technology",D8="Postal &amp; Financial Services",D8="Postal Services",D8="Scientific Instruments",D8="Technology Hardware",D8="Trading Company",D8="IT Consulting"),1,
OR(D8="Cosmetics",D8="E-commerce &amp; Cloud Computing",D8="Electronics &amp; Entertainment",D8="Entertainment &amp; Media",D8="Luxury Goods",D8="Media &amp; Telecommunications",D8="Networking Technology",D8="Real Estate Services",D8="Technology &amp; Consumer Electronics",D8="Telecommunications",D8="Telecommunications &amp; Investment"),1,
OR(D8="Asset Management",D8="Banking",D8="Banking &amp; Asset Services",D8="Banking &amp; Financial Services",D8="Banking &amp; Wealth Management",D8="Cloud Software",D8="Enterprise Software",D8="Financial Services",D8="Information Technology Consulting",D8="Investment Banking",D8="Social Media &amp; Technology",D8="Software &amp; Cloud Computing",D8="Technology &amp; Consulting",D8="Technology &amp; Internet Services",D8="Technology &amp; Software"),1,
TRUE,"Unmapped"
)</f>
        <v>3</v>
      </c>
      <c r="H8" s="5">
        <f>VLOOKUP(B8,'BIS + EDBA Final'!A:K,2,FALSE)</f>
        <v>1</v>
      </c>
      <c r="I8" s="5">
        <f>VLOOKUP(B8,'BIS + EDBA Final'!A:F,6,FALSE)</f>
        <v>0</v>
      </c>
      <c r="J8" s="5">
        <f>VLOOKUP(B8,'CBG Final'!A:B,2,FALSE)</f>
        <v>3</v>
      </c>
      <c r="K8" s="9">
        <f t="shared" si="0"/>
        <v>2.2999999999999998</v>
      </c>
      <c r="L8" s="5" t="s">
        <v>368</v>
      </c>
      <c r="M8" s="5" t="s">
        <v>189</v>
      </c>
      <c r="N8" s="5" t="s">
        <v>369</v>
      </c>
      <c r="O8" s="5" t="s">
        <v>370</v>
      </c>
      <c r="P8" s="5" t="s">
        <v>371</v>
      </c>
      <c r="Q8" s="5" t="s">
        <v>50</v>
      </c>
      <c r="R8" s="5" t="s">
        <v>20</v>
      </c>
      <c r="S8" s="10"/>
      <c r="T8" s="11"/>
      <c r="U8" s="11"/>
      <c r="V8" s="10"/>
      <c r="W8" s="10"/>
      <c r="X8" s="11"/>
      <c r="Y8" s="11"/>
      <c r="Z8" s="10"/>
      <c r="AA8" s="10"/>
      <c r="AB8" s="10"/>
      <c r="AC8" s="10"/>
      <c r="AD8" s="10"/>
      <c r="AE8" s="10"/>
      <c r="AF8" s="10"/>
      <c r="AG8" s="10"/>
      <c r="AH8" s="10"/>
    </row>
    <row r="9" spans="1:34">
      <c r="A9" s="5"/>
      <c r="B9" s="5" t="s">
        <v>846</v>
      </c>
      <c r="C9" s="6" t="s">
        <v>71</v>
      </c>
      <c r="D9" s="7" t="s">
        <v>389</v>
      </c>
      <c r="E9" s="8">
        <v>559051</v>
      </c>
      <c r="F9" s="6" cm="1">
        <f t="array" ref="F9">_xlfn.IFS(
E9&lt;=$E$245,0,
E9&lt;=$E$246,1,
E9&lt;=$E$247,2,
E9&gt;=$E$247,3)</f>
        <v>3</v>
      </c>
      <c r="G9" s="7" cm="1">
        <f t="array" ref="G9">_xlfn.IFS(
OR(D9="Aerospace",D9="Aerospace &amp; Defense",D9="Agricultural Equipment",D9="Airlines",D9="Automotive",D9="Automotive &amp; Energy",D9="Automotive Components",D9="Aviation",D9="Building Materials",D9="Chemicals",D9="Commercial Vehicles",D9="Conglomerate &amp; Defense",D9="Conglomerate &amp; Energy",D9="Construction",D9="Construction &amp; Infrastructure",D9="Construction &amp; Real Estate",D9="Construction &amp; Telecom",D9="Discount Retail",D9="Energy Management",D9="Energy Technology",D9="Engines &amp; Power Systems",D9="Environmental Services",D9="Food Distribution",D9="Food Services",D9="Grocery Retail",D9="Healthcare &amp; Pharmacy",D9="Home Improvement Retail",D9="Industrial Engineering &amp; Electronics",D9="Oilfield Services",D9="Pharmaceuticals",D9="Pharmaceuticals &amp; Chemicals",D9="Pharmaceuticals &amp; Healthcare",D9="Pharmacy Retail",D9="Postal &amp; Logistics",D9="Retail",D9="Retail &amp; Distribution",D9="Retail &amp; Grocery",D9="Retail (IKEA)",D9="Tobacco",D9="Trading &amp; Conglomerate",D9="Utilities",D9="Utilities &amp; Energy",D9="Wholesale Retail"),2,
OR(D9="Agribusiness",D9="Automotive &amp; Heavy Vehicles",D9="Chemicals",D9="Commercial Vehicles",D9="Construction",D9="Construction &amp; Infrastructure",D9="Engines &amp; Power Systems",D9="Food Processing",D9="Healthcare",D9="Healthcare &amp; Medical Devices",D9="Heavy Equipment",D9="Heavy Industry",D9="Industrial Gases",D9="Industrial Manufacturing",D9="Logistics",D9="Medical Devices",D9="Mining",D9="Mining &amp; Commodities Trading",D9="Oil &amp; Gas",D9="Oilfield Services",D9="Rail Transport",D9="Shipping &amp; Logistics",D9="Steel"),3,
OR(D9="Apparel &amp; Footwear",D9="Beverage",D9="Coffeehouse &amp; Retail",D9="Conglomerate",D9="Consumer Goods",D9="Convenience Retail",D9="Electronics",D9="Electronics &amp; Semiconductors",D9="Electronics Retail",D9="Fashion Retail",D9="Food &amp; Beverage",D9="Food Retail &amp; Consumer Goods",D9="Industrial &amp; Technology",D9="Industrial Automation",D9="Industrial Technology",D9="Postal &amp; Financial Services",D9="Postal Services",D9="Scientific Instruments",D9="Technology Hardware",D9="Trading Company",D9="IT Consulting"),1,
OR(D9="Cosmetics",D9="E-commerce &amp; Cloud Computing",D9="Electronics &amp; Entertainment",D9="Entertainment &amp; Media",D9="Luxury Goods",D9="Media &amp; Telecommunications",D9="Networking Technology",D9="Real Estate Services",D9="Technology &amp; Consumer Electronics",D9="Telecommunications",D9="Telecommunications &amp; Investment"),1,
OR(D9="Asset Management",D9="Banking",D9="Banking &amp; Asset Services",D9="Banking &amp; Financial Services",D9="Banking &amp; Wealth Management",D9="Cloud Software",D9="Enterprise Software",D9="Financial Services",D9="Information Technology Consulting",D9="Investment Banking",D9="Social Media &amp; Technology",D9="Software &amp; Cloud Computing",D9="Technology &amp; Consulting",D9="Technology &amp; Internet Services",D9="Technology &amp; Software"),1,
TRUE,"Unmapped"
)</f>
        <v>3</v>
      </c>
      <c r="H9" s="5">
        <f>VLOOKUP(B9,'BIS + EDBA Final'!A:K,2,FALSE)</f>
        <v>2</v>
      </c>
      <c r="I9" s="5">
        <f>VLOOKUP(B9,'BIS + EDBA Final'!A:F,6,FALSE)</f>
        <v>0</v>
      </c>
      <c r="J9" s="5">
        <f>VLOOKUP(B9,'CBG Final'!A:B,2,FALSE)</f>
        <v>2</v>
      </c>
      <c r="K9" s="9">
        <f t="shared" si="0"/>
        <v>2.2999999999999998</v>
      </c>
      <c r="L9" s="5" t="s">
        <v>847</v>
      </c>
      <c r="M9" s="5" t="s">
        <v>189</v>
      </c>
      <c r="N9" s="5" t="s">
        <v>848</v>
      </c>
      <c r="O9" s="5" t="s">
        <v>849</v>
      </c>
      <c r="P9" s="5" t="s">
        <v>850</v>
      </c>
      <c r="Q9" s="5" t="s">
        <v>261</v>
      </c>
      <c r="R9" s="5" t="s">
        <v>20</v>
      </c>
      <c r="S9" s="10"/>
      <c r="T9" s="11"/>
      <c r="U9" s="11"/>
      <c r="V9" s="10"/>
      <c r="W9" s="10"/>
      <c r="X9" s="11"/>
      <c r="Y9" s="11"/>
      <c r="Z9" s="10"/>
      <c r="AA9" s="10"/>
      <c r="AB9" s="10"/>
      <c r="AC9" s="10"/>
      <c r="AD9" s="10"/>
      <c r="AE9" s="10"/>
      <c r="AF9" s="10"/>
      <c r="AG9" s="10"/>
      <c r="AH9" s="10"/>
    </row>
    <row r="10" spans="1:34">
      <c r="A10" s="5"/>
      <c r="B10" s="5" t="s">
        <v>827</v>
      </c>
      <c r="C10" s="6" t="s">
        <v>71</v>
      </c>
      <c r="D10" s="7" t="s">
        <v>828</v>
      </c>
      <c r="E10" s="8">
        <v>296662</v>
      </c>
      <c r="F10" s="6" cm="1">
        <f t="array" ref="F10">_xlfn.IFS(
E10&lt;=$E$245,0,
E10&lt;=$E$246,1,
E10&lt;=$E$247,2,
E10&gt;=$E$247,3)</f>
        <v>3</v>
      </c>
      <c r="G10" s="7" cm="1">
        <f t="array" ref="G10">_xlfn.IFS(
OR(D10="Aerospace",D10="Aerospace &amp; Defense",D10="Agricultural Equipment",D10="Airlines",D10="Automotive",D10="Automotive &amp; Energy",D10="Automotive Components",D10="Aviation",D10="Building Materials",D10="Chemicals",D10="Commercial Vehicles",D10="Conglomerate &amp; Defense",D10="Conglomerate &amp; Energy",D10="Construction",D10="Construction &amp; Infrastructure",D10="Construction &amp; Real Estate",D10="Construction &amp; Telecom",D10="Discount Retail",D10="Energy Management",D10="Energy Technology",D10="Engines &amp; Power Systems",D10="Environmental Services",D10="Food Distribution",D10="Food Services",D10="Grocery Retail",D10="Healthcare &amp; Pharmacy",D10="Home Improvement Retail",D10="Industrial Engineering &amp; Electronics",D10="Oilfield Services",D10="Pharmaceuticals",D10="Pharmaceuticals &amp; Chemicals",D10="Pharmaceuticals &amp; Healthcare",D10="Pharmacy Retail",D10="Postal &amp; Logistics",D10="Retail",D10="Retail &amp; Distribution",D10="Retail &amp; Grocery",D10="Retail (IKEA)",D10="Tobacco",D10="Trading &amp; Conglomerate",D10="Utilities",D10="Utilities &amp; Energy",D10="Wholesale Retail"),2,
OR(D10="Agribusiness",D10="Automotive &amp; Heavy Vehicles",D10="Chemicals",D10="Commercial Vehicles",D10="Construction",D10="Construction &amp; Infrastructure",D10="Engines &amp; Power Systems",D10="Food Processing",D10="Healthcare",D10="Healthcare &amp; Medical Devices",D10="Heavy Equipment",D10="Heavy Industry",D10="Industrial Gases",D10="Industrial Manufacturing",D10="Logistics",D10="Medical Devices",D10="Mining",D10="Mining &amp; Commodities Trading",D10="Oil &amp; Gas",D10="Oilfield Services",D10="Rail Transport",D10="Shipping &amp; Logistics",D10="Steel"),3,
OR(D10="Apparel &amp; Footwear",D10="Beverage",D10="Coffeehouse &amp; Retail",D10="Conglomerate",D10="Consumer Goods",D10="Convenience Retail",D10="Electronics",D10="Electronics &amp; Semiconductors",D10="Electronics Retail",D10="Fashion Retail",D10="Food &amp; Beverage",D10="Food Retail &amp; Consumer Goods",D10="Industrial &amp; Technology",D10="Industrial Automation",D10="Industrial Technology",D10="Postal &amp; Financial Services",D10="Postal Services",D10="Scientific Instruments",D10="Technology Hardware",D10="Trading Company",D10="IT Consulting"),1,
OR(D10="Cosmetics",D10="E-commerce &amp; Cloud Computing",D10="Electronics &amp; Entertainment",D10="Entertainment &amp; Media",D10="Luxury Goods",D10="Media &amp; Telecommunications",D10="Networking Technology",D10="Real Estate Services",D10="Technology &amp; Consumer Electronics",D10="Telecommunications",D10="Telecommunications &amp; Investment"),1,
OR(D10="Asset Management",D10="Banking",D10="Banking &amp; Asset Services",D10="Banking &amp; Financial Services",D10="Banking &amp; Wealth Management",D10="Cloud Software",D10="Enterprise Software",D10="Financial Services",D10="Information Technology Consulting",D10="Investment Banking",D10="Social Media &amp; Technology",D10="Software &amp; Cloud Computing",D10="Technology &amp; Consulting",D10="Technology &amp; Internet Services",D10="Technology &amp; Software"),1,
TRUE,"Unmapped"
)</f>
        <v>3</v>
      </c>
      <c r="H10" s="5">
        <f>VLOOKUP(B10,'BIS + EDBA Final'!A:K,2,FALSE)</f>
        <v>2</v>
      </c>
      <c r="I10" s="5">
        <f>VLOOKUP(B10,'BIS + EDBA Final'!A:F,6,FALSE)</f>
        <v>0</v>
      </c>
      <c r="J10" s="5">
        <f>VLOOKUP(B10,'CBG Final'!A:B,2,FALSE)</f>
        <v>2</v>
      </c>
      <c r="K10" s="9">
        <f t="shared" si="0"/>
        <v>2.2999999999999998</v>
      </c>
      <c r="L10" s="5" t="s">
        <v>829</v>
      </c>
      <c r="M10" s="5" t="s">
        <v>340</v>
      </c>
      <c r="N10" s="5" t="s">
        <v>830</v>
      </c>
      <c r="O10" s="5"/>
      <c r="P10" s="5" t="s">
        <v>831</v>
      </c>
      <c r="Q10" s="5" t="s">
        <v>832</v>
      </c>
      <c r="R10" s="5" t="s">
        <v>20</v>
      </c>
      <c r="S10" s="10"/>
      <c r="T10" s="11"/>
      <c r="U10" s="11"/>
      <c r="V10" s="10"/>
      <c r="W10" s="10"/>
      <c r="X10" s="10"/>
      <c r="Y10" s="10"/>
      <c r="Z10" s="10"/>
      <c r="AA10" s="10"/>
      <c r="AB10" s="10"/>
      <c r="AC10" s="10"/>
      <c r="AD10" s="10"/>
      <c r="AE10" s="10"/>
      <c r="AF10" s="10"/>
      <c r="AG10" s="10"/>
      <c r="AH10" s="10"/>
    </row>
    <row r="11" spans="1:34">
      <c r="A11" s="5"/>
      <c r="B11" s="5" t="s">
        <v>497</v>
      </c>
      <c r="C11" s="6" t="s">
        <v>122</v>
      </c>
      <c r="D11" s="7" t="s">
        <v>498</v>
      </c>
      <c r="E11" s="8">
        <v>774303</v>
      </c>
      <c r="F11" s="6" cm="1">
        <f t="array" ref="F11">_xlfn.IFS(
E11&lt;=$E$245,0,
E11&lt;=$E$246,1,
E11&lt;=$E$247,2,
E11&gt;=$E$247,3)</f>
        <v>3</v>
      </c>
      <c r="G11" s="7" cm="1">
        <f t="array" ref="G11">_xlfn.IFS(
OR(D11="Aerospace",D11="Aerospace &amp; Defense",D11="Agricultural Equipment",D11="Airlines",D11="Automotive",D11="Automotive &amp; Energy",D11="Automotive Components",D11="Aviation",D11="Building Materials",D11="Chemicals",D11="Commercial Vehicles",D11="Conglomerate &amp; Defense",D11="Conglomerate &amp; Energy",D11="Construction",D11="Construction &amp; Infrastructure",D11="Construction &amp; Real Estate",D11="Construction &amp; Telecom",D11="Discount Retail",D11="Energy Management",D11="Energy Technology",D11="Engines &amp; Power Systems",D11="Environmental Services",D11="Food Distribution",D11="Food Services",D11="Grocery Retail",D11="Healthcare &amp; Pharmacy",D11="Home Improvement Retail",D11="Industrial Engineering &amp; Electronics",D11="Oilfield Services",D11="Pharmaceuticals",D11="Pharmaceuticals &amp; Chemicals",D11="Pharmaceuticals &amp; Healthcare",D11="Pharmacy Retail",D11="Postal &amp; Logistics",D11="Retail",D11="Retail &amp; Distribution",D11="Retail &amp; Grocery",D11="Retail (IKEA)",D11="Tobacco",D11="Trading &amp; Conglomerate",D11="Utilities",D11="Utilities &amp; Energy",D11="Wholesale Retail"),2,
OR(D11="Agribusiness",D11="Automotive &amp; Heavy Vehicles",D11="Chemicals",D11="Commercial Vehicles",D11="Construction",D11="Construction &amp; Infrastructure",D11="Engines &amp; Power Systems",D11="Food Processing",D11="Healthcare",D11="Healthcare &amp; Medical Devices",D11="Heavy Equipment",D11="Heavy Industry",D11="Industrial Gases",D11="Industrial Manufacturing",D11="Logistics",D11="Medical Devices",D11="Mining",D11="Mining &amp; Commodities Trading",D11="Oil &amp; Gas",D11="Oilfield Services",D11="Rail Transport",D11="Shipping &amp; Logistics",D11="Steel"),3,
OR(D11="Apparel &amp; Footwear",D11="Beverage",D11="Coffeehouse &amp; Retail",D11="Conglomerate",D11="Consumer Goods",D11="Convenience Retail",D11="Electronics",D11="Electronics &amp; Semiconductors",D11="Electronics Retail",D11="Fashion Retail",D11="Food &amp; Beverage",D11="Food Retail &amp; Consumer Goods",D11="Industrial &amp; Technology",D11="Industrial Automation",D11="Industrial Technology",D11="Postal &amp; Financial Services",D11="Postal Services",D11="Scientific Instruments",D11="Technology Hardware",D11="Trading Company",D11="IT Consulting"),1,
OR(D11="Cosmetics",D11="E-commerce &amp; Cloud Computing",D11="Electronics &amp; Entertainment",D11="Entertainment &amp; Media",D11="Luxury Goods",D11="Media &amp; Telecommunications",D11="Networking Technology",D11="Real Estate Services",D11="Technology &amp; Consumer Electronics",D11="Telecommunications",D11="Telecommunications &amp; Investment"),1,
OR(D11="Asset Management",D11="Banking",D11="Banking &amp; Asset Services",D11="Banking &amp; Financial Services",D11="Banking &amp; Wealth Management",D11="Cloud Software",D11="Enterprise Software",D11="Financial Services",D11="Information Technology Consulting",D11="Investment Banking",D11="Social Media &amp; Technology",D11="Software &amp; Cloud Computing",D11="Technology &amp; Consulting",D11="Technology &amp; Internet Services",D11="Technology &amp; Software"),1,
TRUE,"Unmapped"
)</f>
        <v>1</v>
      </c>
      <c r="H11" s="5">
        <v>3</v>
      </c>
      <c r="I11" s="5">
        <f>VLOOKUP(B11,'BIS + EDBA Final'!A:F,6,FALSE)</f>
        <v>0</v>
      </c>
      <c r="J11" s="5">
        <f>VLOOKUP(B11,'CBG Final'!A:B,2,FALSE)</f>
        <v>3</v>
      </c>
      <c r="K11" s="9">
        <f t="shared" si="0"/>
        <v>2.2999999999999998</v>
      </c>
      <c r="L11" s="5" t="s">
        <v>499</v>
      </c>
      <c r="M11" s="5" t="s">
        <v>456</v>
      </c>
      <c r="N11" s="5" t="s">
        <v>500</v>
      </c>
      <c r="O11" s="5" t="s">
        <v>501</v>
      </c>
      <c r="P11" s="5" t="s">
        <v>502</v>
      </c>
      <c r="Q11" s="5" t="s">
        <v>33</v>
      </c>
      <c r="R11" s="5" t="s">
        <v>47</v>
      </c>
      <c r="S11" s="10"/>
      <c r="T11" s="11"/>
      <c r="U11" s="11"/>
      <c r="V11" s="10"/>
      <c r="W11" s="10"/>
      <c r="X11" s="11"/>
      <c r="Y11" s="11"/>
      <c r="Z11" s="10"/>
      <c r="AA11" s="10"/>
      <c r="AB11" s="10"/>
      <c r="AC11" s="10"/>
      <c r="AD11" s="10"/>
      <c r="AE11" s="10"/>
      <c r="AF11" s="10"/>
      <c r="AG11" s="10"/>
      <c r="AH11" s="10"/>
    </row>
    <row r="12" spans="1:34">
      <c r="A12" s="5"/>
      <c r="B12" s="5" t="s">
        <v>59</v>
      </c>
      <c r="C12" s="6" t="s">
        <v>36</v>
      </c>
      <c r="D12" s="7" t="s">
        <v>60</v>
      </c>
      <c r="E12" s="8">
        <v>259500</v>
      </c>
      <c r="F12" s="6" cm="1">
        <f t="array" ref="F12">_xlfn.IFS(
E12&lt;=$E$245,0,
E12&lt;=$E$246,1,
E12&lt;=$E$247,2,
E12&gt;=$E$247,3)</f>
        <v>3</v>
      </c>
      <c r="G12" s="7" cm="1">
        <f t="array" ref="G12">_xlfn.IFS(
OR(D12="Aerospace",D12="Aerospace &amp; Defense",D12="Agricultural Equipment",D12="Airlines",D12="Automotive",D12="Automotive &amp; Energy",D12="Automotive Components",D12="Aviation",D12="Building Materials",D12="Chemicals",D12="Commercial Vehicles",D12="Conglomerate &amp; Defense",D12="Conglomerate &amp; Energy",D12="Construction",D12="Construction &amp; Infrastructure",D12="Construction &amp; Real Estate",D12="Construction &amp; Telecom",D12="Discount Retail",D12="Energy Management",D12="Energy Technology",D12="Engines &amp; Power Systems",D12="Environmental Services",D12="Food Distribution",D12="Food Services",D12="Grocery Retail",D12="Healthcare &amp; Pharmacy",D12="Home Improvement Retail",D12="Industrial Engineering &amp; Electronics",D12="Oilfield Services",D12="Pharmaceuticals",D12="Pharmaceuticals &amp; Chemicals",D12="Pharmaceuticals &amp; Healthcare",D12="Pharmacy Retail",D12="Postal &amp; Logistics",D12="Retail",D12="Retail &amp; Distribution",D12="Retail &amp; Grocery",D12="Retail (IKEA)",D12="Tobacco",D12="Trading &amp; Conglomerate",D12="Utilities",D12="Utilities &amp; Energy",D12="Wholesale Retail"),2,
OR(D12="Agribusiness",D12="Automotive &amp; Heavy Vehicles",D12="Chemicals",D12="Commercial Vehicles",D12="Construction",D12="Construction &amp; Infrastructure",D12="Engines &amp; Power Systems",D12="Food Processing",D12="Healthcare",D12="Healthcare &amp; Medical Devices",D12="Heavy Equipment",D12="Heavy Industry",D12="Industrial Gases",D12="Industrial Manufacturing",D12="Logistics",D12="Medical Devices",D12="Mining",D12="Mining &amp; Commodities Trading",D12="Oil &amp; Gas",D12="Oilfield Services",D12="Rail Transport",D12="Shipping &amp; Logistics",D12="Steel"),3,
OR(D12="Apparel &amp; Footwear",D12="Beverage",D12="Coffeehouse &amp; Retail",D12="Conglomerate",D12="Consumer Goods",D12="Convenience Retail",D12="Electronics",D12="Electronics &amp; Semiconductors",D12="Electronics Retail",D12="Fashion Retail",D12="Food &amp; Beverage",D12="Food Retail &amp; Consumer Goods",D12="Industrial &amp; Technology",D12="Industrial Automation",D12="Industrial Technology",D12="Postal &amp; Financial Services",D12="Postal Services",D12="Scientific Instruments",D12="Technology Hardware",D12="Trading Company",D12="IT Consulting"),1,
OR(D12="Cosmetics",D12="E-commerce &amp; Cloud Computing",D12="Electronics &amp; Entertainment",D12="Entertainment &amp; Media",D12="Luxury Goods",D12="Media &amp; Telecommunications",D12="Networking Technology",D12="Real Estate Services",D12="Technology &amp; Consumer Electronics",D12="Telecommunications",D12="Telecommunications &amp; Investment"),1,
OR(D12="Asset Management",D12="Banking",D12="Banking &amp; Asset Services",D12="Banking &amp; Financial Services",D12="Banking &amp; Wealth Management",D12="Cloud Software",D12="Enterprise Software",D12="Financial Services",D12="Information Technology Consulting",D12="Investment Banking",D12="Social Media &amp; Technology",D12="Software &amp; Cloud Computing",D12="Technology &amp; Consulting",D12="Technology &amp; Internet Services",D12="Technology &amp; Software"),1,
TRUE,"Unmapped"
)</f>
        <v>2</v>
      </c>
      <c r="H12" s="5">
        <v>2</v>
      </c>
      <c r="I12" s="5">
        <f>VLOOKUP(B12,'BIS + EDBA Final'!A:F,6,FALSE)</f>
        <v>0</v>
      </c>
      <c r="J12" s="5">
        <f>VLOOKUP(B12,'CBG Final'!A:B,2,FALSE)</f>
        <v>3</v>
      </c>
      <c r="K12" s="9">
        <f t="shared" si="0"/>
        <v>2.2999999999999998</v>
      </c>
      <c r="L12" s="5" t="s">
        <v>789</v>
      </c>
      <c r="M12" s="5" t="s">
        <v>405</v>
      </c>
      <c r="N12" s="5" t="s">
        <v>790</v>
      </c>
      <c r="O12" s="5" t="s">
        <v>791</v>
      </c>
      <c r="P12" s="5" t="s">
        <v>792</v>
      </c>
      <c r="Q12" s="5" t="s">
        <v>50</v>
      </c>
      <c r="R12" s="5" t="s">
        <v>145</v>
      </c>
      <c r="S12" s="10"/>
      <c r="T12" s="11"/>
      <c r="U12" s="11"/>
      <c r="V12" s="10"/>
      <c r="W12" s="10"/>
      <c r="X12" s="11"/>
      <c r="Y12" s="11"/>
      <c r="Z12" s="10"/>
      <c r="AA12" s="10"/>
      <c r="AB12" s="10"/>
      <c r="AC12" s="10"/>
      <c r="AD12" s="10"/>
      <c r="AE12" s="10"/>
      <c r="AF12" s="10"/>
      <c r="AG12" s="10"/>
      <c r="AH12" s="10"/>
    </row>
    <row r="13" spans="1:34">
      <c r="A13" s="5"/>
      <c r="B13" s="5" t="s">
        <v>11</v>
      </c>
      <c r="C13" s="6" t="s">
        <v>12</v>
      </c>
      <c r="D13" s="7" t="s">
        <v>13</v>
      </c>
      <c r="E13" s="8">
        <v>277000</v>
      </c>
      <c r="F13" s="6" cm="1">
        <f t="array" ref="F13">_xlfn.IFS(
E13&lt;=$E$245,0,
E13&lt;=$E$246,1,
E13&lt;=$E$247,2,
E13&gt;=$E$247,3)</f>
        <v>3</v>
      </c>
      <c r="G13" s="7" cm="1">
        <f t="array" ref="G13">_xlfn.IFS(
OR(D13="Aerospace",D13="Aerospace &amp; Defense",D13="Agricultural Equipment",D13="Airlines",D13="Automotive",D13="Automotive &amp; Energy",D13="Automotive Components",D13="Aviation",D13="Building Materials",D13="Chemicals",D13="Commercial Vehicles",D13="Conglomerate &amp; Defense",D13="Conglomerate &amp; Energy",D13="Construction",D13="Construction &amp; Infrastructure",D13="Construction &amp; Real Estate",D13="Construction &amp; Telecom",D13="Discount Retail",D13="Energy Management",D13="Energy Technology",D13="Engines &amp; Power Systems",D13="Environmental Services",D13="Food Distribution",D13="Food Services",D13="Grocery Retail",D13="Healthcare &amp; Pharmacy",D13="Home Improvement Retail",D13="Industrial Engineering &amp; Electronics",D13="Oilfield Services",D13="Pharmaceuticals",D13="Pharmaceuticals &amp; Chemicals",D13="Pharmaceuticals &amp; Healthcare",D13="Pharmacy Retail",D13="Postal &amp; Logistics",D13="Retail",D13="Retail &amp; Distribution",D13="Retail &amp; Grocery",D13="Retail (IKEA)",D13="Tobacco",D13="Trading &amp; Conglomerate",D13="Utilities",D13="Utilities &amp; Energy",D13="Wholesale Retail"),2,
OR(D13="Agribusiness",D13="Automotive &amp; Heavy Vehicles",D13="Chemicals",D13="Commercial Vehicles",D13="Construction",D13="Construction &amp; Infrastructure",D13="Engines &amp; Power Systems",D13="Food Processing",D13="Healthcare",D13="Healthcare &amp; Medical Devices",D13="Heavy Equipment",D13="Heavy Industry",D13="Industrial Gases",D13="Industrial Manufacturing",D13="Logistics",D13="Medical Devices",D13="Mining",D13="Mining &amp; Commodities Trading",D13="Oil &amp; Gas",D13="Oilfield Services",D13="Rail Transport",D13="Shipping &amp; Logistics",D13="Steel"),3,
OR(D13="Apparel &amp; Footwear",D13="Beverage",D13="Coffeehouse &amp; Retail",D13="Conglomerate",D13="Consumer Goods",D13="Convenience Retail",D13="Electronics",D13="Electronics &amp; Semiconductors",D13="Electronics Retail",D13="Fashion Retail",D13="Food &amp; Beverage",D13="Food Retail &amp; Consumer Goods",D13="Industrial &amp; Technology",D13="Industrial Automation",D13="Industrial Technology",D13="Postal &amp; Financial Services",D13="Postal Services",D13="Scientific Instruments",D13="Technology Hardware",D13="Trading Company",D13="IT Consulting"),1,
OR(D13="Cosmetics",D13="E-commerce &amp; Cloud Computing",D13="Electronics &amp; Entertainment",D13="Entertainment &amp; Media",D13="Luxury Goods",D13="Media &amp; Telecommunications",D13="Networking Technology",D13="Real Estate Services",D13="Technology &amp; Consumer Electronics",D13="Telecommunications",D13="Telecommunications &amp; Investment"),1,
OR(D13="Asset Management",D13="Banking",D13="Banking &amp; Asset Services",D13="Banking &amp; Financial Services",D13="Banking &amp; Wealth Management",D13="Cloud Software",D13="Enterprise Software",D13="Financial Services",D13="Information Technology Consulting",D13="Investment Banking",D13="Social Media &amp; Technology",D13="Software &amp; Cloud Computing",D13="Technology &amp; Consulting",D13="Technology &amp; Internet Services",D13="Technology &amp; Software"),1,
TRUE,"Unmapped"
)</f>
        <v>1</v>
      </c>
      <c r="H13" s="5">
        <f>VLOOKUP(B13,'BIS + EDBA Final'!A:K,2,FALSE)</f>
        <v>2</v>
      </c>
      <c r="I13" s="5">
        <f>VLOOKUP(B13,'BIS + EDBA Final'!A:F,6,FALSE)</f>
        <v>1</v>
      </c>
      <c r="J13" s="5">
        <f>VLOOKUP(B13,'CBG Final'!A:B,2,FALSE)</f>
        <v>3</v>
      </c>
      <c r="K13" s="9">
        <f t="shared" si="0"/>
        <v>2.2000000000000002</v>
      </c>
      <c r="L13" s="5" t="s">
        <v>14</v>
      </c>
      <c r="M13" s="5" t="s">
        <v>15</v>
      </c>
      <c r="N13" s="5" t="s">
        <v>16</v>
      </c>
      <c r="O13" s="5" t="s">
        <v>17</v>
      </c>
      <c r="P13" s="5" t="s">
        <v>18</v>
      </c>
      <c r="Q13" s="5" t="s">
        <v>19</v>
      </c>
      <c r="R13" s="5" t="s">
        <v>20</v>
      </c>
      <c r="S13" s="10"/>
      <c r="T13" s="11"/>
      <c r="U13" s="11"/>
      <c r="V13" s="10"/>
      <c r="W13" s="10"/>
      <c r="X13" s="11"/>
      <c r="Y13" s="11"/>
      <c r="Z13" s="10"/>
      <c r="AA13" s="10"/>
      <c r="AB13" s="10"/>
      <c r="AC13" s="10"/>
      <c r="AD13" s="10">
        <f>_xlfn.PERCENTILE.INC($E$2:$E$231,0.75)</f>
        <v>201189.25</v>
      </c>
      <c r="AE13" s="10"/>
      <c r="AF13" s="10"/>
      <c r="AG13" s="10"/>
      <c r="AH13" s="10"/>
    </row>
    <row r="14" spans="1:34">
      <c r="A14" s="5"/>
      <c r="B14" s="5" t="s">
        <v>676</v>
      </c>
      <c r="C14" s="6" t="s">
        <v>36</v>
      </c>
      <c r="D14" s="7" t="s">
        <v>63</v>
      </c>
      <c r="E14" s="8">
        <v>364000</v>
      </c>
      <c r="F14" s="6" cm="1">
        <f t="array" ref="F14">_xlfn.IFS(
E14&lt;=$E$245,0,
E14&lt;=$E$246,1,
E14&lt;=$E$247,2,
E14&gt;=$E$247,3)</f>
        <v>3</v>
      </c>
      <c r="G14" s="7" cm="1">
        <f t="array" ref="G14">_xlfn.IFS(
OR(D14="Aerospace",D14="Aerospace &amp; Defense",D14="Agricultural Equipment",D14="Airlines",D14="Automotive",D14="Automotive &amp; Energy",D14="Automotive Components",D14="Aviation",D14="Building Materials",D14="Chemicals",D14="Commercial Vehicles",D14="Conglomerate &amp; Defense",D14="Conglomerate &amp; Energy",D14="Construction",D14="Construction &amp; Infrastructure",D14="Construction &amp; Real Estate",D14="Construction &amp; Telecom",D14="Discount Retail",D14="Energy Management",D14="Energy Technology",D14="Engines &amp; Power Systems",D14="Environmental Services",D14="Food Distribution",D14="Food Services",D14="Grocery Retail",D14="Healthcare &amp; Pharmacy",D14="Home Improvement Retail",D14="Industrial Engineering &amp; Electronics",D14="Oilfield Services",D14="Pharmaceuticals",D14="Pharmaceuticals &amp; Chemicals",D14="Pharmaceuticals &amp; Healthcare",D14="Pharmacy Retail",D14="Postal &amp; Logistics",D14="Retail",D14="Retail &amp; Distribution",D14="Retail &amp; Grocery",D14="Retail (IKEA)",D14="Tobacco",D14="Trading &amp; Conglomerate",D14="Utilities",D14="Utilities &amp; Energy",D14="Wholesale Retail"),2,
OR(D14="Agribusiness",D14="Automotive &amp; Heavy Vehicles",D14="Chemicals",D14="Commercial Vehicles",D14="Construction",D14="Construction &amp; Infrastructure",D14="Engines &amp; Power Systems",D14="Food Processing",D14="Healthcare",D14="Healthcare &amp; Medical Devices",D14="Heavy Equipment",D14="Heavy Industry",D14="Industrial Gases",D14="Industrial Manufacturing",D14="Logistics",D14="Medical Devices",D14="Mining",D14="Mining &amp; Commodities Trading",D14="Oil &amp; Gas",D14="Oilfield Services",D14="Rail Transport",D14="Shipping &amp; Logistics",D14="Steel"),3,
OR(D14="Apparel &amp; Footwear",D14="Beverage",D14="Coffeehouse &amp; Retail",D14="Conglomerate",D14="Consumer Goods",D14="Convenience Retail",D14="Electronics",D14="Electronics &amp; Semiconductors",D14="Electronics Retail",D14="Fashion Retail",D14="Food &amp; Beverage",D14="Food Retail &amp; Consumer Goods",D14="Industrial &amp; Technology",D14="Industrial Automation",D14="Industrial Technology",D14="Postal &amp; Financial Services",D14="Postal Services",D14="Scientific Instruments",D14="Technology Hardware",D14="Trading Company",D14="IT Consulting"),1,
OR(D14="Cosmetics",D14="E-commerce &amp; Cloud Computing",D14="Electronics &amp; Entertainment",D14="Entertainment &amp; Media",D14="Luxury Goods",D14="Media &amp; Telecommunications",D14="Networking Technology",D14="Real Estate Services",D14="Technology &amp; Consumer Electronics",D14="Telecommunications",D14="Telecommunications &amp; Investment"),1,
OR(D14="Asset Management",D14="Banking",D14="Banking &amp; Asset Services",D14="Banking &amp; Financial Services",D14="Banking &amp; Wealth Management",D14="Cloud Software",D14="Enterprise Software",D14="Financial Services",D14="Information Technology Consulting",D14="Investment Banking",D14="Social Media &amp; Technology",D14="Software &amp; Cloud Computing",D14="Technology &amp; Consulting",D14="Technology &amp; Internet Services",D14="Technology &amp; Software"),1,
TRUE,"Unmapped"
)</f>
        <v>2</v>
      </c>
      <c r="H14" s="5">
        <v>1</v>
      </c>
      <c r="I14" s="5">
        <f>VLOOKUP(B14,'BIS + EDBA Final'!A:F,6,FALSE)</f>
        <v>1</v>
      </c>
      <c r="J14" s="5">
        <f>VLOOKUP(B14,'CBG Final'!A:B,2,FALSE)</f>
        <v>3</v>
      </c>
      <c r="K14" s="9">
        <f t="shared" si="0"/>
        <v>2.2000000000000002</v>
      </c>
      <c r="L14" s="5" t="s">
        <v>1379</v>
      </c>
      <c r="M14" s="5" t="s">
        <v>1380</v>
      </c>
      <c r="N14" s="5" t="s">
        <v>1381</v>
      </c>
      <c r="O14" s="5" t="s">
        <v>113</v>
      </c>
      <c r="P14" s="5" t="s">
        <v>1382</v>
      </c>
      <c r="Q14" s="5" t="s">
        <v>117</v>
      </c>
      <c r="R14" s="5" t="s">
        <v>47</v>
      </c>
      <c r="S14" s="10"/>
      <c r="T14" s="11"/>
      <c r="U14" s="11"/>
      <c r="V14" s="10"/>
      <c r="W14" s="10"/>
      <c r="X14" s="11"/>
      <c r="Y14" s="11"/>
      <c r="Z14" s="10"/>
      <c r="AA14" s="10"/>
      <c r="AB14" s="10"/>
      <c r="AC14" s="10"/>
      <c r="AD14" s="10"/>
      <c r="AE14" s="10"/>
      <c r="AF14" s="10"/>
      <c r="AG14" s="10"/>
      <c r="AH14" s="10"/>
    </row>
    <row r="15" spans="1:34">
      <c r="A15" s="5"/>
      <c r="B15" s="5" t="s">
        <v>552</v>
      </c>
      <c r="C15" s="6" t="s">
        <v>36</v>
      </c>
      <c r="D15" s="7" t="s">
        <v>13</v>
      </c>
      <c r="E15" s="8">
        <v>319000</v>
      </c>
      <c r="F15" s="6" cm="1">
        <f t="array" ref="F15">_xlfn.IFS(
E15&lt;=$E$245,0,
E15&lt;=$E$246,1,
E15&lt;=$E$247,2,
E15&gt;=$E$247,3)</f>
        <v>3</v>
      </c>
      <c r="G15" s="7" cm="1">
        <f t="array" ref="G15">_xlfn.IFS(
OR(D15="Aerospace",D15="Aerospace &amp; Defense",D15="Agricultural Equipment",D15="Airlines",D15="Automotive",D15="Automotive &amp; Energy",D15="Automotive Components",D15="Aviation",D15="Building Materials",D15="Chemicals",D15="Commercial Vehicles",D15="Conglomerate &amp; Defense",D15="Conglomerate &amp; Energy",D15="Construction",D15="Construction &amp; Infrastructure",D15="Construction &amp; Real Estate",D15="Construction &amp; Telecom",D15="Discount Retail",D15="Energy Management",D15="Energy Technology",D15="Engines &amp; Power Systems",D15="Environmental Services",D15="Food Distribution",D15="Food Services",D15="Grocery Retail",D15="Healthcare &amp; Pharmacy",D15="Home Improvement Retail",D15="Industrial Engineering &amp; Electronics",D15="Oilfield Services",D15="Pharmaceuticals",D15="Pharmaceuticals &amp; Chemicals",D15="Pharmaceuticals &amp; Healthcare",D15="Pharmacy Retail",D15="Postal &amp; Logistics",D15="Retail",D15="Retail &amp; Distribution",D15="Retail &amp; Grocery",D15="Retail (IKEA)",D15="Tobacco",D15="Trading &amp; Conglomerate",D15="Utilities",D15="Utilities &amp; Energy",D15="Wholesale Retail"),2,
OR(D15="Agribusiness",D15="Automotive &amp; Heavy Vehicles",D15="Chemicals",D15="Commercial Vehicles",D15="Construction",D15="Construction &amp; Infrastructure",D15="Engines &amp; Power Systems",D15="Food Processing",D15="Healthcare",D15="Healthcare &amp; Medical Devices",D15="Heavy Equipment",D15="Heavy Industry",D15="Industrial Gases",D15="Industrial Manufacturing",D15="Logistics",D15="Medical Devices",D15="Mining",D15="Mining &amp; Commodities Trading",D15="Oil &amp; Gas",D15="Oilfield Services",D15="Rail Transport",D15="Shipping &amp; Logistics",D15="Steel"),3,
OR(D15="Apparel &amp; Footwear",D15="Beverage",D15="Coffeehouse &amp; Retail",D15="Conglomerate",D15="Consumer Goods",D15="Convenience Retail",D15="Electronics",D15="Electronics &amp; Semiconductors",D15="Electronics Retail",D15="Fashion Retail",D15="Food &amp; Beverage",D15="Food Retail &amp; Consumer Goods",D15="Industrial &amp; Technology",D15="Industrial Automation",D15="Industrial Technology",D15="Postal &amp; Financial Services",D15="Postal Services",D15="Scientific Instruments",D15="Technology Hardware",D15="Trading Company",D15="IT Consulting"),1,
OR(D15="Cosmetics",D15="E-commerce &amp; Cloud Computing",D15="Electronics &amp; Entertainment",D15="Entertainment &amp; Media",D15="Luxury Goods",D15="Media &amp; Telecommunications",D15="Networking Technology",D15="Real Estate Services",D15="Technology &amp; Consumer Electronics",D15="Telecommunications",D15="Telecommunications &amp; Investment"),1,
OR(D15="Asset Management",D15="Banking",D15="Banking &amp; Asset Services",D15="Banking &amp; Financial Services",D15="Banking &amp; Wealth Management",D15="Cloud Software",D15="Enterprise Software",D15="Financial Services",D15="Information Technology Consulting",D15="Investment Banking",D15="Social Media &amp; Technology",D15="Software &amp; Cloud Computing",D15="Technology &amp; Consulting",D15="Technology &amp; Internet Services",D15="Technology &amp; Software"),1,
TRUE,"Unmapped"
)</f>
        <v>1</v>
      </c>
      <c r="H15" s="5">
        <v>2</v>
      </c>
      <c r="I15" s="5">
        <f>VLOOKUP(B15,'BIS + EDBA Final'!A:F,6,FALSE)</f>
        <v>1</v>
      </c>
      <c r="J15" s="5">
        <f>VLOOKUP(B15,'CBG Final'!A:B,2,FALSE)</f>
        <v>3</v>
      </c>
      <c r="K15" s="9">
        <f t="shared" si="0"/>
        <v>2.2000000000000002</v>
      </c>
      <c r="L15" s="5" t="s">
        <v>1208</v>
      </c>
      <c r="M15" s="5" t="s">
        <v>1209</v>
      </c>
      <c r="N15" s="5" t="s">
        <v>1210</v>
      </c>
      <c r="O15" s="5" t="s">
        <v>416</v>
      </c>
      <c r="P15" s="5" t="s">
        <v>1211</v>
      </c>
      <c r="Q15" s="5" t="s">
        <v>128</v>
      </c>
      <c r="R15" s="5" t="s">
        <v>20</v>
      </c>
      <c r="S15" s="10"/>
      <c r="T15" s="11"/>
      <c r="U15" s="11"/>
      <c r="V15" s="10"/>
      <c r="W15" s="10"/>
      <c r="X15" s="11"/>
      <c r="Y15" s="11"/>
      <c r="Z15" s="10"/>
      <c r="AA15" s="10"/>
      <c r="AB15" s="10"/>
      <c r="AC15" s="10"/>
      <c r="AD15" s="10"/>
      <c r="AE15" s="10"/>
      <c r="AF15" s="10"/>
      <c r="AG15" s="10"/>
      <c r="AH15" s="10"/>
    </row>
    <row r="16" spans="1:34">
      <c r="A16" s="5"/>
      <c r="B16" s="5" t="s">
        <v>386</v>
      </c>
      <c r="C16" s="6" t="s">
        <v>36</v>
      </c>
      <c r="D16" s="7" t="s">
        <v>387</v>
      </c>
      <c r="E16" s="8">
        <v>205040</v>
      </c>
      <c r="F16" s="6" cm="1">
        <f t="array" ref="F16">_xlfn.IFS(
E16&lt;=$E$245,0,
E16&lt;=$E$246,1,
E16&lt;=$E$247,2,
E16&gt;=$E$247,3)</f>
        <v>3</v>
      </c>
      <c r="G16" s="7" cm="1">
        <f t="array" ref="G16">_xlfn.IFS(
OR(D16="Aerospace",D16="Aerospace &amp; Defense",D16="Agricultural Equipment",D16="Airlines",D16="Automotive",D16="Automotive &amp; Energy",D16="Automotive Components",D16="Aviation",D16="Building Materials",D16="Chemicals",D16="Commercial Vehicles",D16="Conglomerate &amp; Defense",D16="Conglomerate &amp; Energy",D16="Construction",D16="Construction &amp; Infrastructure",D16="Construction &amp; Real Estate",D16="Construction &amp; Telecom",D16="Discount Retail",D16="Energy Management",D16="Energy Technology",D16="Engines &amp; Power Systems",D16="Environmental Services",D16="Food Distribution",D16="Food Services",D16="Grocery Retail",D16="Healthcare &amp; Pharmacy",D16="Home Improvement Retail",D16="Industrial Engineering &amp; Electronics",D16="Oilfield Services",D16="Pharmaceuticals",D16="Pharmaceuticals &amp; Chemicals",D16="Pharmaceuticals &amp; Healthcare",D16="Pharmacy Retail",D16="Postal &amp; Logistics",D16="Retail",D16="Retail &amp; Distribution",D16="Retail &amp; Grocery",D16="Retail (IKEA)",D16="Tobacco",D16="Trading &amp; Conglomerate",D16="Utilities",D16="Utilities &amp; Energy",D16="Wholesale Retail"),2,
OR(D16="Agribusiness",D16="Automotive &amp; Heavy Vehicles",D16="Chemicals",D16="Commercial Vehicles",D16="Construction",D16="Construction &amp; Infrastructure",D16="Engines &amp; Power Systems",D16="Food Processing",D16="Healthcare",D16="Healthcare &amp; Medical Devices",D16="Heavy Equipment",D16="Heavy Industry",D16="Industrial Gases",D16="Industrial Manufacturing",D16="Logistics",D16="Medical Devices",D16="Mining",D16="Mining &amp; Commodities Trading",D16="Oil &amp; Gas",D16="Oilfield Services",D16="Rail Transport",D16="Shipping &amp; Logistics",D16="Steel"),3,
OR(D16="Apparel &amp; Footwear",D16="Beverage",D16="Coffeehouse &amp; Retail",D16="Conglomerate",D16="Consumer Goods",D16="Convenience Retail",D16="Electronics",D16="Electronics &amp; Semiconductors",D16="Electronics Retail",D16="Fashion Retail",D16="Food &amp; Beverage",D16="Food Retail &amp; Consumer Goods",D16="Industrial &amp; Technology",D16="Industrial Automation",D16="Industrial Technology",D16="Postal &amp; Financial Services",D16="Postal Services",D16="Scientific Instruments",D16="Technology Hardware",D16="Trading Company",D16="IT Consulting"),1,
OR(D16="Cosmetics",D16="E-commerce &amp; Cloud Computing",D16="Electronics &amp; Entertainment",D16="Entertainment &amp; Media",D16="Luxury Goods",D16="Media &amp; Telecommunications",D16="Networking Technology",D16="Real Estate Services",D16="Technology &amp; Consumer Electronics",D16="Telecommunications",D16="Telecommunications &amp; Investment"),1,
OR(D16="Asset Management",D16="Banking",D16="Banking &amp; Asset Services",D16="Banking &amp; Financial Services",D16="Banking &amp; Wealth Management",D16="Cloud Software",D16="Enterprise Software",D16="Financial Services",D16="Information Technology Consulting",D16="Investment Banking",D16="Social Media &amp; Technology",D16="Software &amp; Cloud Computing",D16="Technology &amp; Consulting",D16="Technology &amp; Internet Services",D16="Technology &amp; Software"),1,
TRUE,"Unmapped"
)</f>
        <v>1</v>
      </c>
      <c r="H16" s="5">
        <v>2</v>
      </c>
      <c r="I16" s="5">
        <f>VLOOKUP(B16,'BIS + EDBA Final'!A:F,6,FALSE)</f>
        <v>1</v>
      </c>
      <c r="J16" s="5">
        <f>VLOOKUP(B16,'CBG Final'!A:B,2,FALSE)</f>
        <v>3</v>
      </c>
      <c r="K16" s="9">
        <f t="shared" si="0"/>
        <v>2.2000000000000002</v>
      </c>
      <c r="L16" s="5" t="s">
        <v>1448</v>
      </c>
      <c r="M16" s="5" t="s">
        <v>226</v>
      </c>
      <c r="N16" s="5" t="s">
        <v>1449</v>
      </c>
      <c r="O16" s="5" t="s">
        <v>1450</v>
      </c>
      <c r="P16" s="5" t="s">
        <v>1451</v>
      </c>
      <c r="Q16" s="5" t="s">
        <v>46</v>
      </c>
      <c r="R16" s="5" t="s">
        <v>20</v>
      </c>
      <c r="S16" s="10"/>
      <c r="T16" s="11"/>
      <c r="U16" s="11"/>
      <c r="V16" s="10"/>
      <c r="W16" s="10"/>
      <c r="X16" s="11"/>
      <c r="Y16" s="11"/>
      <c r="Z16" s="10"/>
      <c r="AA16" s="10"/>
      <c r="AB16" s="10"/>
      <c r="AC16" s="10"/>
      <c r="AD16" s="10"/>
      <c r="AE16" s="10"/>
      <c r="AF16" s="10"/>
      <c r="AG16" s="10"/>
      <c r="AH16" s="10"/>
    </row>
    <row r="17" spans="1:34">
      <c r="A17" s="5"/>
      <c r="B17" s="5" t="s">
        <v>713</v>
      </c>
      <c r="C17" s="6" t="s">
        <v>36</v>
      </c>
      <c r="D17" s="7" t="s">
        <v>157</v>
      </c>
      <c r="E17" s="8">
        <v>227855</v>
      </c>
      <c r="F17" s="6" cm="1">
        <f t="array" ref="F17">_xlfn.IFS(
E17&lt;=$E$245,0,
E17&lt;=$E$246,1,
E17&lt;=$E$247,2,
E17&gt;=$E$247,3)</f>
        <v>3</v>
      </c>
      <c r="G17" s="7" cm="1">
        <f t="array" ref="G17">_xlfn.IFS(
OR(D17="Aerospace",D17="Aerospace &amp; Defense",D17="Agricultural Equipment",D17="Airlines",D17="Automotive",D17="Automotive &amp; Energy",D17="Automotive Components",D17="Aviation",D17="Building Materials",D17="Chemicals",D17="Commercial Vehicles",D17="Conglomerate &amp; Defense",D17="Conglomerate &amp; Energy",D17="Construction",D17="Construction &amp; Infrastructure",D17="Construction &amp; Real Estate",D17="Construction &amp; Telecom",D17="Discount Retail",D17="Energy Management",D17="Energy Technology",D17="Engines &amp; Power Systems",D17="Environmental Services",D17="Food Distribution",D17="Food Services",D17="Grocery Retail",D17="Healthcare &amp; Pharmacy",D17="Home Improvement Retail",D17="Industrial Engineering &amp; Electronics",D17="Oilfield Services",D17="Pharmaceuticals",D17="Pharmaceuticals &amp; Chemicals",D17="Pharmaceuticals &amp; Healthcare",D17="Pharmacy Retail",D17="Postal &amp; Logistics",D17="Retail",D17="Retail &amp; Distribution",D17="Retail &amp; Grocery",D17="Retail (IKEA)",D17="Tobacco",D17="Trading &amp; Conglomerate",D17="Utilities",D17="Utilities &amp; Energy",D17="Wholesale Retail"),2,
OR(D17="Agribusiness",D17="Automotive &amp; Heavy Vehicles",D17="Chemicals",D17="Commercial Vehicles",D17="Construction",D17="Construction &amp; Infrastructure",D17="Engines &amp; Power Systems",D17="Food Processing",D17="Healthcare",D17="Healthcare &amp; Medical Devices",D17="Heavy Equipment",D17="Heavy Industry",D17="Industrial Gases",D17="Industrial Manufacturing",D17="Logistics",D17="Medical Devices",D17="Mining",D17="Mining &amp; Commodities Trading",D17="Oil &amp; Gas",D17="Oilfield Services",D17="Rail Transport",D17="Shipping &amp; Logistics",D17="Steel"),3,
OR(D17="Apparel &amp; Footwear",D17="Beverage",D17="Coffeehouse &amp; Retail",D17="Conglomerate",D17="Consumer Goods",D17="Convenience Retail",D17="Electronics",D17="Electronics &amp; Semiconductors",D17="Electronics Retail",D17="Fashion Retail",D17="Food &amp; Beverage",D17="Food Retail &amp; Consumer Goods",D17="Industrial &amp; Technology",D17="Industrial Automation",D17="Industrial Technology",D17="Postal &amp; Financial Services",D17="Postal Services",D17="Scientific Instruments",D17="Technology Hardware",D17="Trading Company",D17="IT Consulting"),1,
OR(D17="Cosmetics",D17="E-commerce &amp; Cloud Computing",D17="Electronics &amp; Entertainment",D17="Entertainment &amp; Media",D17="Luxury Goods",D17="Media &amp; Telecommunications",D17="Networking Technology",D17="Real Estate Services",D17="Technology &amp; Consumer Electronics",D17="Telecommunications",D17="Telecommunications &amp; Investment"),1,
OR(D17="Asset Management",D17="Banking",D17="Banking &amp; Asset Services",D17="Banking &amp; Financial Services",D17="Banking &amp; Wealth Management",D17="Cloud Software",D17="Enterprise Software",D17="Financial Services",D17="Information Technology Consulting",D17="Investment Banking",D17="Social Media &amp; Technology",D17="Software &amp; Cloud Computing",D17="Technology &amp; Consulting",D17="Technology &amp; Internet Services",D17="Technology &amp; Software"),1,
TRUE,"Unmapped"
)</f>
        <v>1</v>
      </c>
      <c r="H17" s="5">
        <v>2</v>
      </c>
      <c r="I17" s="5">
        <f>VLOOKUP(B17,'BIS + EDBA Final'!A:F,6,FALSE)</f>
        <v>1</v>
      </c>
      <c r="J17" s="5">
        <f>VLOOKUP(B17,'CBG Final'!A:B,2,FALSE)</f>
        <v>3</v>
      </c>
      <c r="K17" s="9">
        <f t="shared" si="0"/>
        <v>2.2000000000000002</v>
      </c>
      <c r="L17" s="5" t="s">
        <v>714</v>
      </c>
      <c r="M17" s="5" t="s">
        <v>450</v>
      </c>
      <c r="N17" s="5" t="s">
        <v>715</v>
      </c>
      <c r="O17" s="5" t="s">
        <v>716</v>
      </c>
      <c r="P17" s="5" t="s">
        <v>717</v>
      </c>
      <c r="Q17" s="5" t="s">
        <v>276</v>
      </c>
      <c r="R17" s="5" t="s">
        <v>20</v>
      </c>
      <c r="S17" s="10"/>
      <c r="T17" s="11"/>
      <c r="U17" s="11"/>
      <c r="V17" s="10"/>
      <c r="W17" s="10"/>
      <c r="X17" s="11"/>
      <c r="Y17" s="11"/>
      <c r="Z17" s="10"/>
      <c r="AA17" s="10"/>
      <c r="AB17" s="10"/>
      <c r="AC17" s="10"/>
      <c r="AD17" s="10"/>
      <c r="AE17" s="10"/>
      <c r="AF17" s="10"/>
      <c r="AG17" s="10"/>
      <c r="AH17" s="10"/>
    </row>
    <row r="18" spans="1:34">
      <c r="A18" s="5"/>
      <c r="B18" s="5" t="s">
        <v>119</v>
      </c>
      <c r="C18" s="6" t="s">
        <v>36</v>
      </c>
      <c r="D18" s="7" t="s">
        <v>120</v>
      </c>
      <c r="E18" s="8">
        <v>228000</v>
      </c>
      <c r="F18" s="6" cm="1">
        <f t="array" ref="F18">_xlfn.IFS(
E18&lt;=$E$245,0,
E18&lt;=$E$246,1,
E18&lt;=$E$247,2,
E18&gt;=$E$247,3)</f>
        <v>3</v>
      </c>
      <c r="G18" s="7" cm="1">
        <f t="array" ref="G18">_xlfn.IFS(
OR(D18="Aerospace",D18="Aerospace &amp; Defense",D18="Agricultural Equipment",D18="Airlines",D18="Automotive",D18="Automotive &amp; Energy",D18="Automotive Components",D18="Aviation",D18="Building Materials",D18="Chemicals",D18="Commercial Vehicles",D18="Conglomerate &amp; Defense",D18="Conglomerate &amp; Energy",D18="Construction",D18="Construction &amp; Infrastructure",D18="Construction &amp; Real Estate",D18="Construction &amp; Telecom",D18="Discount Retail",D18="Energy Management",D18="Energy Technology",D18="Engines &amp; Power Systems",D18="Environmental Services",D18="Food Distribution",D18="Food Services",D18="Grocery Retail",D18="Healthcare &amp; Pharmacy",D18="Home Improvement Retail",D18="Industrial Engineering &amp; Electronics",D18="Oilfield Services",D18="Pharmaceuticals",D18="Pharmaceuticals &amp; Chemicals",D18="Pharmaceuticals &amp; Healthcare",D18="Pharmacy Retail",D18="Postal &amp; Logistics",D18="Retail",D18="Retail &amp; Distribution",D18="Retail &amp; Grocery",D18="Retail (IKEA)",D18="Tobacco",D18="Trading &amp; Conglomerate",D18="Utilities",D18="Utilities &amp; Energy",D18="Wholesale Retail"),2,
OR(D18="Agribusiness",D18="Automotive &amp; Heavy Vehicles",D18="Chemicals",D18="Commercial Vehicles",D18="Construction",D18="Construction &amp; Infrastructure",D18="Engines &amp; Power Systems",D18="Food Processing",D18="Healthcare",D18="Healthcare &amp; Medical Devices",D18="Heavy Equipment",D18="Heavy Industry",D18="Industrial Gases",D18="Industrial Manufacturing",D18="Logistics",D18="Medical Devices",D18="Mining",D18="Mining &amp; Commodities Trading",D18="Oil &amp; Gas",D18="Oilfield Services",D18="Rail Transport",D18="Shipping &amp; Logistics",D18="Steel"),3,
OR(D18="Apparel &amp; Footwear",D18="Beverage",D18="Coffeehouse &amp; Retail",D18="Conglomerate",D18="Consumer Goods",D18="Convenience Retail",D18="Electronics",D18="Electronics &amp; Semiconductors",D18="Electronics Retail",D18="Fashion Retail",D18="Food &amp; Beverage",D18="Food Retail &amp; Consumer Goods",D18="Industrial &amp; Technology",D18="Industrial Automation",D18="Industrial Technology",D18="Postal &amp; Financial Services",D18="Postal Services",D18="Scientific Instruments",D18="Technology Hardware",D18="Trading Company",D18="IT Consulting"),1,
OR(D18="Cosmetics",D18="E-commerce &amp; Cloud Computing",D18="Electronics &amp; Entertainment",D18="Entertainment &amp; Media",D18="Luxury Goods",D18="Media &amp; Telecommunications",D18="Networking Technology",D18="Real Estate Services",D18="Technology &amp; Consumer Electronics",D18="Telecommunications",D18="Telecommunications &amp; Investment"),1,
OR(D18="Asset Management",D18="Banking",D18="Banking &amp; Asset Services",D18="Banking &amp; Financial Services",D18="Banking &amp; Wealth Management",D18="Cloud Software",D18="Enterprise Software",D18="Financial Services",D18="Information Technology Consulting",D18="Investment Banking",D18="Social Media &amp; Technology",D18="Software &amp; Cloud Computing",D18="Technology &amp; Consulting",D18="Technology &amp; Internet Services",D18="Technology &amp; Software"),1,
TRUE,"Unmapped"
)</f>
        <v>1</v>
      </c>
      <c r="H18" s="5">
        <v>3</v>
      </c>
      <c r="I18" s="5">
        <f>VLOOKUP(B18,'BIS + EDBA Final'!A:F,6,FALSE)</f>
        <v>-1</v>
      </c>
      <c r="J18" s="5">
        <f>VLOOKUP(B18,'CBG Final'!A:B,2,FALSE)</f>
        <v>3</v>
      </c>
      <c r="K18" s="9">
        <f t="shared" si="0"/>
        <v>2.2000000000000002</v>
      </c>
      <c r="L18" s="5" t="s">
        <v>1125</v>
      </c>
      <c r="M18" s="5" t="s">
        <v>1126</v>
      </c>
      <c r="N18" s="5" t="s">
        <v>1127</v>
      </c>
      <c r="O18" s="5" t="s">
        <v>1128</v>
      </c>
      <c r="P18" s="5" t="s">
        <v>1129</v>
      </c>
      <c r="Q18" s="5" t="s">
        <v>180</v>
      </c>
      <c r="R18" s="5" t="s">
        <v>107</v>
      </c>
      <c r="S18" s="10"/>
      <c r="T18" s="11"/>
      <c r="U18" s="11"/>
      <c r="V18" s="10"/>
      <c r="W18" s="10"/>
      <c r="X18" s="11"/>
      <c r="Y18" s="11"/>
      <c r="Z18" s="10"/>
      <c r="AA18" s="10"/>
      <c r="AB18" s="10"/>
      <c r="AC18" s="10"/>
      <c r="AD18" s="10"/>
      <c r="AE18" s="10"/>
      <c r="AF18" s="10"/>
      <c r="AG18" s="10"/>
      <c r="AH18" s="10"/>
    </row>
    <row r="19" spans="1:34">
      <c r="A19" s="5"/>
      <c r="B19" s="5" t="s">
        <v>156</v>
      </c>
      <c r="C19" s="6" t="s">
        <v>36</v>
      </c>
      <c r="D19" s="7" t="s">
        <v>157</v>
      </c>
      <c r="E19" s="8">
        <v>213193</v>
      </c>
      <c r="F19" s="6" cm="1">
        <f t="array" ref="F19">_xlfn.IFS(
E19&lt;=$E$245,0,
E19&lt;=$E$246,1,
E19&lt;=$E$247,2,
E19&gt;=$E$247,3)</f>
        <v>3</v>
      </c>
      <c r="G19" s="7" cm="1">
        <f t="array" ref="G19">_xlfn.IFS(
OR(D19="Aerospace",D19="Aerospace &amp; Defense",D19="Agricultural Equipment",D19="Airlines",D19="Automotive",D19="Automotive &amp; Energy",D19="Automotive Components",D19="Aviation",D19="Building Materials",D19="Chemicals",D19="Commercial Vehicles",D19="Conglomerate &amp; Defense",D19="Conglomerate &amp; Energy",D19="Construction",D19="Construction &amp; Infrastructure",D19="Construction &amp; Real Estate",D19="Construction &amp; Telecom",D19="Discount Retail",D19="Energy Management",D19="Energy Technology",D19="Engines &amp; Power Systems",D19="Environmental Services",D19="Food Distribution",D19="Food Services",D19="Grocery Retail",D19="Healthcare &amp; Pharmacy",D19="Home Improvement Retail",D19="Industrial Engineering &amp; Electronics",D19="Oilfield Services",D19="Pharmaceuticals",D19="Pharmaceuticals &amp; Chemicals",D19="Pharmaceuticals &amp; Healthcare",D19="Pharmacy Retail",D19="Postal &amp; Logistics",D19="Retail",D19="Retail &amp; Distribution",D19="Retail &amp; Grocery",D19="Retail (IKEA)",D19="Tobacco",D19="Trading &amp; Conglomerate",D19="Utilities",D19="Utilities &amp; Energy",D19="Wholesale Retail"),2,
OR(D19="Agribusiness",D19="Automotive &amp; Heavy Vehicles",D19="Chemicals",D19="Commercial Vehicles",D19="Construction",D19="Construction &amp; Infrastructure",D19="Engines &amp; Power Systems",D19="Food Processing",D19="Healthcare",D19="Healthcare &amp; Medical Devices",D19="Heavy Equipment",D19="Heavy Industry",D19="Industrial Gases",D19="Industrial Manufacturing",D19="Logistics",D19="Medical Devices",D19="Mining",D19="Mining &amp; Commodities Trading",D19="Oil &amp; Gas",D19="Oilfield Services",D19="Rail Transport",D19="Shipping &amp; Logistics",D19="Steel"),3,
OR(D19="Apparel &amp; Footwear",D19="Beverage",D19="Coffeehouse &amp; Retail",D19="Conglomerate",D19="Consumer Goods",D19="Convenience Retail",D19="Electronics",D19="Electronics &amp; Semiconductors",D19="Electronics Retail",D19="Fashion Retail",D19="Food &amp; Beverage",D19="Food Retail &amp; Consumer Goods",D19="Industrial &amp; Technology",D19="Industrial Automation",D19="Industrial Technology",D19="Postal &amp; Financial Services",D19="Postal Services",D19="Scientific Instruments",D19="Technology Hardware",D19="Trading Company",D19="IT Consulting"),1,
OR(D19="Cosmetics",D19="E-commerce &amp; Cloud Computing",D19="Electronics &amp; Entertainment",D19="Entertainment &amp; Media",D19="Luxury Goods",D19="Media &amp; Telecommunications",D19="Networking Technology",D19="Real Estate Services",D19="Technology &amp; Consumer Electronics",D19="Telecommunications",D19="Telecommunications &amp; Investment"),1,
OR(D19="Asset Management",D19="Banking",D19="Banking &amp; Asset Services",D19="Banking &amp; Financial Services",D19="Banking &amp; Wealth Management",D19="Cloud Software",D19="Enterprise Software",D19="Financial Services",D19="Information Technology Consulting",D19="Investment Banking",D19="Social Media &amp; Technology",D19="Software &amp; Cloud Computing",D19="Technology &amp; Consulting",D19="Technology &amp; Internet Services",D19="Technology &amp; Software"),1,
TRUE,"Unmapped"
)</f>
        <v>1</v>
      </c>
      <c r="H19" s="5">
        <v>2</v>
      </c>
      <c r="I19" s="5">
        <f>VLOOKUP(B19,'BIS + EDBA Final'!A:F,6,FALSE)</f>
        <v>1</v>
      </c>
      <c r="J19" s="5">
        <f>VLOOKUP(B19,'CBG Final'!A:B,2,FALSE)</f>
        <v>3</v>
      </c>
      <c r="K19" s="9">
        <f t="shared" si="0"/>
        <v>2.2000000000000002</v>
      </c>
      <c r="L19" s="5" t="s">
        <v>588</v>
      </c>
      <c r="M19" s="5" t="s">
        <v>589</v>
      </c>
      <c r="N19" s="5" t="s">
        <v>590</v>
      </c>
      <c r="O19" s="5" t="s">
        <v>591</v>
      </c>
      <c r="P19" s="5" t="s">
        <v>592</v>
      </c>
      <c r="Q19" s="5" t="s">
        <v>180</v>
      </c>
      <c r="R19" s="5" t="s">
        <v>20</v>
      </c>
      <c r="S19" s="10"/>
      <c r="T19" s="11"/>
      <c r="U19" s="11"/>
      <c r="V19" s="10"/>
      <c r="W19" s="10"/>
      <c r="X19" s="11"/>
      <c r="Y19" s="11"/>
      <c r="Z19" s="10"/>
      <c r="AA19" s="10"/>
      <c r="AB19" s="10"/>
      <c r="AC19" s="10"/>
      <c r="AD19" s="10"/>
      <c r="AE19" s="10"/>
      <c r="AF19" s="10"/>
      <c r="AG19" s="10"/>
      <c r="AH19" s="10"/>
    </row>
    <row r="20" spans="1:34">
      <c r="A20" s="5"/>
      <c r="B20" s="5" t="s">
        <v>1098</v>
      </c>
      <c r="C20" s="6" t="s">
        <v>36</v>
      </c>
      <c r="D20" s="7" t="s">
        <v>193</v>
      </c>
      <c r="E20" s="8">
        <v>215500</v>
      </c>
      <c r="F20" s="6" cm="1">
        <f t="array" ref="F20">_xlfn.IFS(
E20&lt;=$E$245,0,
E20&lt;=$E$246,1,
E20&lt;=$E$247,2,
E20&gt;=$E$247,3)</f>
        <v>3</v>
      </c>
      <c r="G20" s="7" cm="1">
        <f t="array" ref="G20">_xlfn.IFS(
OR(D20="Aerospace",D20="Aerospace &amp; Defense",D20="Agricultural Equipment",D20="Airlines",D20="Automotive",D20="Automotive &amp; Energy",D20="Automotive Components",D20="Aviation",D20="Building Materials",D20="Chemicals",D20="Commercial Vehicles",D20="Conglomerate &amp; Defense",D20="Conglomerate &amp; Energy",D20="Construction",D20="Construction &amp; Infrastructure",D20="Construction &amp; Real Estate",D20="Construction &amp; Telecom",D20="Discount Retail",D20="Energy Management",D20="Energy Technology",D20="Engines &amp; Power Systems",D20="Environmental Services",D20="Food Distribution",D20="Food Services",D20="Grocery Retail",D20="Healthcare &amp; Pharmacy",D20="Home Improvement Retail",D20="Industrial Engineering &amp; Electronics",D20="Oilfield Services",D20="Pharmaceuticals",D20="Pharmaceuticals &amp; Chemicals",D20="Pharmaceuticals &amp; Healthcare",D20="Pharmacy Retail",D20="Postal &amp; Logistics",D20="Retail",D20="Retail &amp; Distribution",D20="Retail &amp; Grocery",D20="Retail (IKEA)",D20="Tobacco",D20="Trading &amp; Conglomerate",D20="Utilities",D20="Utilities &amp; Energy",D20="Wholesale Retail"),2,
OR(D20="Agribusiness",D20="Automotive &amp; Heavy Vehicles",D20="Chemicals",D20="Commercial Vehicles",D20="Construction",D20="Construction &amp; Infrastructure",D20="Engines &amp; Power Systems",D20="Food Processing",D20="Healthcare",D20="Healthcare &amp; Medical Devices",D20="Heavy Equipment",D20="Heavy Industry",D20="Industrial Gases",D20="Industrial Manufacturing",D20="Logistics",D20="Medical Devices",D20="Mining",D20="Mining &amp; Commodities Trading",D20="Oil &amp; Gas",D20="Oilfield Services",D20="Rail Transport",D20="Shipping &amp; Logistics",D20="Steel"),3,
OR(D20="Apparel &amp; Footwear",D20="Beverage",D20="Coffeehouse &amp; Retail",D20="Conglomerate",D20="Consumer Goods",D20="Convenience Retail",D20="Electronics",D20="Electronics &amp; Semiconductors",D20="Electronics Retail",D20="Fashion Retail",D20="Food &amp; Beverage",D20="Food Retail &amp; Consumer Goods",D20="Industrial &amp; Technology",D20="Industrial Automation",D20="Industrial Technology",D20="Postal &amp; Financial Services",D20="Postal Services",D20="Scientific Instruments",D20="Technology Hardware",D20="Trading Company",D20="IT Consulting"),1,
OR(D20="Cosmetics",D20="E-commerce &amp; Cloud Computing",D20="Electronics &amp; Entertainment",D20="Entertainment &amp; Media",D20="Luxury Goods",D20="Media &amp; Telecommunications",D20="Networking Technology",D20="Real Estate Services",D20="Technology &amp; Consumer Electronics",D20="Telecommunications",D20="Telecommunications &amp; Investment"),1,
OR(D20="Asset Management",D20="Banking",D20="Banking &amp; Asset Services",D20="Banking &amp; Financial Services",D20="Banking &amp; Wealth Management",D20="Cloud Software",D20="Enterprise Software",D20="Financial Services",D20="Information Technology Consulting",D20="Investment Banking",D20="Social Media &amp; Technology",D20="Software &amp; Cloud Computing",D20="Technology &amp; Consulting",D20="Technology &amp; Internet Services",D20="Technology &amp; Software"),1,
TRUE,"Unmapped"
)</f>
        <v>2</v>
      </c>
      <c r="H20" s="5">
        <v>1</v>
      </c>
      <c r="I20" s="5">
        <f>VLOOKUP(B20,'BIS + EDBA Final'!A:F,6,FALSE)</f>
        <v>1</v>
      </c>
      <c r="J20" s="5">
        <f>VLOOKUP(B20,'CBG Final'!A:B,2,FALSE)</f>
        <v>3</v>
      </c>
      <c r="K20" s="9">
        <f t="shared" si="0"/>
        <v>2.2000000000000002</v>
      </c>
      <c r="L20" s="5" t="s">
        <v>1099</v>
      </c>
      <c r="M20" s="5" t="s">
        <v>625</v>
      </c>
      <c r="N20" s="5" t="s">
        <v>1100</v>
      </c>
      <c r="O20" s="5" t="s">
        <v>1101</v>
      </c>
      <c r="P20" s="5" t="s">
        <v>1102</v>
      </c>
      <c r="Q20" s="5" t="s">
        <v>143</v>
      </c>
      <c r="R20" s="5" t="s">
        <v>107</v>
      </c>
      <c r="S20" s="10"/>
      <c r="T20" s="11"/>
      <c r="U20" s="11"/>
      <c r="V20" s="10"/>
      <c r="W20" s="10"/>
      <c r="X20" s="11"/>
      <c r="Y20" s="11"/>
      <c r="Z20" s="10"/>
      <c r="AA20" s="10"/>
      <c r="AB20" s="10"/>
      <c r="AC20" s="10"/>
      <c r="AD20" s="10"/>
      <c r="AE20" s="10"/>
      <c r="AF20" s="10"/>
      <c r="AG20" s="10"/>
      <c r="AH20" s="10"/>
    </row>
    <row r="21" spans="1:34" ht="15.75" customHeight="1">
      <c r="A21" s="5"/>
      <c r="B21" s="5" t="s">
        <v>640</v>
      </c>
      <c r="C21" s="6" t="s">
        <v>36</v>
      </c>
      <c r="D21" s="7" t="s">
        <v>333</v>
      </c>
      <c r="E21" s="8">
        <v>255000</v>
      </c>
      <c r="F21" s="6" cm="1">
        <f t="array" ref="F21">_xlfn.IFS(
E21&lt;=$E$245,0,
E21&lt;=$E$246,1,
E21&lt;=$E$247,2,
E21&gt;=$E$247,3)</f>
        <v>3</v>
      </c>
      <c r="G21" s="7" cm="1">
        <f t="array" ref="G21">_xlfn.IFS(
OR(D21="Aerospace",D21="Aerospace &amp; Defense",D21="Agricultural Equipment",D21="Airlines",D21="Automotive",D21="Automotive &amp; Energy",D21="Automotive Components",D21="Aviation",D21="Building Materials",D21="Chemicals",D21="Commercial Vehicles",D21="Conglomerate &amp; Defense",D21="Conglomerate &amp; Energy",D21="Construction",D21="Construction &amp; Infrastructure",D21="Construction &amp; Real Estate",D21="Construction &amp; Telecom",D21="Discount Retail",D21="Energy Management",D21="Energy Technology",D21="Engines &amp; Power Systems",D21="Environmental Services",D21="Food Distribution",D21="Food Services",D21="Grocery Retail",D21="Healthcare &amp; Pharmacy",D21="Home Improvement Retail",D21="Industrial Engineering &amp; Electronics",D21="Oilfield Services",D21="Pharmaceuticals",D21="Pharmaceuticals &amp; Chemicals",D21="Pharmaceuticals &amp; Healthcare",D21="Pharmacy Retail",D21="Postal &amp; Logistics",D21="Retail",D21="Retail &amp; Distribution",D21="Retail &amp; Grocery",D21="Retail (IKEA)",D21="Tobacco",D21="Trading &amp; Conglomerate",D21="Utilities",D21="Utilities &amp; Energy",D21="Wholesale Retail"),2,
OR(D21="Agribusiness",D21="Automotive &amp; Heavy Vehicles",D21="Chemicals",D21="Commercial Vehicles",D21="Construction",D21="Construction &amp; Infrastructure",D21="Engines &amp; Power Systems",D21="Food Processing",D21="Healthcare",D21="Healthcare &amp; Medical Devices",D21="Heavy Equipment",D21="Heavy Industry",D21="Industrial Gases",D21="Industrial Manufacturing",D21="Logistics",D21="Medical Devices",D21="Mining",D21="Mining &amp; Commodities Trading",D21="Oil &amp; Gas",D21="Oilfield Services",D21="Rail Transport",D21="Shipping &amp; Logistics",D21="Steel"),3,
OR(D21="Apparel &amp; Footwear",D21="Beverage",D21="Coffeehouse &amp; Retail",D21="Conglomerate",D21="Consumer Goods",D21="Convenience Retail",D21="Electronics",D21="Electronics &amp; Semiconductors",D21="Electronics Retail",D21="Fashion Retail",D21="Food &amp; Beverage",D21="Food Retail &amp; Consumer Goods",D21="Industrial &amp; Technology",D21="Industrial Automation",D21="Industrial Technology",D21="Postal &amp; Financial Services",D21="Postal Services",D21="Scientific Instruments",D21="Technology Hardware",D21="Trading Company",D21="IT Consulting"),1,
OR(D21="Cosmetics",D21="E-commerce &amp; Cloud Computing",D21="Electronics &amp; Entertainment",D21="Entertainment &amp; Media",D21="Luxury Goods",D21="Media &amp; Telecommunications",D21="Networking Technology",D21="Real Estate Services",D21="Technology &amp; Consumer Electronics",D21="Telecommunications",D21="Telecommunications &amp; Investment"),1,
OR(D21="Asset Management",D21="Banking",D21="Banking &amp; Asset Services",D21="Banking &amp; Financial Services",D21="Banking &amp; Wealth Management",D21="Cloud Software",D21="Enterprise Software",D21="Financial Services",D21="Information Technology Consulting",D21="Investment Banking",D21="Social Media &amp; Technology",D21="Software &amp; Cloud Computing",D21="Technology &amp; Consulting",D21="Technology &amp; Internet Services",D21="Technology &amp; Software"),1,
TRUE,"Unmapped"
)</f>
        <v>2</v>
      </c>
      <c r="H21" s="5">
        <v>1</v>
      </c>
      <c r="I21" s="5">
        <f>VLOOKUP(B21,'BIS + EDBA Final'!A:F,6,FALSE)</f>
        <v>1</v>
      </c>
      <c r="J21" s="5">
        <f>VLOOKUP(B21,'CBG Final'!A:B,2,FALSE)</f>
        <v>3</v>
      </c>
      <c r="K21" s="9">
        <f t="shared" si="0"/>
        <v>2.2000000000000002</v>
      </c>
      <c r="L21" s="5" t="s">
        <v>1236</v>
      </c>
      <c r="M21" s="5" t="s">
        <v>473</v>
      </c>
      <c r="N21" s="5" t="s">
        <v>1237</v>
      </c>
      <c r="O21" s="5" t="s">
        <v>580</v>
      </c>
      <c r="P21" s="5" t="s">
        <v>1238</v>
      </c>
      <c r="Q21" s="5" t="s">
        <v>155</v>
      </c>
      <c r="R21" s="5" t="s">
        <v>20</v>
      </c>
      <c r="S21" s="10"/>
      <c r="T21" s="11"/>
      <c r="U21" s="11"/>
      <c r="V21" s="10"/>
      <c r="W21" s="10"/>
      <c r="X21" s="11"/>
      <c r="Y21" s="11"/>
      <c r="Z21" s="10"/>
      <c r="AA21" s="10"/>
      <c r="AB21" s="10"/>
      <c r="AC21" s="10"/>
      <c r="AD21" s="10"/>
      <c r="AE21" s="10"/>
      <c r="AF21" s="10"/>
      <c r="AG21" s="10"/>
      <c r="AH21" s="10"/>
    </row>
    <row r="22" spans="1:34" ht="15.75" customHeight="1">
      <c r="A22" s="5"/>
      <c r="B22" s="5" t="s">
        <v>440</v>
      </c>
      <c r="C22" s="6" t="s">
        <v>441</v>
      </c>
      <c r="D22" s="7" t="s">
        <v>63</v>
      </c>
      <c r="E22" s="8">
        <v>201413</v>
      </c>
      <c r="F22" s="6" cm="1">
        <f t="array" ref="F22">_xlfn.IFS(
E22&lt;=$E$245,0,
E22&lt;=$E$246,1,
E22&lt;=$E$247,2,
E22&gt;=$E$247,3)</f>
        <v>3</v>
      </c>
      <c r="G22" s="7" cm="1">
        <f t="array" ref="G22">_xlfn.IFS(
OR(D22="Aerospace",D22="Aerospace &amp; Defense",D22="Agricultural Equipment",D22="Airlines",D22="Automotive",D22="Automotive &amp; Energy",D22="Automotive Components",D22="Aviation",D22="Building Materials",D22="Chemicals",D22="Commercial Vehicles",D22="Conglomerate &amp; Defense",D22="Conglomerate &amp; Energy",D22="Construction",D22="Construction &amp; Infrastructure",D22="Construction &amp; Real Estate",D22="Construction &amp; Telecom",D22="Discount Retail",D22="Energy Management",D22="Energy Technology",D22="Engines &amp; Power Systems",D22="Environmental Services",D22="Food Distribution",D22="Food Services",D22="Grocery Retail",D22="Healthcare &amp; Pharmacy",D22="Home Improvement Retail",D22="Industrial Engineering &amp; Electronics",D22="Oilfield Services",D22="Pharmaceuticals",D22="Pharmaceuticals &amp; Chemicals",D22="Pharmaceuticals &amp; Healthcare",D22="Pharmacy Retail",D22="Postal &amp; Logistics",D22="Retail",D22="Retail &amp; Distribution",D22="Retail &amp; Grocery",D22="Retail (IKEA)",D22="Tobacco",D22="Trading &amp; Conglomerate",D22="Utilities",D22="Utilities &amp; Energy",D22="Wholesale Retail"),2,
OR(D22="Agribusiness",D22="Automotive &amp; Heavy Vehicles",D22="Chemicals",D22="Commercial Vehicles",D22="Construction",D22="Construction &amp; Infrastructure",D22="Engines &amp; Power Systems",D22="Food Processing",D22="Healthcare",D22="Healthcare &amp; Medical Devices",D22="Heavy Equipment",D22="Heavy Industry",D22="Industrial Gases",D22="Industrial Manufacturing",D22="Logistics",D22="Medical Devices",D22="Mining",D22="Mining &amp; Commodities Trading",D22="Oil &amp; Gas",D22="Oilfield Services",D22="Rail Transport",D22="Shipping &amp; Logistics",D22="Steel"),3,
OR(D22="Apparel &amp; Footwear",D22="Beverage",D22="Coffeehouse &amp; Retail",D22="Conglomerate",D22="Consumer Goods",D22="Convenience Retail",D22="Electronics",D22="Electronics &amp; Semiconductors",D22="Electronics Retail",D22="Fashion Retail",D22="Food &amp; Beverage",D22="Food Retail &amp; Consumer Goods",D22="Industrial &amp; Technology",D22="Industrial Automation",D22="Industrial Technology",D22="Postal &amp; Financial Services",D22="Postal Services",D22="Scientific Instruments",D22="Technology Hardware",D22="Trading Company",D22="IT Consulting"),1,
OR(D22="Cosmetics",D22="E-commerce &amp; Cloud Computing",D22="Electronics &amp; Entertainment",D22="Entertainment &amp; Media",D22="Luxury Goods",D22="Media &amp; Telecommunications",D22="Networking Technology",D22="Real Estate Services",D22="Technology &amp; Consumer Electronics",D22="Telecommunications",D22="Telecommunications &amp; Investment"),1,
OR(D22="Asset Management",D22="Banking",D22="Banking &amp; Asset Services",D22="Banking &amp; Financial Services",D22="Banking &amp; Wealth Management",D22="Cloud Software",D22="Enterprise Software",D22="Financial Services",D22="Information Technology Consulting",D22="Investment Banking",D22="Social Media &amp; Technology",D22="Software &amp; Cloud Computing",D22="Technology &amp; Consulting",D22="Technology &amp; Internet Services",D22="Technology &amp; Software"),1,
TRUE,"Unmapped"
)</f>
        <v>2</v>
      </c>
      <c r="H22" s="5">
        <f>VLOOKUP(B22,'BIS + EDBA Final'!A:K,2,FALSE)</f>
        <v>2</v>
      </c>
      <c r="I22" s="5">
        <f>VLOOKUP(B22,'BIS + EDBA Final'!A:F,6,FALSE)</f>
        <v>1</v>
      </c>
      <c r="J22" s="5">
        <f>VLOOKUP(B22,'CBG Final'!A:B,2,FALSE)</f>
        <v>2</v>
      </c>
      <c r="K22" s="9">
        <f t="shared" si="0"/>
        <v>2.1999999999999997</v>
      </c>
      <c r="L22" s="5" t="s">
        <v>442</v>
      </c>
      <c r="M22" s="5" t="s">
        <v>273</v>
      </c>
      <c r="N22" s="5" t="s">
        <v>443</v>
      </c>
      <c r="O22" s="5" t="s">
        <v>444</v>
      </c>
      <c r="P22" s="5" t="s">
        <v>445</v>
      </c>
      <c r="Q22" s="5" t="s">
        <v>128</v>
      </c>
      <c r="R22" s="5" t="s">
        <v>58</v>
      </c>
      <c r="S22" s="10"/>
      <c r="T22" s="11"/>
      <c r="U22" s="11"/>
      <c r="V22" s="10"/>
      <c r="W22" s="10"/>
      <c r="X22" s="10"/>
      <c r="Y22" s="10"/>
      <c r="Z22" s="10"/>
      <c r="AA22" s="10"/>
      <c r="AB22" s="10"/>
      <c r="AC22" s="10"/>
      <c r="AD22" s="10"/>
      <c r="AE22" s="10"/>
      <c r="AF22" s="10"/>
      <c r="AG22" s="10"/>
      <c r="AH22" s="10"/>
    </row>
    <row r="23" spans="1:34" ht="15.75" customHeight="1">
      <c r="A23" s="5"/>
      <c r="B23" s="5" t="s">
        <v>946</v>
      </c>
      <c r="C23" s="6" t="s">
        <v>36</v>
      </c>
      <c r="D23" s="7" t="s">
        <v>947</v>
      </c>
      <c r="E23" s="8">
        <v>271000</v>
      </c>
      <c r="F23" s="6" cm="1">
        <f t="array" ref="F23">_xlfn.IFS(
E23&lt;=$E$245,0,
E23&lt;=$E$246,1,
E23&lt;=$E$247,2,
E23&gt;=$E$247,3)</f>
        <v>3</v>
      </c>
      <c r="G23" s="7" cm="1">
        <f t="array" ref="G23">_xlfn.IFS(
OR(D23="Aerospace",D23="Aerospace &amp; Defense",D23="Agricultural Equipment",D23="Airlines",D23="Automotive",D23="Automotive &amp; Energy",D23="Automotive Components",D23="Aviation",D23="Building Materials",D23="Chemicals",D23="Commercial Vehicles",D23="Conglomerate &amp; Defense",D23="Conglomerate &amp; Energy",D23="Construction",D23="Construction &amp; Infrastructure",D23="Construction &amp; Real Estate",D23="Construction &amp; Telecom",D23="Discount Retail",D23="Energy Management",D23="Energy Technology",D23="Engines &amp; Power Systems",D23="Environmental Services",D23="Food Distribution",D23="Food Services",D23="Grocery Retail",D23="Healthcare &amp; Pharmacy",D23="Home Improvement Retail",D23="Industrial Engineering &amp; Electronics",D23="Oilfield Services",D23="Pharmaceuticals",D23="Pharmaceuticals &amp; Chemicals",D23="Pharmaceuticals &amp; Healthcare",D23="Pharmacy Retail",D23="Postal &amp; Logistics",D23="Retail",D23="Retail &amp; Distribution",D23="Retail &amp; Grocery",D23="Retail (IKEA)",D23="Tobacco",D23="Trading &amp; Conglomerate",D23="Utilities",D23="Utilities &amp; Energy",D23="Wholesale Retail"),2,
OR(D23="Agribusiness",D23="Automotive &amp; Heavy Vehicles",D23="Chemicals",D23="Commercial Vehicles",D23="Construction",D23="Construction &amp; Infrastructure",D23="Engines &amp; Power Systems",D23="Food Processing",D23="Healthcare",D23="Healthcare &amp; Medical Devices",D23="Heavy Equipment",D23="Heavy Industry",D23="Industrial Gases",D23="Industrial Manufacturing",D23="Logistics",D23="Medical Devices",D23="Mining",D23="Mining &amp; Commodities Trading",D23="Oil &amp; Gas",D23="Oilfield Services",D23="Rail Transport",D23="Shipping &amp; Logistics",D23="Steel"),3,
OR(D23="Apparel &amp; Footwear",D23="Beverage",D23="Coffeehouse &amp; Retail",D23="Conglomerate",D23="Consumer Goods",D23="Convenience Retail",D23="Electronics",D23="Electronics &amp; Semiconductors",D23="Electronics Retail",D23="Fashion Retail",D23="Food &amp; Beverage",D23="Food Retail &amp; Consumer Goods",D23="Industrial &amp; Technology",D23="Industrial Automation",D23="Industrial Technology",D23="Postal &amp; Financial Services",D23="Postal Services",D23="Scientific Instruments",D23="Technology Hardware",D23="Trading Company",D23="IT Consulting"),1,
OR(D23="Cosmetics",D23="E-commerce &amp; Cloud Computing",D23="Electronics &amp; Entertainment",D23="Entertainment &amp; Media",D23="Luxury Goods",D23="Media &amp; Telecommunications",D23="Networking Technology",D23="Real Estate Services",D23="Technology &amp; Consumer Electronics",D23="Telecommunications",D23="Telecommunications &amp; Investment"),1,
OR(D23="Asset Management",D23="Banking",D23="Banking &amp; Asset Services",D23="Banking &amp; Financial Services",D23="Banking &amp; Wealth Management",D23="Cloud Software",D23="Enterprise Software",D23="Financial Services",D23="Information Technology Consulting",D23="Investment Banking",D23="Social Media &amp; Technology",D23="Software &amp; Cloud Computing",D23="Technology &amp; Consulting",D23="Technology &amp; Internet Services",D23="Technology &amp; Software"),1,
TRUE,"Unmapped"
)</f>
        <v>3</v>
      </c>
      <c r="H23" s="5">
        <f>VLOOKUP(B23,'BIS + EDBA Final'!A:K,2,FALSE)</f>
        <v>2</v>
      </c>
      <c r="I23" s="5">
        <f>VLOOKUP(B23,'BIS + EDBA Final'!A:F,6,FALSE)</f>
        <v>-1</v>
      </c>
      <c r="J23" s="5">
        <f>VLOOKUP(B23,'CBG Final'!A:B,2,FALSE)</f>
        <v>2</v>
      </c>
      <c r="K23" s="9">
        <f t="shared" si="0"/>
        <v>2.1999999999999997</v>
      </c>
      <c r="L23" s="5" t="s">
        <v>948</v>
      </c>
      <c r="M23" s="5" t="s">
        <v>113</v>
      </c>
      <c r="N23" s="5" t="s">
        <v>949</v>
      </c>
      <c r="O23" s="5" t="s">
        <v>776</v>
      </c>
      <c r="P23" s="5" t="s">
        <v>950</v>
      </c>
      <c r="Q23" s="5" t="s">
        <v>339</v>
      </c>
      <c r="R23" s="5" t="s">
        <v>20</v>
      </c>
      <c r="S23" s="10"/>
      <c r="T23" s="11"/>
      <c r="U23" s="11"/>
      <c r="V23" s="10"/>
      <c r="W23" s="10"/>
      <c r="X23" s="11"/>
      <c r="Y23" s="11"/>
      <c r="Z23" s="10"/>
      <c r="AA23" s="10"/>
      <c r="AB23" s="10"/>
      <c r="AC23" s="10"/>
      <c r="AD23" s="10"/>
      <c r="AE23" s="10"/>
      <c r="AF23" s="10"/>
      <c r="AG23" s="10"/>
      <c r="AH23" s="10"/>
    </row>
    <row r="24" spans="1:34" ht="15.75" customHeight="1">
      <c r="A24" s="5"/>
      <c r="B24" s="5" t="s">
        <v>183</v>
      </c>
      <c r="C24" s="6" t="s">
        <v>195</v>
      </c>
      <c r="D24" s="7" t="s">
        <v>86</v>
      </c>
      <c r="E24" s="8">
        <v>248243</v>
      </c>
      <c r="F24" s="6" cm="1">
        <f t="array" ref="F24">_xlfn.IFS(
E24&lt;=$E$245,0,
E24&lt;=$E$246,1,
E24&lt;=$E$247,2,
E24&gt;=$E$247,3)</f>
        <v>3</v>
      </c>
      <c r="G24" s="7" cm="1">
        <f t="array" ref="G24">_xlfn.IFS(
OR(D24="Aerospace",D24="Aerospace &amp; Defense",D24="Agricultural Equipment",D24="Airlines",D24="Automotive",D24="Automotive &amp; Energy",D24="Automotive Components",D24="Aviation",D24="Building Materials",D24="Chemicals",D24="Commercial Vehicles",D24="Conglomerate &amp; Defense",D24="Conglomerate &amp; Energy",D24="Construction",D24="Construction &amp; Infrastructure",D24="Construction &amp; Real Estate",D24="Construction &amp; Telecom",D24="Discount Retail",D24="Energy Management",D24="Energy Technology",D24="Engines &amp; Power Systems",D24="Environmental Services",D24="Food Distribution",D24="Food Services",D24="Grocery Retail",D24="Healthcare &amp; Pharmacy",D24="Home Improvement Retail",D24="Industrial Engineering &amp; Electronics",D24="Oilfield Services",D24="Pharmaceuticals",D24="Pharmaceuticals &amp; Chemicals",D24="Pharmaceuticals &amp; Healthcare",D24="Pharmacy Retail",D24="Postal &amp; Logistics",D24="Retail",D24="Retail &amp; Distribution",D24="Retail &amp; Grocery",D24="Retail (IKEA)",D24="Tobacco",D24="Trading &amp; Conglomerate",D24="Utilities",D24="Utilities &amp; Energy",D24="Wholesale Retail"),2,
OR(D24="Agribusiness",D24="Automotive &amp; Heavy Vehicles",D24="Chemicals",D24="Commercial Vehicles",D24="Construction",D24="Construction &amp; Infrastructure",D24="Engines &amp; Power Systems",D24="Food Processing",D24="Healthcare",D24="Healthcare &amp; Medical Devices",D24="Heavy Equipment",D24="Heavy Industry",D24="Industrial Gases",D24="Industrial Manufacturing",D24="Logistics",D24="Medical Devices",D24="Mining",D24="Mining &amp; Commodities Trading",D24="Oil &amp; Gas",D24="Oilfield Services",D24="Rail Transport",D24="Shipping &amp; Logistics",D24="Steel"),3,
OR(D24="Apparel &amp; Footwear",D24="Beverage",D24="Coffeehouse &amp; Retail",D24="Conglomerate",D24="Consumer Goods",D24="Convenience Retail",D24="Electronics",D24="Electronics &amp; Semiconductors",D24="Electronics Retail",D24="Fashion Retail",D24="Food &amp; Beverage",D24="Food Retail &amp; Consumer Goods",D24="Industrial &amp; Technology",D24="Industrial Automation",D24="Industrial Technology",D24="Postal &amp; Financial Services",D24="Postal Services",D24="Scientific Instruments",D24="Technology Hardware",D24="Trading Company",D24="IT Consulting"),1,
OR(D24="Cosmetics",D24="E-commerce &amp; Cloud Computing",D24="Electronics &amp; Entertainment",D24="Entertainment &amp; Media",D24="Luxury Goods",D24="Media &amp; Telecommunications",D24="Networking Technology",D24="Real Estate Services",D24="Technology &amp; Consumer Electronics",D24="Telecommunications",D24="Telecommunications &amp; Investment"),1,
OR(D24="Asset Management",D24="Banking",D24="Banking &amp; Asset Services",D24="Banking &amp; Financial Services",D24="Banking &amp; Wealth Management",D24="Cloud Software",D24="Enterprise Software",D24="Financial Services",D24="Information Technology Consulting",D24="Investment Banking",D24="Social Media &amp; Technology",D24="Software &amp; Cloud Computing",D24="Technology &amp; Consulting",D24="Technology &amp; Internet Services",D24="Technology &amp; Software"),1,
TRUE,"Unmapped"
)</f>
        <v>2</v>
      </c>
      <c r="H24" s="5">
        <v>2</v>
      </c>
      <c r="I24" s="5">
        <f>VLOOKUP(B24,'BIS + EDBA Final'!A:F,6,FALSE)</f>
        <v>1</v>
      </c>
      <c r="J24" s="5">
        <f>VLOOKUP(B24,'CBG Final'!A:B,2,FALSE)</f>
        <v>2</v>
      </c>
      <c r="K24" s="9">
        <f t="shared" si="0"/>
        <v>2.1999999999999997</v>
      </c>
      <c r="L24" s="5" t="s">
        <v>1344</v>
      </c>
      <c r="M24" s="5" t="s">
        <v>1345</v>
      </c>
      <c r="N24" s="5" t="s">
        <v>1346</v>
      </c>
      <c r="O24" s="5" t="s">
        <v>1347</v>
      </c>
      <c r="P24" s="5" t="s">
        <v>1348</v>
      </c>
      <c r="Q24" s="5" t="s">
        <v>1084</v>
      </c>
      <c r="R24" s="5" t="s">
        <v>422</v>
      </c>
      <c r="S24" s="10"/>
      <c r="T24" s="11"/>
      <c r="U24" s="11"/>
      <c r="V24" s="10"/>
      <c r="W24" s="10"/>
      <c r="X24" s="11"/>
      <c r="Y24" s="11"/>
      <c r="Z24" s="10"/>
      <c r="AA24" s="10"/>
      <c r="AB24" s="10"/>
      <c r="AC24" s="10"/>
      <c r="AD24" s="10"/>
      <c r="AE24" s="10"/>
      <c r="AF24" s="10"/>
      <c r="AG24" s="10"/>
      <c r="AH24" s="10"/>
    </row>
    <row r="25" spans="1:34" ht="15.75" customHeight="1">
      <c r="A25" s="5"/>
      <c r="B25" s="5" t="s">
        <v>1388</v>
      </c>
      <c r="C25" s="6" t="s">
        <v>62</v>
      </c>
      <c r="D25" s="7" t="s">
        <v>86</v>
      </c>
      <c r="E25" s="8">
        <v>383853</v>
      </c>
      <c r="F25" s="6" cm="1">
        <f t="array" ref="F25">_xlfn.IFS(
E25&lt;=$E$245,0,
E25&lt;=$E$246,1,
E25&lt;=$E$247,2,
E25&gt;=$E$247,3)</f>
        <v>3</v>
      </c>
      <c r="G25" s="7" cm="1">
        <f t="array" ref="G25">_xlfn.IFS(
OR(D25="Aerospace",D25="Aerospace &amp; Defense",D25="Agricultural Equipment",D25="Airlines",D25="Automotive",D25="Automotive &amp; Energy",D25="Automotive Components",D25="Aviation",D25="Building Materials",D25="Chemicals",D25="Commercial Vehicles",D25="Conglomerate &amp; Defense",D25="Conglomerate &amp; Energy",D25="Construction",D25="Construction &amp; Infrastructure",D25="Construction &amp; Real Estate",D25="Construction &amp; Telecom",D25="Discount Retail",D25="Energy Management",D25="Energy Technology",D25="Engines &amp; Power Systems",D25="Environmental Services",D25="Food Distribution",D25="Food Services",D25="Grocery Retail",D25="Healthcare &amp; Pharmacy",D25="Home Improvement Retail",D25="Industrial Engineering &amp; Electronics",D25="Oilfield Services",D25="Pharmaceuticals",D25="Pharmaceuticals &amp; Chemicals",D25="Pharmaceuticals &amp; Healthcare",D25="Pharmacy Retail",D25="Postal &amp; Logistics",D25="Retail",D25="Retail &amp; Distribution",D25="Retail &amp; Grocery",D25="Retail (IKEA)",D25="Tobacco",D25="Trading &amp; Conglomerate",D25="Utilities",D25="Utilities &amp; Energy",D25="Wholesale Retail"),2,
OR(D25="Agribusiness",D25="Automotive &amp; Heavy Vehicles",D25="Chemicals",D25="Commercial Vehicles",D25="Construction",D25="Construction &amp; Infrastructure",D25="Engines &amp; Power Systems",D25="Food Processing",D25="Healthcare",D25="Healthcare &amp; Medical Devices",D25="Heavy Equipment",D25="Heavy Industry",D25="Industrial Gases",D25="Industrial Manufacturing",D25="Logistics",D25="Medical Devices",D25="Mining",D25="Mining &amp; Commodities Trading",D25="Oil &amp; Gas",D25="Oilfield Services",D25="Rail Transport",D25="Shipping &amp; Logistics",D25="Steel"),3,
OR(D25="Apparel &amp; Footwear",D25="Beverage",D25="Coffeehouse &amp; Retail",D25="Conglomerate",D25="Consumer Goods",D25="Convenience Retail",D25="Electronics",D25="Electronics &amp; Semiconductors",D25="Electronics Retail",D25="Fashion Retail",D25="Food &amp; Beverage",D25="Food Retail &amp; Consumer Goods",D25="Industrial &amp; Technology",D25="Industrial Automation",D25="Industrial Technology",D25="Postal &amp; Financial Services",D25="Postal Services",D25="Scientific Instruments",D25="Technology Hardware",D25="Trading Company",D25="IT Consulting"),1,
OR(D25="Cosmetics",D25="E-commerce &amp; Cloud Computing",D25="Electronics &amp; Entertainment",D25="Entertainment &amp; Media",D25="Luxury Goods",D25="Media &amp; Telecommunications",D25="Networking Technology",D25="Real Estate Services",D25="Technology &amp; Consumer Electronics",D25="Telecommunications",D25="Telecommunications &amp; Investment"),1,
OR(D25="Asset Management",D25="Banking",D25="Banking &amp; Asset Services",D25="Banking &amp; Financial Services",D25="Banking &amp; Wealth Management",D25="Cloud Software",D25="Enterprise Software",D25="Financial Services",D25="Information Technology Consulting",D25="Investment Banking",D25="Social Media &amp; Technology",D25="Software &amp; Cloud Computing",D25="Technology &amp; Consulting",D25="Technology &amp; Internet Services",D25="Technology &amp; Software"),1,
TRUE,"Unmapped"
)</f>
        <v>2</v>
      </c>
      <c r="H25" s="5">
        <v>2</v>
      </c>
      <c r="I25" s="5">
        <f>VLOOKUP(B25,'BIS + EDBA Final'!A:F,6,FALSE)</f>
        <v>1</v>
      </c>
      <c r="J25" s="5">
        <f>VLOOKUP(B25,'CBG Final'!A:B,2,FALSE)</f>
        <v>2</v>
      </c>
      <c r="K25" s="9">
        <f t="shared" si="0"/>
        <v>2.1999999999999997</v>
      </c>
      <c r="L25" s="5" t="s">
        <v>1389</v>
      </c>
      <c r="M25" s="5" t="s">
        <v>693</v>
      </c>
      <c r="N25" s="5" t="s">
        <v>1390</v>
      </c>
      <c r="O25" s="5" t="s">
        <v>96</v>
      </c>
      <c r="P25" s="5" t="s">
        <v>1391</v>
      </c>
      <c r="Q25" s="5" t="s">
        <v>33</v>
      </c>
      <c r="R25" s="5" t="s">
        <v>20</v>
      </c>
      <c r="S25" s="10"/>
      <c r="T25" s="11"/>
      <c r="U25" s="11"/>
      <c r="V25" s="10"/>
      <c r="W25" s="10"/>
      <c r="X25" s="11"/>
      <c r="Y25" s="11"/>
      <c r="Z25" s="10"/>
      <c r="AA25" s="10"/>
      <c r="AB25" s="10"/>
      <c r="AC25" s="10"/>
      <c r="AD25" s="10"/>
      <c r="AE25" s="10"/>
      <c r="AF25" s="10"/>
      <c r="AG25" s="10"/>
      <c r="AH25" s="10"/>
    </row>
    <row r="26" spans="1:34" ht="15.75" customHeight="1">
      <c r="A26" s="5"/>
      <c r="B26" s="5" t="s">
        <v>463</v>
      </c>
      <c r="C26" s="6" t="s">
        <v>36</v>
      </c>
      <c r="D26" s="7" t="s">
        <v>63</v>
      </c>
      <c r="E26" s="8">
        <v>440000</v>
      </c>
      <c r="F26" s="6" cm="1">
        <f t="array" ref="F26">_xlfn.IFS(
E26&lt;=$E$245,0,
E26&lt;=$E$246,1,
E26&lt;=$E$247,2,
E26&gt;=$E$247,3)</f>
        <v>3</v>
      </c>
      <c r="G26" s="7" cm="1">
        <f t="array" ref="G26">_xlfn.IFS(
OR(D26="Aerospace",D26="Aerospace &amp; Defense",D26="Agricultural Equipment",D26="Airlines",D26="Automotive",D26="Automotive &amp; Energy",D26="Automotive Components",D26="Aviation",D26="Building Materials",D26="Chemicals",D26="Commercial Vehicles",D26="Conglomerate &amp; Defense",D26="Conglomerate &amp; Energy",D26="Construction",D26="Construction &amp; Infrastructure",D26="Construction &amp; Real Estate",D26="Construction &amp; Telecom",D26="Discount Retail",D26="Energy Management",D26="Energy Technology",D26="Engines &amp; Power Systems",D26="Environmental Services",D26="Food Distribution",D26="Food Services",D26="Grocery Retail",D26="Healthcare &amp; Pharmacy",D26="Home Improvement Retail",D26="Industrial Engineering &amp; Electronics",D26="Oilfield Services",D26="Pharmaceuticals",D26="Pharmaceuticals &amp; Chemicals",D26="Pharmaceuticals &amp; Healthcare",D26="Pharmacy Retail",D26="Postal &amp; Logistics",D26="Retail",D26="Retail &amp; Distribution",D26="Retail &amp; Grocery",D26="Retail (IKEA)",D26="Tobacco",D26="Trading &amp; Conglomerate",D26="Utilities",D26="Utilities &amp; Energy",D26="Wholesale Retail"),2,
OR(D26="Agribusiness",D26="Automotive &amp; Heavy Vehicles",D26="Chemicals",D26="Commercial Vehicles",D26="Construction",D26="Construction &amp; Infrastructure",D26="Engines &amp; Power Systems",D26="Food Processing",D26="Healthcare",D26="Healthcare &amp; Medical Devices",D26="Heavy Equipment",D26="Heavy Industry",D26="Industrial Gases",D26="Industrial Manufacturing",D26="Logistics",D26="Medical Devices",D26="Mining",D26="Mining &amp; Commodities Trading",D26="Oil &amp; Gas",D26="Oilfield Services",D26="Rail Transport",D26="Shipping &amp; Logistics",D26="Steel"),3,
OR(D26="Apparel &amp; Footwear",D26="Beverage",D26="Coffeehouse &amp; Retail",D26="Conglomerate",D26="Consumer Goods",D26="Convenience Retail",D26="Electronics",D26="Electronics &amp; Semiconductors",D26="Electronics Retail",D26="Fashion Retail",D26="Food &amp; Beverage",D26="Food Retail &amp; Consumer Goods",D26="Industrial &amp; Technology",D26="Industrial Automation",D26="Industrial Technology",D26="Postal &amp; Financial Services",D26="Postal Services",D26="Scientific Instruments",D26="Technology Hardware",D26="Trading Company",D26="IT Consulting"),1,
OR(D26="Cosmetics",D26="E-commerce &amp; Cloud Computing",D26="Electronics &amp; Entertainment",D26="Entertainment &amp; Media",D26="Luxury Goods",D26="Media &amp; Telecommunications",D26="Networking Technology",D26="Real Estate Services",D26="Technology &amp; Consumer Electronics",D26="Telecommunications",D26="Telecommunications &amp; Investment"),1,
OR(D26="Asset Management",D26="Banking",D26="Banking &amp; Asset Services",D26="Banking &amp; Financial Services",D26="Banking &amp; Wealth Management",D26="Cloud Software",D26="Enterprise Software",D26="Financial Services",D26="Information Technology Consulting",D26="Investment Banking",D26="Social Media &amp; Technology",D26="Software &amp; Cloud Computing",D26="Technology &amp; Consulting",D26="Technology &amp; Internet Services",D26="Technology &amp; Software"),1,
TRUE,"Unmapped"
)</f>
        <v>2</v>
      </c>
      <c r="H26" s="5">
        <v>2</v>
      </c>
      <c r="I26" s="5">
        <f>VLOOKUP(B26,'BIS + EDBA Final'!A:F,6,FALSE)</f>
        <v>1</v>
      </c>
      <c r="J26" s="5">
        <f>VLOOKUP(B26,'CBG Final'!A:B,2,FALSE)</f>
        <v>2</v>
      </c>
      <c r="K26" s="9">
        <f t="shared" si="0"/>
        <v>2.1999999999999997</v>
      </c>
      <c r="L26" s="5" t="s">
        <v>1362</v>
      </c>
      <c r="M26" s="5" t="s">
        <v>191</v>
      </c>
      <c r="N26" s="5" t="s">
        <v>1363</v>
      </c>
      <c r="O26" s="5" t="s">
        <v>171</v>
      </c>
      <c r="P26" s="5" t="s">
        <v>1364</v>
      </c>
      <c r="Q26" s="5" t="s">
        <v>69</v>
      </c>
      <c r="R26" s="5" t="s">
        <v>20</v>
      </c>
      <c r="S26" s="10"/>
      <c r="T26" s="11"/>
      <c r="U26" s="11"/>
      <c r="V26" s="10"/>
      <c r="W26" s="10"/>
      <c r="X26" s="11"/>
      <c r="Y26" s="11"/>
      <c r="Z26" s="10"/>
      <c r="AA26" s="10"/>
      <c r="AB26" s="10"/>
      <c r="AC26" s="10"/>
      <c r="AD26" s="10"/>
      <c r="AE26" s="10"/>
      <c r="AF26" s="10"/>
      <c r="AG26" s="10"/>
      <c r="AH26" s="10"/>
    </row>
    <row r="27" spans="1:34" ht="15.75" customHeight="1">
      <c r="A27" s="5"/>
      <c r="B27" s="5" t="s">
        <v>1443</v>
      </c>
      <c r="C27" s="6" t="s">
        <v>36</v>
      </c>
      <c r="D27" s="7" t="s">
        <v>63</v>
      </c>
      <c r="E27" s="8">
        <v>2100000</v>
      </c>
      <c r="F27" s="6" cm="1">
        <f t="array" ref="F27">_xlfn.IFS(
E27&lt;=$E$245,0,
E27&lt;=$E$246,1,
E27&lt;=$E$247,2,
E27&gt;=$E$247,3)</f>
        <v>3</v>
      </c>
      <c r="G27" s="7" cm="1">
        <f t="array" ref="G27">_xlfn.IFS(
OR(D27="Aerospace",D27="Aerospace &amp; Defense",D27="Agricultural Equipment",D27="Airlines",D27="Automotive",D27="Automotive &amp; Energy",D27="Automotive Components",D27="Aviation",D27="Building Materials",D27="Chemicals",D27="Commercial Vehicles",D27="Conglomerate &amp; Defense",D27="Conglomerate &amp; Energy",D27="Construction",D27="Construction &amp; Infrastructure",D27="Construction &amp; Real Estate",D27="Construction &amp; Telecom",D27="Discount Retail",D27="Energy Management",D27="Energy Technology",D27="Engines &amp; Power Systems",D27="Environmental Services",D27="Food Distribution",D27="Food Services",D27="Grocery Retail",D27="Healthcare &amp; Pharmacy",D27="Home Improvement Retail",D27="Industrial Engineering &amp; Electronics",D27="Oilfield Services",D27="Pharmaceuticals",D27="Pharmaceuticals &amp; Chemicals",D27="Pharmaceuticals &amp; Healthcare",D27="Pharmacy Retail",D27="Postal &amp; Logistics",D27="Retail",D27="Retail &amp; Distribution",D27="Retail &amp; Grocery",D27="Retail (IKEA)",D27="Tobacco",D27="Trading &amp; Conglomerate",D27="Utilities",D27="Utilities &amp; Energy",D27="Wholesale Retail"),2,
OR(D27="Agribusiness",D27="Automotive &amp; Heavy Vehicles",D27="Chemicals",D27="Commercial Vehicles",D27="Construction",D27="Construction &amp; Infrastructure",D27="Engines &amp; Power Systems",D27="Food Processing",D27="Healthcare",D27="Healthcare &amp; Medical Devices",D27="Heavy Equipment",D27="Heavy Industry",D27="Industrial Gases",D27="Industrial Manufacturing",D27="Logistics",D27="Medical Devices",D27="Mining",D27="Mining &amp; Commodities Trading",D27="Oil &amp; Gas",D27="Oilfield Services",D27="Rail Transport",D27="Shipping &amp; Logistics",D27="Steel"),3,
OR(D27="Apparel &amp; Footwear",D27="Beverage",D27="Coffeehouse &amp; Retail",D27="Conglomerate",D27="Consumer Goods",D27="Convenience Retail",D27="Electronics",D27="Electronics &amp; Semiconductors",D27="Electronics Retail",D27="Fashion Retail",D27="Food &amp; Beverage",D27="Food Retail &amp; Consumer Goods",D27="Industrial &amp; Technology",D27="Industrial Automation",D27="Industrial Technology",D27="Postal &amp; Financial Services",D27="Postal Services",D27="Scientific Instruments",D27="Technology Hardware",D27="Trading Company",D27="IT Consulting"),1,
OR(D27="Cosmetics",D27="E-commerce &amp; Cloud Computing",D27="Electronics &amp; Entertainment",D27="Entertainment &amp; Media",D27="Luxury Goods",D27="Media &amp; Telecommunications",D27="Networking Technology",D27="Real Estate Services",D27="Technology &amp; Consumer Electronics",D27="Telecommunications",D27="Telecommunications &amp; Investment"),1,
OR(D27="Asset Management",D27="Banking",D27="Banking &amp; Asset Services",D27="Banking &amp; Financial Services",D27="Banking &amp; Wealth Management",D27="Cloud Software",D27="Enterprise Software",D27="Financial Services",D27="Information Technology Consulting",D27="Investment Banking",D27="Social Media &amp; Technology",D27="Software &amp; Cloud Computing",D27="Technology &amp; Consulting",D27="Technology &amp; Internet Services",D27="Technology &amp; Software"),1,
TRUE,"Unmapped"
)</f>
        <v>2</v>
      </c>
      <c r="H27" s="5">
        <v>2</v>
      </c>
      <c r="I27" s="5">
        <f>VLOOKUP(B27,'BIS + EDBA Final'!A:F,6,FALSE)</f>
        <v>-1</v>
      </c>
      <c r="J27" s="5">
        <f>VLOOKUP(B27,'CBG Final'!A:B,2,FALSE)</f>
        <v>3</v>
      </c>
      <c r="K27" s="9">
        <f t="shared" si="0"/>
        <v>2.1999999999999997</v>
      </c>
      <c r="L27" s="5" t="s">
        <v>1444</v>
      </c>
      <c r="M27" s="5" t="s">
        <v>264</v>
      </c>
      <c r="N27" s="5" t="s">
        <v>1445</v>
      </c>
      <c r="O27" s="5" t="s">
        <v>1446</v>
      </c>
      <c r="P27" s="5" t="s">
        <v>1447</v>
      </c>
      <c r="Q27" s="5" t="s">
        <v>33</v>
      </c>
      <c r="R27" s="5" t="s">
        <v>20</v>
      </c>
      <c r="S27" s="10"/>
      <c r="T27" s="12"/>
      <c r="U27" s="12"/>
      <c r="V27" s="10"/>
      <c r="W27" s="10"/>
      <c r="X27" s="12"/>
      <c r="Y27" s="12"/>
      <c r="Z27" s="10"/>
      <c r="AA27" s="10"/>
      <c r="AB27" s="10"/>
      <c r="AC27" s="10"/>
      <c r="AD27" s="10"/>
      <c r="AE27" s="10"/>
      <c r="AF27" s="10"/>
      <c r="AG27" s="10"/>
      <c r="AH27" s="10"/>
    </row>
    <row r="28" spans="1:34" ht="15.75" customHeight="1">
      <c r="A28" s="5"/>
      <c r="B28" s="5" t="s">
        <v>1067</v>
      </c>
      <c r="C28" s="6" t="s">
        <v>36</v>
      </c>
      <c r="D28" s="7" t="s">
        <v>333</v>
      </c>
      <c r="E28" s="8">
        <v>409000</v>
      </c>
      <c r="F28" s="6" cm="1">
        <f t="array" ref="F28">_xlfn.IFS(
E28&lt;=$E$245,0,
E28&lt;=$E$246,1,
E28&lt;=$E$247,2,
E28&gt;=$E$247,3)</f>
        <v>3</v>
      </c>
      <c r="G28" s="7" cm="1">
        <f t="array" ref="G28">_xlfn.IFS(
OR(D28="Aerospace",D28="Aerospace &amp; Defense",D28="Agricultural Equipment",D28="Airlines",D28="Automotive",D28="Automotive &amp; Energy",D28="Automotive Components",D28="Aviation",D28="Building Materials",D28="Chemicals",D28="Commercial Vehicles",D28="Conglomerate &amp; Defense",D28="Conglomerate &amp; Energy",D28="Construction",D28="Construction &amp; Infrastructure",D28="Construction &amp; Real Estate",D28="Construction &amp; Telecom",D28="Discount Retail",D28="Energy Management",D28="Energy Technology",D28="Engines &amp; Power Systems",D28="Environmental Services",D28="Food Distribution",D28="Food Services",D28="Grocery Retail",D28="Healthcare &amp; Pharmacy",D28="Home Improvement Retail",D28="Industrial Engineering &amp; Electronics",D28="Oilfield Services",D28="Pharmaceuticals",D28="Pharmaceuticals &amp; Chemicals",D28="Pharmaceuticals &amp; Healthcare",D28="Pharmacy Retail",D28="Postal &amp; Logistics",D28="Retail",D28="Retail &amp; Distribution",D28="Retail &amp; Grocery",D28="Retail (IKEA)",D28="Tobacco",D28="Trading &amp; Conglomerate",D28="Utilities",D28="Utilities &amp; Energy",D28="Wholesale Retail"),2,
OR(D28="Agribusiness",D28="Automotive &amp; Heavy Vehicles",D28="Chemicals",D28="Commercial Vehicles",D28="Construction",D28="Construction &amp; Infrastructure",D28="Engines &amp; Power Systems",D28="Food Processing",D28="Healthcare",D28="Healthcare &amp; Medical Devices",D28="Heavy Equipment",D28="Heavy Industry",D28="Industrial Gases",D28="Industrial Manufacturing",D28="Logistics",D28="Medical Devices",D28="Mining",D28="Mining &amp; Commodities Trading",D28="Oil &amp; Gas",D28="Oilfield Services",D28="Rail Transport",D28="Shipping &amp; Logistics",D28="Steel"),3,
OR(D28="Apparel &amp; Footwear",D28="Beverage",D28="Coffeehouse &amp; Retail",D28="Conglomerate",D28="Consumer Goods",D28="Convenience Retail",D28="Electronics",D28="Electronics &amp; Semiconductors",D28="Electronics Retail",D28="Fashion Retail",D28="Food &amp; Beverage",D28="Food Retail &amp; Consumer Goods",D28="Industrial &amp; Technology",D28="Industrial Automation",D28="Industrial Technology",D28="Postal &amp; Financial Services",D28="Postal Services",D28="Scientific Instruments",D28="Technology Hardware",D28="Trading Company",D28="IT Consulting"),1,
OR(D28="Cosmetics",D28="E-commerce &amp; Cloud Computing",D28="Electronics &amp; Entertainment",D28="Entertainment &amp; Media",D28="Luxury Goods",D28="Media &amp; Telecommunications",D28="Networking Technology",D28="Real Estate Services",D28="Technology &amp; Consumer Electronics",D28="Telecommunications",D28="Telecommunications &amp; Investment"),1,
OR(D28="Asset Management",D28="Banking",D28="Banking &amp; Asset Services",D28="Banking &amp; Financial Services",D28="Banking &amp; Wealth Management",D28="Cloud Software",D28="Enterprise Software",D28="Financial Services",D28="Information Technology Consulting",D28="Investment Banking",D28="Social Media &amp; Technology",D28="Software &amp; Cloud Computing",D28="Technology &amp; Consulting",D28="Technology &amp; Internet Services",D28="Technology &amp; Software"),1,
TRUE,"Unmapped"
)</f>
        <v>2</v>
      </c>
      <c r="H28" s="5">
        <v>2</v>
      </c>
      <c r="I28" s="5">
        <f>VLOOKUP(B28,'BIS + EDBA Final'!A:F,6,FALSE)</f>
        <v>-1</v>
      </c>
      <c r="J28" s="5">
        <f>VLOOKUP(B28,'CBG Final'!A:B,2,FALSE)</f>
        <v>3</v>
      </c>
      <c r="K28" s="9">
        <f t="shared" si="0"/>
        <v>2.1999999999999997</v>
      </c>
      <c r="L28" s="5" t="s">
        <v>1068</v>
      </c>
      <c r="M28" s="5" t="s">
        <v>736</v>
      </c>
      <c r="N28" s="5" t="s">
        <v>1069</v>
      </c>
      <c r="O28" s="5" t="s">
        <v>1070</v>
      </c>
      <c r="P28" s="5" t="s">
        <v>1071</v>
      </c>
      <c r="Q28" s="5" t="s">
        <v>29</v>
      </c>
      <c r="R28" s="5" t="s">
        <v>20</v>
      </c>
      <c r="S28" s="10"/>
      <c r="T28" s="11"/>
      <c r="U28" s="11"/>
      <c r="V28" s="10"/>
      <c r="W28" s="10"/>
      <c r="X28" s="11"/>
      <c r="Y28" s="11"/>
      <c r="Z28" s="10"/>
      <c r="AA28" s="10"/>
      <c r="AB28" s="10"/>
      <c r="AC28" s="10"/>
      <c r="AD28" s="10"/>
      <c r="AE28" s="10"/>
      <c r="AF28" s="10"/>
      <c r="AG28" s="10"/>
      <c r="AH28" s="10"/>
    </row>
    <row r="29" spans="1:34" ht="15.75" customHeight="1">
      <c r="A29" s="5"/>
      <c r="B29" s="5" t="s">
        <v>21</v>
      </c>
      <c r="C29" s="6" t="s">
        <v>22</v>
      </c>
      <c r="D29" s="7" t="s">
        <v>23</v>
      </c>
      <c r="E29" s="8">
        <v>381876</v>
      </c>
      <c r="F29" s="6" cm="1">
        <f t="array" ref="F29">_xlfn.IFS(
E29&lt;=$E$245,0,
E29&lt;=$E$246,1,
E29&lt;=$E$247,2,
E29&gt;=$E$247,3)</f>
        <v>3</v>
      </c>
      <c r="G29" s="7" cm="1">
        <f t="array" ref="G29">_xlfn.IFS(
OR(D29="Aerospace",D29="Aerospace &amp; Defense",D29="Agricultural Equipment",D29="Airlines",D29="Automotive",D29="Automotive &amp; Energy",D29="Automotive Components",D29="Aviation",D29="Building Materials",D29="Chemicals",D29="Commercial Vehicles",D29="Conglomerate &amp; Defense",D29="Conglomerate &amp; Energy",D29="Construction",D29="Construction &amp; Infrastructure",D29="Construction &amp; Real Estate",D29="Construction &amp; Telecom",D29="Discount Retail",D29="Energy Management",D29="Energy Technology",D29="Engines &amp; Power Systems",D29="Environmental Services",D29="Food Distribution",D29="Food Services",D29="Grocery Retail",D29="Healthcare &amp; Pharmacy",D29="Home Improvement Retail",D29="Industrial Engineering &amp; Electronics",D29="Oilfield Services",D29="Pharmaceuticals",D29="Pharmaceuticals &amp; Chemicals",D29="Pharmaceuticals &amp; Healthcare",D29="Pharmacy Retail",D29="Postal &amp; Logistics",D29="Retail",D29="Retail &amp; Distribution",D29="Retail &amp; Grocery",D29="Retail (IKEA)",D29="Tobacco",D29="Trading &amp; Conglomerate",D29="Utilities",D29="Utilities &amp; Energy",D29="Wholesale Retail"),2,
OR(D29="Agribusiness",D29="Automotive &amp; Heavy Vehicles",D29="Chemicals",D29="Commercial Vehicles",D29="Construction",D29="Construction &amp; Infrastructure",D29="Engines &amp; Power Systems",D29="Food Processing",D29="Healthcare",D29="Healthcare &amp; Medical Devices",D29="Heavy Equipment",D29="Heavy Industry",D29="Industrial Gases",D29="Industrial Manufacturing",D29="Logistics",D29="Medical Devices",D29="Mining",D29="Mining &amp; Commodities Trading",D29="Oil &amp; Gas",D29="Oilfield Services",D29="Rail Transport",D29="Shipping &amp; Logistics",D29="Steel"),3,
OR(D29="Apparel &amp; Footwear",D29="Beverage",D29="Coffeehouse &amp; Retail",D29="Conglomerate",D29="Consumer Goods",D29="Convenience Retail",D29="Electronics",D29="Electronics &amp; Semiconductors",D29="Electronics Retail",D29="Fashion Retail",D29="Food &amp; Beverage",D29="Food Retail &amp; Consumer Goods",D29="Industrial &amp; Technology",D29="Industrial Automation",D29="Industrial Technology",D29="Postal &amp; Financial Services",D29="Postal Services",D29="Scientific Instruments",D29="Technology Hardware",D29="Trading Company",D29="IT Consulting"),1,
OR(D29="Cosmetics",D29="E-commerce &amp; Cloud Computing",D29="Electronics &amp; Entertainment",D29="Entertainment &amp; Media",D29="Luxury Goods",D29="Media &amp; Telecommunications",D29="Networking Technology",D29="Real Estate Services",D29="Technology &amp; Consumer Electronics",D29="Telecommunications",D29="Telecommunications &amp; Investment"),1,
OR(D29="Asset Management",D29="Banking",D29="Banking &amp; Asset Services",D29="Banking &amp; Financial Services",D29="Banking &amp; Wealth Management",D29="Cloud Software",D29="Enterprise Software",D29="Financial Services",D29="Information Technology Consulting",D29="Investment Banking",D29="Social Media &amp; Technology",D29="Software &amp; Cloud Computing",D29="Technology &amp; Consulting",D29="Technology &amp; Internet Services",D29="Technology &amp; Software"),1,
TRUE,"Unmapped"
)</f>
        <v>2</v>
      </c>
      <c r="H29" s="5">
        <f>VLOOKUP(B29,'BIS + EDBA Final'!A:K,2,FALSE)</f>
        <v>3</v>
      </c>
      <c r="I29" s="5">
        <f>VLOOKUP(B29,'BIS + EDBA Final'!A:F,6,FALSE)</f>
        <v>0</v>
      </c>
      <c r="J29" s="5">
        <f>VLOOKUP(B29,'CBG Final'!A:B,2,FALSE)</f>
        <v>1</v>
      </c>
      <c r="K29" s="9">
        <f t="shared" si="0"/>
        <v>2.1</v>
      </c>
      <c r="L29" s="5" t="s">
        <v>24</v>
      </c>
      <c r="M29" s="5" t="s">
        <v>25</v>
      </c>
      <c r="N29" s="5" t="s">
        <v>26</v>
      </c>
      <c r="O29" s="5" t="s">
        <v>27</v>
      </c>
      <c r="P29" s="5" t="s">
        <v>28</v>
      </c>
      <c r="Q29" s="5" t="s">
        <v>29</v>
      </c>
      <c r="R29" s="5" t="s">
        <v>30</v>
      </c>
      <c r="S29" s="10"/>
      <c r="T29" s="11"/>
      <c r="U29" s="11"/>
      <c r="V29" s="10"/>
      <c r="W29" s="10"/>
      <c r="X29" s="11"/>
      <c r="Y29" s="11"/>
      <c r="Z29" s="10"/>
      <c r="AA29" s="10"/>
      <c r="AB29" s="10"/>
      <c r="AC29" s="10"/>
      <c r="AD29" s="10">
        <f>_xlfn.PERCENTILE.INC($E$2:$E$231,0.25)</f>
        <v>83151.75</v>
      </c>
      <c r="AE29" s="10"/>
      <c r="AF29" s="10"/>
      <c r="AG29" s="10"/>
      <c r="AH29" s="10"/>
    </row>
    <row r="30" spans="1:34" ht="15.75" customHeight="1">
      <c r="A30" s="5"/>
      <c r="B30" s="5" t="s">
        <v>737</v>
      </c>
      <c r="C30" s="6" t="s">
        <v>36</v>
      </c>
      <c r="D30" s="7" t="s">
        <v>279</v>
      </c>
      <c r="E30" s="8">
        <v>138000</v>
      </c>
      <c r="F30" s="6" cm="1">
        <f t="array" ref="F30">_xlfn.IFS(
E30&lt;=$E$245,0,
E30&lt;=$E$246,1,
E30&lt;=$E$247,2,
E30&gt;=$E$247,3)</f>
        <v>2</v>
      </c>
      <c r="G30" s="7" cm="1">
        <f t="array" ref="G30">_xlfn.IFS(
OR(D30="Aerospace",D30="Aerospace &amp; Defense",D30="Agricultural Equipment",D30="Airlines",D30="Automotive",D30="Automotive &amp; Energy",D30="Automotive Components",D30="Aviation",D30="Building Materials",D30="Chemicals",D30="Commercial Vehicles",D30="Conglomerate &amp; Defense",D30="Conglomerate &amp; Energy",D30="Construction",D30="Construction &amp; Infrastructure",D30="Construction &amp; Real Estate",D30="Construction &amp; Telecom",D30="Discount Retail",D30="Energy Management",D30="Energy Technology",D30="Engines &amp; Power Systems",D30="Environmental Services",D30="Food Distribution",D30="Food Services",D30="Grocery Retail",D30="Healthcare &amp; Pharmacy",D30="Home Improvement Retail",D30="Industrial Engineering &amp; Electronics",D30="Oilfield Services",D30="Pharmaceuticals",D30="Pharmaceuticals &amp; Chemicals",D30="Pharmaceuticals &amp; Healthcare",D30="Pharmacy Retail",D30="Postal &amp; Logistics",D30="Retail",D30="Retail &amp; Distribution",D30="Retail &amp; Grocery",D30="Retail (IKEA)",D30="Tobacco",D30="Trading &amp; Conglomerate",D30="Utilities",D30="Utilities &amp; Energy",D30="Wholesale Retail"),2,
OR(D30="Agribusiness",D30="Automotive &amp; Heavy Vehicles",D30="Chemicals",D30="Commercial Vehicles",D30="Construction",D30="Construction &amp; Infrastructure",D30="Engines &amp; Power Systems",D30="Food Processing",D30="Healthcare",D30="Healthcare &amp; Medical Devices",D30="Heavy Equipment",D30="Heavy Industry",D30="Industrial Gases",D30="Industrial Manufacturing",D30="Logistics",D30="Medical Devices",D30="Mining",D30="Mining &amp; Commodities Trading",D30="Oil &amp; Gas",D30="Oilfield Services",D30="Rail Transport",D30="Shipping &amp; Logistics",D30="Steel"),3,
OR(D30="Apparel &amp; Footwear",D30="Beverage",D30="Coffeehouse &amp; Retail",D30="Conglomerate",D30="Consumer Goods",D30="Convenience Retail",D30="Electronics",D30="Electronics &amp; Semiconductors",D30="Electronics Retail",D30="Fashion Retail",D30="Food &amp; Beverage",D30="Food Retail &amp; Consumer Goods",D30="Industrial &amp; Technology",D30="Industrial Automation",D30="Industrial Technology",D30="Postal &amp; Financial Services",D30="Postal Services",D30="Scientific Instruments",D30="Technology Hardware",D30="Trading Company",D30="IT Consulting"),1,
OR(D30="Cosmetics",D30="E-commerce &amp; Cloud Computing",D30="Electronics &amp; Entertainment",D30="Entertainment &amp; Media",D30="Luxury Goods",D30="Media &amp; Telecommunications",D30="Networking Technology",D30="Real Estate Services",D30="Technology &amp; Consumer Electronics",D30="Telecommunications",D30="Telecommunications &amp; Investment"),1,
OR(D30="Asset Management",D30="Banking",D30="Banking &amp; Asset Services",D30="Banking &amp; Financial Services",D30="Banking &amp; Wealth Management",D30="Cloud Software",D30="Enterprise Software",D30="Financial Services",D30="Information Technology Consulting",D30="Investment Banking",D30="Social Media &amp; Technology",D30="Software &amp; Cloud Computing",D30="Technology &amp; Consulting",D30="Technology &amp; Internet Services",D30="Technology &amp; Software"),1,
TRUE,"Unmapped"
)</f>
        <v>3</v>
      </c>
      <c r="H30" s="5">
        <v>2</v>
      </c>
      <c r="I30" s="5">
        <f>VLOOKUP(B30,'BIS + EDBA Final'!A:F,6,FALSE)</f>
        <v>1</v>
      </c>
      <c r="J30" s="5">
        <f>VLOOKUP(B30,'CBG Final'!A:B,2,FALSE)</f>
        <v>2</v>
      </c>
      <c r="K30" s="9">
        <f t="shared" si="0"/>
        <v>2.1</v>
      </c>
      <c r="L30" s="5" t="s">
        <v>1395</v>
      </c>
      <c r="M30" s="5" t="s">
        <v>335</v>
      </c>
      <c r="N30" s="5" t="s">
        <v>1396</v>
      </c>
      <c r="O30" s="5"/>
      <c r="P30" s="5" t="s">
        <v>1397</v>
      </c>
      <c r="Q30" s="5" t="s">
        <v>29</v>
      </c>
      <c r="R30" s="5" t="s">
        <v>47</v>
      </c>
      <c r="S30" s="10"/>
      <c r="T30" s="11"/>
      <c r="U30" s="11"/>
      <c r="V30" s="10"/>
      <c r="W30" s="10"/>
      <c r="X30" s="10"/>
      <c r="Y30" s="10"/>
      <c r="Z30" s="10"/>
      <c r="AA30" s="10"/>
      <c r="AB30" s="10"/>
      <c r="AC30" s="10"/>
      <c r="AD30" s="10"/>
      <c r="AE30" s="10"/>
      <c r="AF30" s="10"/>
      <c r="AG30" s="10"/>
      <c r="AH30" s="10"/>
    </row>
    <row r="31" spans="1:34" ht="15.75" customHeight="1">
      <c r="A31" s="5"/>
      <c r="B31" s="5" t="s">
        <v>1093</v>
      </c>
      <c r="C31" s="6" t="s">
        <v>36</v>
      </c>
      <c r="D31" s="7" t="s">
        <v>212</v>
      </c>
      <c r="E31" s="8">
        <v>121000</v>
      </c>
      <c r="F31" s="6" cm="1">
        <f t="array" ref="F31">_xlfn.IFS(
E31&lt;=$E$245,0,
E31&lt;=$E$246,1,
E31&lt;=$E$247,2,
E31&gt;=$E$247,3)</f>
        <v>2</v>
      </c>
      <c r="G31" s="7" cm="1">
        <f t="array" ref="G31">_xlfn.IFS(
OR(D31="Aerospace",D31="Aerospace &amp; Defense",D31="Agricultural Equipment",D31="Airlines",D31="Automotive",D31="Automotive &amp; Energy",D31="Automotive Components",D31="Aviation",D31="Building Materials",D31="Chemicals",D31="Commercial Vehicles",D31="Conglomerate &amp; Defense",D31="Conglomerate &amp; Energy",D31="Construction",D31="Construction &amp; Infrastructure",D31="Construction &amp; Real Estate",D31="Construction &amp; Telecom",D31="Discount Retail",D31="Energy Management",D31="Energy Technology",D31="Engines &amp; Power Systems",D31="Environmental Services",D31="Food Distribution",D31="Food Services",D31="Grocery Retail",D31="Healthcare &amp; Pharmacy",D31="Home Improvement Retail",D31="Industrial Engineering &amp; Electronics",D31="Oilfield Services",D31="Pharmaceuticals",D31="Pharmaceuticals &amp; Chemicals",D31="Pharmaceuticals &amp; Healthcare",D31="Pharmacy Retail",D31="Postal &amp; Logistics",D31="Retail",D31="Retail &amp; Distribution",D31="Retail &amp; Grocery",D31="Retail (IKEA)",D31="Tobacco",D31="Trading &amp; Conglomerate",D31="Utilities",D31="Utilities &amp; Energy",D31="Wholesale Retail"),2,
OR(D31="Agribusiness",D31="Automotive &amp; Heavy Vehicles",D31="Chemicals",D31="Commercial Vehicles",D31="Construction",D31="Construction &amp; Infrastructure",D31="Engines &amp; Power Systems",D31="Food Processing",D31="Healthcare",D31="Healthcare &amp; Medical Devices",D31="Heavy Equipment",D31="Heavy Industry",D31="Industrial Gases",D31="Industrial Manufacturing",D31="Logistics",D31="Medical Devices",D31="Mining",D31="Mining &amp; Commodities Trading",D31="Oil &amp; Gas",D31="Oilfield Services",D31="Rail Transport",D31="Shipping &amp; Logistics",D31="Steel"),3,
OR(D31="Apparel &amp; Footwear",D31="Beverage",D31="Coffeehouse &amp; Retail",D31="Conglomerate",D31="Consumer Goods",D31="Convenience Retail",D31="Electronics",D31="Electronics &amp; Semiconductors",D31="Electronics Retail",D31="Fashion Retail",D31="Food &amp; Beverage",D31="Food Retail &amp; Consumer Goods",D31="Industrial &amp; Technology",D31="Industrial Automation",D31="Industrial Technology",D31="Postal &amp; Financial Services",D31="Postal Services",D31="Scientific Instruments",D31="Technology Hardware",D31="Trading Company",D31="IT Consulting"),1,
OR(D31="Cosmetics",D31="E-commerce &amp; Cloud Computing",D31="Electronics &amp; Entertainment",D31="Entertainment &amp; Media",D31="Luxury Goods",D31="Media &amp; Telecommunications",D31="Networking Technology",D31="Real Estate Services",D31="Technology &amp; Consumer Electronics",D31="Telecommunications",D31="Telecommunications &amp; Investment"),1,
OR(D31="Asset Management",D31="Banking",D31="Banking &amp; Asset Services",D31="Banking &amp; Financial Services",D31="Banking &amp; Wealth Management",D31="Cloud Software",D31="Enterprise Software",D31="Financial Services",D31="Information Technology Consulting",D31="Investment Banking",D31="Social Media &amp; Technology",D31="Software &amp; Cloud Computing",D31="Technology &amp; Consulting",D31="Technology &amp; Internet Services",D31="Technology &amp; Software"),1,
TRUE,"Unmapped"
)</f>
        <v>2</v>
      </c>
      <c r="H31" s="5">
        <v>2</v>
      </c>
      <c r="I31" s="5">
        <f>VLOOKUP(B31,'BIS + EDBA Final'!A:F,6,FALSE)</f>
        <v>1</v>
      </c>
      <c r="J31" s="5">
        <f>VLOOKUP(B31,'CBG Final'!A:B,2,FALSE)</f>
        <v>3</v>
      </c>
      <c r="K31" s="9">
        <f t="shared" si="0"/>
        <v>2.1</v>
      </c>
      <c r="L31" s="5" t="s">
        <v>1094</v>
      </c>
      <c r="M31" s="5" t="s">
        <v>264</v>
      </c>
      <c r="N31" s="5" t="s">
        <v>1095</v>
      </c>
      <c r="O31" s="5" t="s">
        <v>1096</v>
      </c>
      <c r="P31" s="5" t="s">
        <v>1097</v>
      </c>
      <c r="Q31" s="5" t="s">
        <v>344</v>
      </c>
      <c r="R31" s="5" t="s">
        <v>20</v>
      </c>
      <c r="S31" s="10"/>
      <c r="T31" s="11"/>
      <c r="U31" s="11"/>
      <c r="V31" s="10"/>
      <c r="W31" s="10"/>
      <c r="X31" s="11"/>
      <c r="Y31" s="11"/>
      <c r="Z31" s="10"/>
      <c r="AA31" s="10"/>
      <c r="AB31" s="10"/>
      <c r="AC31" s="10"/>
      <c r="AD31" s="10"/>
      <c r="AE31" s="10"/>
      <c r="AF31" s="10"/>
      <c r="AG31" s="10"/>
      <c r="AH31" s="10"/>
    </row>
    <row r="32" spans="1:34" ht="15.75" customHeight="1">
      <c r="A32" s="5"/>
      <c r="B32" s="5" t="s">
        <v>1053</v>
      </c>
      <c r="C32" s="6" t="s">
        <v>36</v>
      </c>
      <c r="D32" s="7" t="s">
        <v>1054</v>
      </c>
      <c r="E32" s="8">
        <v>138100</v>
      </c>
      <c r="F32" s="6" cm="1">
        <f t="array" ref="F32">_xlfn.IFS(
E32&lt;=$E$245,0,
E32&lt;=$E$246,1,
E32&lt;=$E$247,2,
E32&gt;=$E$247,3)</f>
        <v>2</v>
      </c>
      <c r="G32" s="7" cm="1">
        <f t="array" ref="G32">_xlfn.IFS(
OR(D32="Aerospace",D32="Aerospace &amp; Defense",D32="Agricultural Equipment",D32="Airlines",D32="Automotive",D32="Automotive &amp; Energy",D32="Automotive Components",D32="Aviation",D32="Building Materials",D32="Chemicals",D32="Commercial Vehicles",D32="Conglomerate &amp; Defense",D32="Conglomerate &amp; Energy",D32="Construction",D32="Construction &amp; Infrastructure",D32="Construction &amp; Real Estate",D32="Construction &amp; Telecom",D32="Discount Retail",D32="Energy Management",D32="Energy Technology",D32="Engines &amp; Power Systems",D32="Environmental Services",D32="Food Distribution",D32="Food Services",D32="Grocery Retail",D32="Healthcare &amp; Pharmacy",D32="Home Improvement Retail",D32="Industrial Engineering &amp; Electronics",D32="Oilfield Services",D32="Pharmaceuticals",D32="Pharmaceuticals &amp; Chemicals",D32="Pharmaceuticals &amp; Healthcare",D32="Pharmacy Retail",D32="Postal &amp; Logistics",D32="Retail",D32="Retail &amp; Distribution",D32="Retail &amp; Grocery",D32="Retail (IKEA)",D32="Tobacco",D32="Trading &amp; Conglomerate",D32="Utilities",D32="Utilities &amp; Energy",D32="Wholesale Retail"),2,
OR(D32="Agribusiness",D32="Automotive &amp; Heavy Vehicles",D32="Chemicals",D32="Commercial Vehicles",D32="Construction",D32="Construction &amp; Infrastructure",D32="Engines &amp; Power Systems",D32="Food Processing",D32="Healthcare",D32="Healthcare &amp; Medical Devices",D32="Heavy Equipment",D32="Heavy Industry",D32="Industrial Gases",D32="Industrial Manufacturing",D32="Logistics",D32="Medical Devices",D32="Mining",D32="Mining &amp; Commodities Trading",D32="Oil &amp; Gas",D32="Oilfield Services",D32="Rail Transport",D32="Shipping &amp; Logistics",D32="Steel"),3,
OR(D32="Apparel &amp; Footwear",D32="Beverage",D32="Coffeehouse &amp; Retail",D32="Conglomerate",D32="Consumer Goods",D32="Convenience Retail",D32="Electronics",D32="Electronics &amp; Semiconductors",D32="Electronics Retail",D32="Fashion Retail",D32="Food &amp; Beverage",D32="Food Retail &amp; Consumer Goods",D32="Industrial &amp; Technology",D32="Industrial Automation",D32="Industrial Technology",D32="Postal &amp; Financial Services",D32="Postal Services",D32="Scientific Instruments",D32="Technology Hardware",D32="Trading Company",D32="IT Consulting"),1,
OR(D32="Cosmetics",D32="E-commerce &amp; Cloud Computing",D32="Electronics &amp; Entertainment",D32="Entertainment &amp; Media",D32="Luxury Goods",D32="Media &amp; Telecommunications",D32="Networking Technology",D32="Real Estate Services",D32="Technology &amp; Consumer Electronics",D32="Telecommunications",D32="Telecommunications &amp; Investment"),1,
OR(D32="Asset Management",D32="Banking",D32="Banking &amp; Asset Services",D32="Banking &amp; Financial Services",D32="Banking &amp; Wealth Management",D32="Cloud Software",D32="Enterprise Software",D32="Financial Services",D32="Information Technology Consulting",D32="Investment Banking",D32="Social Media &amp; Technology",D32="Software &amp; Cloud Computing",D32="Technology &amp; Consulting",D32="Technology &amp; Internet Services",D32="Technology &amp; Software"),1,
TRUE,"Unmapped"
)</f>
        <v>2</v>
      </c>
      <c r="H32" s="5">
        <v>2</v>
      </c>
      <c r="I32" s="5">
        <f>VLOOKUP(B32,'BIS + EDBA Final'!A:F,6,FALSE)</f>
        <v>1</v>
      </c>
      <c r="J32" s="5">
        <f>VLOOKUP(B32,'CBG Final'!A:B,2,FALSE)</f>
        <v>3</v>
      </c>
      <c r="K32" s="9">
        <f t="shared" si="0"/>
        <v>2.1</v>
      </c>
      <c r="L32" s="5" t="s">
        <v>1055</v>
      </c>
      <c r="M32" s="5" t="s">
        <v>927</v>
      </c>
      <c r="N32" s="5" t="s">
        <v>1056</v>
      </c>
      <c r="O32" s="5" t="s">
        <v>1057</v>
      </c>
      <c r="P32" s="5" t="s">
        <v>1058</v>
      </c>
      <c r="Q32" s="5" t="s">
        <v>1029</v>
      </c>
      <c r="R32" s="5" t="s">
        <v>34</v>
      </c>
      <c r="S32" s="10"/>
      <c r="T32" s="11"/>
      <c r="U32" s="11"/>
      <c r="V32" s="10"/>
      <c r="W32" s="10"/>
      <c r="X32" s="11"/>
      <c r="Y32" s="11"/>
      <c r="Z32" s="10"/>
      <c r="AA32" s="10"/>
      <c r="AB32" s="10"/>
      <c r="AC32" s="10"/>
      <c r="AD32" s="10"/>
      <c r="AE32" s="10"/>
      <c r="AF32" s="10"/>
      <c r="AG32" s="10"/>
      <c r="AH32" s="10"/>
    </row>
    <row r="33" spans="1:34" ht="15.75" customHeight="1">
      <c r="A33" s="5"/>
      <c r="B33" s="5" t="s">
        <v>1013</v>
      </c>
      <c r="C33" s="6" t="s">
        <v>195</v>
      </c>
      <c r="D33" s="7" t="s">
        <v>1014</v>
      </c>
      <c r="E33" s="8">
        <v>162293</v>
      </c>
      <c r="F33" s="6" cm="1">
        <f t="array" ref="F33">_xlfn.IFS(
E33&lt;=$E$245,0,
E33&lt;=$E$246,1,
E33&lt;=$E$247,2,
E33&gt;=$E$247,3)</f>
        <v>2</v>
      </c>
      <c r="G33" s="7" cm="1">
        <f t="array" ref="G33">_xlfn.IFS(
OR(D33="Aerospace",D33="Aerospace &amp; Defense",D33="Agricultural Equipment",D33="Airlines",D33="Automotive",D33="Automotive &amp; Energy",D33="Automotive Components",D33="Aviation",D33="Building Materials",D33="Chemicals",D33="Commercial Vehicles",D33="Conglomerate &amp; Defense",D33="Conglomerate &amp; Energy",D33="Construction",D33="Construction &amp; Infrastructure",D33="Construction &amp; Real Estate",D33="Construction &amp; Telecom",D33="Discount Retail",D33="Energy Management",D33="Energy Technology",D33="Engines &amp; Power Systems",D33="Environmental Services",D33="Food Distribution",D33="Food Services",D33="Grocery Retail",D33="Healthcare &amp; Pharmacy",D33="Home Improvement Retail",D33="Industrial Engineering &amp; Electronics",D33="Oilfield Services",D33="Pharmaceuticals",D33="Pharmaceuticals &amp; Chemicals",D33="Pharmaceuticals &amp; Healthcare",D33="Pharmacy Retail",D33="Postal &amp; Logistics",D33="Retail",D33="Retail &amp; Distribution",D33="Retail &amp; Grocery",D33="Retail (IKEA)",D33="Tobacco",D33="Trading &amp; Conglomerate",D33="Utilities",D33="Utilities &amp; Energy",D33="Wholesale Retail"),2,
OR(D33="Agribusiness",D33="Automotive &amp; Heavy Vehicles",D33="Chemicals",D33="Commercial Vehicles",D33="Construction",D33="Construction &amp; Infrastructure",D33="Engines &amp; Power Systems",D33="Food Processing",D33="Healthcare",D33="Healthcare &amp; Medical Devices",D33="Heavy Equipment",D33="Heavy Industry",D33="Industrial Gases",D33="Industrial Manufacturing",D33="Logistics",D33="Medical Devices",D33="Mining",D33="Mining &amp; Commodities Trading",D33="Oil &amp; Gas",D33="Oilfield Services",D33="Rail Transport",D33="Shipping &amp; Logistics",D33="Steel"),3,
OR(D33="Apparel &amp; Footwear",D33="Beverage",D33="Coffeehouse &amp; Retail",D33="Conglomerate",D33="Consumer Goods",D33="Convenience Retail",D33="Electronics",D33="Electronics &amp; Semiconductors",D33="Electronics Retail",D33="Fashion Retail",D33="Food &amp; Beverage",D33="Food Retail &amp; Consumer Goods",D33="Industrial &amp; Technology",D33="Industrial Automation",D33="Industrial Technology",D33="Postal &amp; Financial Services",D33="Postal Services",D33="Scientific Instruments",D33="Technology Hardware",D33="Trading Company",D33="IT Consulting"),1,
OR(D33="Cosmetics",D33="E-commerce &amp; Cloud Computing",D33="Electronics &amp; Entertainment",D33="Entertainment &amp; Media",D33="Luxury Goods",D33="Media &amp; Telecommunications",D33="Networking Technology",D33="Real Estate Services",D33="Technology &amp; Consumer Electronics",D33="Telecommunications",D33="Telecommunications &amp; Investment"),1,
OR(D33="Asset Management",D33="Banking",D33="Banking &amp; Asset Services",D33="Banking &amp; Financial Services",D33="Banking &amp; Wealth Management",D33="Cloud Software",D33="Enterprise Software",D33="Financial Services",D33="Information Technology Consulting",D33="Investment Banking",D33="Social Media &amp; Technology",D33="Software &amp; Cloud Computing",D33="Technology &amp; Consulting",D33="Technology &amp; Internet Services",D33="Technology &amp; Software"),1,
TRUE,"Unmapped"
)</f>
        <v>2</v>
      </c>
      <c r="H33" s="5">
        <v>2</v>
      </c>
      <c r="I33" s="5">
        <f>VLOOKUP(B33,'BIS + EDBA Final'!A:F,6,FALSE)</f>
        <v>1</v>
      </c>
      <c r="J33" s="5">
        <f>VLOOKUP(B33,'CBG Final'!A:B,2,FALSE)</f>
        <v>3</v>
      </c>
      <c r="K33" s="9">
        <f t="shared" si="0"/>
        <v>2.1</v>
      </c>
      <c r="L33" s="5" t="s">
        <v>1015</v>
      </c>
      <c r="M33" s="5" t="s">
        <v>746</v>
      </c>
      <c r="N33" s="5" t="s">
        <v>1016</v>
      </c>
      <c r="O33" s="5" t="s">
        <v>1017</v>
      </c>
      <c r="P33" s="5" t="s">
        <v>1018</v>
      </c>
      <c r="Q33" s="5" t="s">
        <v>257</v>
      </c>
      <c r="R33" s="5" t="s">
        <v>82</v>
      </c>
      <c r="S33" s="10"/>
      <c r="T33" s="11"/>
      <c r="U33" s="11"/>
      <c r="V33" s="10"/>
      <c r="W33" s="10"/>
      <c r="X33" s="10"/>
      <c r="Y33" s="10"/>
      <c r="Z33" s="10"/>
      <c r="AA33" s="10"/>
      <c r="AB33" s="10"/>
      <c r="AC33" s="10"/>
      <c r="AD33" s="10"/>
      <c r="AE33" s="10"/>
      <c r="AF33" s="10"/>
      <c r="AG33" s="10"/>
      <c r="AH33" s="10"/>
    </row>
    <row r="34" spans="1:34" ht="15.75" customHeight="1">
      <c r="A34" s="5"/>
      <c r="B34" s="5" t="s">
        <v>224</v>
      </c>
      <c r="C34" s="6" t="s">
        <v>39</v>
      </c>
      <c r="D34" s="7" t="s">
        <v>63</v>
      </c>
      <c r="E34" s="8">
        <v>324750</v>
      </c>
      <c r="F34" s="6" cm="1">
        <f t="array" ref="F34">_xlfn.IFS(
E34&lt;=$E$245,0,
E34&lt;=$E$246,1,
E34&lt;=$E$247,2,
E34&gt;=$E$247,3)</f>
        <v>3</v>
      </c>
      <c r="G34" s="7" cm="1">
        <f t="array" ref="G34">_xlfn.IFS(
OR(D34="Aerospace",D34="Aerospace &amp; Defense",D34="Agricultural Equipment",D34="Airlines",D34="Automotive",D34="Automotive &amp; Energy",D34="Automotive Components",D34="Aviation",D34="Building Materials",D34="Chemicals",D34="Commercial Vehicles",D34="Conglomerate &amp; Defense",D34="Conglomerate &amp; Energy",D34="Construction",D34="Construction &amp; Infrastructure",D34="Construction &amp; Real Estate",D34="Construction &amp; Telecom",D34="Discount Retail",D34="Energy Management",D34="Energy Technology",D34="Engines &amp; Power Systems",D34="Environmental Services",D34="Food Distribution",D34="Food Services",D34="Grocery Retail",D34="Healthcare &amp; Pharmacy",D34="Home Improvement Retail",D34="Industrial Engineering &amp; Electronics",D34="Oilfield Services",D34="Pharmaceuticals",D34="Pharmaceuticals &amp; Chemicals",D34="Pharmaceuticals &amp; Healthcare",D34="Pharmacy Retail",D34="Postal &amp; Logistics",D34="Retail",D34="Retail &amp; Distribution",D34="Retail &amp; Grocery",D34="Retail (IKEA)",D34="Tobacco",D34="Trading &amp; Conglomerate",D34="Utilities",D34="Utilities &amp; Energy",D34="Wholesale Retail"),2,
OR(D34="Agribusiness",D34="Automotive &amp; Heavy Vehicles",D34="Chemicals",D34="Commercial Vehicles",D34="Construction",D34="Construction &amp; Infrastructure",D34="Engines &amp; Power Systems",D34="Food Processing",D34="Healthcare",D34="Healthcare &amp; Medical Devices",D34="Heavy Equipment",D34="Heavy Industry",D34="Industrial Gases",D34="Industrial Manufacturing",D34="Logistics",D34="Medical Devices",D34="Mining",D34="Mining &amp; Commodities Trading",D34="Oil &amp; Gas",D34="Oilfield Services",D34="Rail Transport",D34="Shipping &amp; Logistics",D34="Steel"),3,
OR(D34="Apparel &amp; Footwear",D34="Beverage",D34="Coffeehouse &amp; Retail",D34="Conglomerate",D34="Consumer Goods",D34="Convenience Retail",D34="Electronics",D34="Electronics &amp; Semiconductors",D34="Electronics Retail",D34="Fashion Retail",D34="Food &amp; Beverage",D34="Food Retail &amp; Consumer Goods",D34="Industrial &amp; Technology",D34="Industrial Automation",D34="Industrial Technology",D34="Postal &amp; Financial Services",D34="Postal Services",D34="Scientific Instruments",D34="Technology Hardware",D34="Trading Company",D34="IT Consulting"),1,
OR(D34="Cosmetics",D34="E-commerce &amp; Cloud Computing",D34="Electronics &amp; Entertainment",D34="Entertainment &amp; Media",D34="Luxury Goods",D34="Media &amp; Telecommunications",D34="Networking Technology",D34="Real Estate Services",D34="Technology &amp; Consumer Electronics",D34="Telecommunications",D34="Telecommunications &amp; Investment"),1,
OR(D34="Asset Management",D34="Banking",D34="Banking &amp; Asset Services",D34="Banking &amp; Financial Services",D34="Banking &amp; Wealth Management",D34="Cloud Software",D34="Enterprise Software",D34="Financial Services",D34="Information Technology Consulting",D34="Investment Banking",D34="Social Media &amp; Technology",D34="Software &amp; Cloud Computing",D34="Technology &amp; Consulting",D34="Technology &amp; Internet Services",D34="Technology &amp; Software"),1,
TRUE,"Unmapped"
)</f>
        <v>2</v>
      </c>
      <c r="H34" s="5">
        <f>VLOOKUP(B34,'BIS + EDBA Final'!A:K,2,FALSE)</f>
        <v>2</v>
      </c>
      <c r="I34" s="5">
        <f>VLOOKUP(B34,'BIS + EDBA Final'!A:F,6,FALSE)</f>
        <v>0</v>
      </c>
      <c r="J34" s="5">
        <f>VLOOKUP(B34,'CBG Final'!A:B,2,FALSE)</f>
        <v>2</v>
      </c>
      <c r="K34" s="9">
        <f t="shared" si="0"/>
        <v>2.0999999999999996</v>
      </c>
      <c r="L34" s="5" t="s">
        <v>225</v>
      </c>
      <c r="M34" s="5" t="s">
        <v>226</v>
      </c>
      <c r="N34" s="5" t="s">
        <v>227</v>
      </c>
      <c r="O34" s="5" t="s">
        <v>228</v>
      </c>
      <c r="P34" s="5" t="s">
        <v>229</v>
      </c>
      <c r="Q34" s="5" t="s">
        <v>46</v>
      </c>
      <c r="R34" s="5" t="s">
        <v>20</v>
      </c>
      <c r="S34" s="10"/>
      <c r="T34" s="11"/>
      <c r="U34" s="11"/>
      <c r="V34" s="10"/>
      <c r="W34" s="10"/>
      <c r="X34" s="11"/>
      <c r="Y34" s="11"/>
      <c r="Z34" s="10"/>
      <c r="AA34" s="10"/>
      <c r="AB34" s="10"/>
      <c r="AC34" s="10"/>
      <c r="AD34" s="10"/>
      <c r="AE34" s="10"/>
      <c r="AF34" s="10"/>
      <c r="AG34" s="10"/>
      <c r="AH34" s="10"/>
    </row>
    <row r="35" spans="1:34" ht="15.75" customHeight="1">
      <c r="A35" s="5"/>
      <c r="B35" s="5" t="s">
        <v>147</v>
      </c>
      <c r="C35" s="6" t="s">
        <v>39</v>
      </c>
      <c r="D35" s="7" t="s">
        <v>148</v>
      </c>
      <c r="E35" s="8">
        <v>214041</v>
      </c>
      <c r="F35" s="6" cm="1">
        <f t="array" ref="F35">_xlfn.IFS(
E35&lt;=$E$245,0,
E35&lt;=$E$246,1,
E35&lt;=$E$247,2,
E35&gt;=$E$247,3)</f>
        <v>3</v>
      </c>
      <c r="G35" s="7" cm="1">
        <f t="array" ref="G35">_xlfn.IFS(
OR(D35="Aerospace",D35="Aerospace &amp; Defense",D35="Agricultural Equipment",D35="Airlines",D35="Automotive",D35="Automotive &amp; Energy",D35="Automotive Components",D35="Aviation",D35="Building Materials",D35="Chemicals",D35="Commercial Vehicles",D35="Conglomerate &amp; Defense",D35="Conglomerate &amp; Energy",D35="Construction",D35="Construction &amp; Infrastructure",D35="Construction &amp; Real Estate",D35="Construction &amp; Telecom",D35="Discount Retail",D35="Energy Management",D35="Energy Technology",D35="Engines &amp; Power Systems",D35="Environmental Services",D35="Food Distribution",D35="Food Services",D35="Grocery Retail",D35="Healthcare &amp; Pharmacy",D35="Home Improvement Retail",D35="Industrial Engineering &amp; Electronics",D35="Oilfield Services",D35="Pharmaceuticals",D35="Pharmaceuticals &amp; Chemicals",D35="Pharmaceuticals &amp; Healthcare",D35="Pharmacy Retail",D35="Postal &amp; Logistics",D35="Retail",D35="Retail &amp; Distribution",D35="Retail &amp; Grocery",D35="Retail (IKEA)",D35="Tobacco",D35="Trading &amp; Conglomerate",D35="Utilities",D35="Utilities &amp; Energy",D35="Wholesale Retail"),2,
OR(D35="Agribusiness",D35="Automotive &amp; Heavy Vehicles",D35="Chemicals",D35="Commercial Vehicles",D35="Construction",D35="Construction &amp; Infrastructure",D35="Engines &amp; Power Systems",D35="Food Processing",D35="Healthcare",D35="Healthcare &amp; Medical Devices",D35="Heavy Equipment",D35="Heavy Industry",D35="Industrial Gases",D35="Industrial Manufacturing",D35="Logistics",D35="Medical Devices",D35="Mining",D35="Mining &amp; Commodities Trading",D35="Oil &amp; Gas",D35="Oilfield Services",D35="Rail Transport",D35="Shipping &amp; Logistics",D35="Steel"),3,
OR(D35="Apparel &amp; Footwear",D35="Beverage",D35="Coffeehouse &amp; Retail",D35="Conglomerate",D35="Consumer Goods",D35="Convenience Retail",D35="Electronics",D35="Electronics &amp; Semiconductors",D35="Electronics Retail",D35="Fashion Retail",D35="Food &amp; Beverage",D35="Food Retail &amp; Consumer Goods",D35="Industrial &amp; Technology",D35="Industrial Automation",D35="Industrial Technology",D35="Postal &amp; Financial Services",D35="Postal Services",D35="Scientific Instruments",D35="Technology Hardware",D35="Trading Company",D35="IT Consulting"),1,
OR(D35="Cosmetics",D35="E-commerce &amp; Cloud Computing",D35="Electronics &amp; Entertainment",D35="Entertainment &amp; Media",D35="Luxury Goods",D35="Media &amp; Telecommunications",D35="Networking Technology",D35="Real Estate Services",D35="Technology &amp; Consumer Electronics",D35="Telecommunications",D35="Telecommunications &amp; Investment"),1,
OR(D35="Asset Management",D35="Banking",D35="Banking &amp; Asset Services",D35="Banking &amp; Financial Services",D35="Banking &amp; Wealth Management",D35="Cloud Software",D35="Enterprise Software",D35="Financial Services",D35="Information Technology Consulting",D35="Investment Banking",D35="Social Media &amp; Technology",D35="Software &amp; Cloud Computing",D35="Technology &amp; Consulting",D35="Technology &amp; Internet Services",D35="Technology &amp; Software"),1,
TRUE,"Unmapped"
)</f>
        <v>2</v>
      </c>
      <c r="H35" s="5">
        <f>VLOOKUP(B35,'BIS + EDBA Final'!A:K,2,FALSE)</f>
        <v>1</v>
      </c>
      <c r="I35" s="5">
        <f>VLOOKUP(B35,'BIS + EDBA Final'!A:F,6,FALSE)</f>
        <v>0</v>
      </c>
      <c r="J35" s="5">
        <f>VLOOKUP(B35,'CBG Final'!A:B,2,FALSE)</f>
        <v>3</v>
      </c>
      <c r="K35" s="9">
        <f t="shared" si="0"/>
        <v>2.0999999999999996</v>
      </c>
      <c r="L35" s="5" t="s">
        <v>149</v>
      </c>
      <c r="M35" s="5" t="s">
        <v>150</v>
      </c>
      <c r="N35" s="5" t="s">
        <v>151</v>
      </c>
      <c r="O35" s="5" t="s">
        <v>152</v>
      </c>
      <c r="P35" s="5" t="s">
        <v>153</v>
      </c>
      <c r="Q35" s="5" t="s">
        <v>154</v>
      </c>
      <c r="R35" s="5" t="s">
        <v>108</v>
      </c>
      <c r="S35" s="10"/>
      <c r="T35" s="11"/>
      <c r="U35" s="11"/>
      <c r="V35" s="10"/>
      <c r="W35" s="10"/>
      <c r="X35" s="10"/>
      <c r="Y35" s="10"/>
      <c r="Z35" s="10"/>
      <c r="AA35" s="10"/>
      <c r="AB35" s="10"/>
      <c r="AC35" s="10"/>
      <c r="AD35" s="10"/>
      <c r="AE35" s="10"/>
      <c r="AF35" s="10"/>
      <c r="AG35" s="10"/>
      <c r="AH35" s="10"/>
    </row>
    <row r="36" spans="1:34" ht="15.75" customHeight="1">
      <c r="A36" s="5"/>
      <c r="B36" s="5" t="s">
        <v>342</v>
      </c>
      <c r="C36" s="6" t="s">
        <v>71</v>
      </c>
      <c r="D36" s="7" t="s">
        <v>343</v>
      </c>
      <c r="E36" s="8">
        <v>417859</v>
      </c>
      <c r="F36" s="6" cm="1">
        <f t="array" ref="F36">_xlfn.IFS(
E36&lt;=$E$245,0,
E36&lt;=$E$246,1,
E36&lt;=$E$247,2,
E36&gt;=$E$247,3)</f>
        <v>3</v>
      </c>
      <c r="G36" s="7" cm="1">
        <f t="array" ref="G36">_xlfn.IFS(
OR(D36="Aerospace",D36="Aerospace &amp; Defense",D36="Agricultural Equipment",D36="Airlines",D36="Automotive",D36="Automotive &amp; Energy",D36="Automotive Components",D36="Aviation",D36="Building Materials",D36="Chemicals",D36="Commercial Vehicles",D36="Conglomerate &amp; Defense",D36="Conglomerate &amp; Energy",D36="Construction",D36="Construction &amp; Infrastructure",D36="Construction &amp; Real Estate",D36="Construction &amp; Telecom",D36="Discount Retail",D36="Energy Management",D36="Energy Technology",D36="Engines &amp; Power Systems",D36="Environmental Services",D36="Food Distribution",D36="Food Services",D36="Grocery Retail",D36="Healthcare &amp; Pharmacy",D36="Home Improvement Retail",D36="Industrial Engineering &amp; Electronics",D36="Oilfield Services",D36="Pharmaceuticals",D36="Pharmaceuticals &amp; Chemicals",D36="Pharmaceuticals &amp; Healthcare",D36="Pharmacy Retail",D36="Postal &amp; Logistics",D36="Retail",D36="Retail &amp; Distribution",D36="Retail &amp; Grocery",D36="Retail (IKEA)",D36="Tobacco",D36="Trading &amp; Conglomerate",D36="Utilities",D36="Utilities &amp; Energy",D36="Wholesale Retail"),2,
OR(D36="Agribusiness",D36="Automotive &amp; Heavy Vehicles",D36="Chemicals",D36="Commercial Vehicles",D36="Construction",D36="Construction &amp; Infrastructure",D36="Engines &amp; Power Systems",D36="Food Processing",D36="Healthcare",D36="Healthcare &amp; Medical Devices",D36="Heavy Equipment",D36="Heavy Industry",D36="Industrial Gases",D36="Industrial Manufacturing",D36="Logistics",D36="Medical Devices",D36="Mining",D36="Mining &amp; Commodities Trading",D36="Oil &amp; Gas",D36="Oilfield Services",D36="Rail Transport",D36="Shipping &amp; Logistics",D36="Steel"),3,
OR(D36="Apparel &amp; Footwear",D36="Beverage",D36="Coffeehouse &amp; Retail",D36="Conglomerate",D36="Consumer Goods",D36="Convenience Retail",D36="Electronics",D36="Electronics &amp; Semiconductors",D36="Electronics Retail",D36="Fashion Retail",D36="Food &amp; Beverage",D36="Food Retail &amp; Consumer Goods",D36="Industrial &amp; Technology",D36="Industrial Automation",D36="Industrial Technology",D36="Postal &amp; Financial Services",D36="Postal Services",D36="Scientific Instruments",D36="Technology Hardware",D36="Trading Company",D36="IT Consulting"),1,
OR(D36="Cosmetics",D36="E-commerce &amp; Cloud Computing",D36="Electronics &amp; Entertainment",D36="Entertainment &amp; Media",D36="Luxury Goods",D36="Media &amp; Telecommunications",D36="Networking Technology",D36="Real Estate Services",D36="Technology &amp; Consumer Electronics",D36="Telecommunications",D36="Telecommunications &amp; Investment"),1,
OR(D36="Asset Management",D36="Banking",D36="Banking &amp; Asset Services",D36="Banking &amp; Financial Services",D36="Banking &amp; Wealth Management",D36="Cloud Software",D36="Enterprise Software",D36="Financial Services",D36="Information Technology Consulting",D36="Investment Banking",D36="Social Media &amp; Technology",D36="Software &amp; Cloud Computing",D36="Technology &amp; Consulting",D36="Technology &amp; Internet Services",D36="Technology &amp; Software"),1,
TRUE,"Unmapped"
)</f>
        <v>2</v>
      </c>
      <c r="H36" s="5">
        <v>2</v>
      </c>
      <c r="I36" s="5">
        <f>VLOOKUP(B36,'BIS + EDBA Final'!A:F,6,FALSE)</f>
        <v>0</v>
      </c>
      <c r="J36" s="5">
        <f>VLOOKUP(B36,'CBG Final'!A:B,2,FALSE)</f>
        <v>2</v>
      </c>
      <c r="K36" s="9">
        <f t="shared" si="0"/>
        <v>2.0999999999999996</v>
      </c>
      <c r="L36" s="5" t="s">
        <v>653</v>
      </c>
      <c r="M36" s="5" t="s">
        <v>654</v>
      </c>
      <c r="N36" s="5" t="s">
        <v>655</v>
      </c>
      <c r="O36" s="5" t="s">
        <v>656</v>
      </c>
      <c r="P36" s="5" t="s">
        <v>657</v>
      </c>
      <c r="Q36" s="5" t="s">
        <v>33</v>
      </c>
      <c r="R36" s="5" t="s">
        <v>20</v>
      </c>
      <c r="S36" s="10"/>
      <c r="T36" s="11"/>
      <c r="U36" s="11"/>
      <c r="V36" s="10"/>
      <c r="W36" s="10"/>
      <c r="X36" s="11"/>
      <c r="Y36" s="11"/>
      <c r="Z36" s="10"/>
      <c r="AA36" s="10"/>
      <c r="AB36" s="10"/>
      <c r="AC36" s="10"/>
      <c r="AD36" s="10"/>
      <c r="AE36" s="10"/>
      <c r="AF36" s="10"/>
      <c r="AG36" s="10"/>
      <c r="AH36" s="10"/>
    </row>
    <row r="37" spans="1:34" ht="15.75" customHeight="1">
      <c r="A37" s="5"/>
      <c r="B37" s="5" t="s">
        <v>409</v>
      </c>
      <c r="C37" s="6" t="s">
        <v>71</v>
      </c>
      <c r="D37" s="7" t="s">
        <v>86</v>
      </c>
      <c r="E37" s="8">
        <v>646501</v>
      </c>
      <c r="F37" s="6" cm="1">
        <f t="array" ref="F37">_xlfn.IFS(
E37&lt;=$E$245,0,
E37&lt;=$E$246,1,
E37&lt;=$E$247,2,
E37&gt;=$E$247,3)</f>
        <v>3</v>
      </c>
      <c r="G37" s="7" cm="1">
        <f t="array" ref="G37">_xlfn.IFS(
OR(D37="Aerospace",D37="Aerospace &amp; Defense",D37="Agricultural Equipment",D37="Airlines",D37="Automotive",D37="Automotive &amp; Energy",D37="Automotive Components",D37="Aviation",D37="Building Materials",D37="Chemicals",D37="Commercial Vehicles",D37="Conglomerate &amp; Defense",D37="Conglomerate &amp; Energy",D37="Construction",D37="Construction &amp; Infrastructure",D37="Construction &amp; Real Estate",D37="Construction &amp; Telecom",D37="Discount Retail",D37="Energy Management",D37="Energy Technology",D37="Engines &amp; Power Systems",D37="Environmental Services",D37="Food Distribution",D37="Food Services",D37="Grocery Retail",D37="Healthcare &amp; Pharmacy",D37="Home Improvement Retail",D37="Industrial Engineering &amp; Electronics",D37="Oilfield Services",D37="Pharmaceuticals",D37="Pharmaceuticals &amp; Chemicals",D37="Pharmaceuticals &amp; Healthcare",D37="Pharmacy Retail",D37="Postal &amp; Logistics",D37="Retail",D37="Retail &amp; Distribution",D37="Retail &amp; Grocery",D37="Retail (IKEA)",D37="Tobacco",D37="Trading &amp; Conglomerate",D37="Utilities",D37="Utilities &amp; Energy",D37="Wholesale Retail"),2,
OR(D37="Agribusiness",D37="Automotive &amp; Heavy Vehicles",D37="Chemicals",D37="Commercial Vehicles",D37="Construction",D37="Construction &amp; Infrastructure",D37="Engines &amp; Power Systems",D37="Food Processing",D37="Healthcare",D37="Healthcare &amp; Medical Devices",D37="Heavy Equipment",D37="Heavy Industry",D37="Industrial Gases",D37="Industrial Manufacturing",D37="Logistics",D37="Medical Devices",D37="Mining",D37="Mining &amp; Commodities Trading",D37="Oil &amp; Gas",D37="Oilfield Services",D37="Rail Transport",D37="Shipping &amp; Logistics",D37="Steel"),3,
OR(D37="Apparel &amp; Footwear",D37="Beverage",D37="Coffeehouse &amp; Retail",D37="Conglomerate",D37="Consumer Goods",D37="Convenience Retail",D37="Electronics",D37="Electronics &amp; Semiconductors",D37="Electronics Retail",D37="Fashion Retail",D37="Food &amp; Beverage",D37="Food Retail &amp; Consumer Goods",D37="Industrial &amp; Technology",D37="Industrial Automation",D37="Industrial Technology",D37="Postal &amp; Financial Services",D37="Postal Services",D37="Scientific Instruments",D37="Technology Hardware",D37="Trading Company",D37="IT Consulting"),1,
OR(D37="Cosmetics",D37="E-commerce &amp; Cloud Computing",D37="Electronics &amp; Entertainment",D37="Entertainment &amp; Media",D37="Luxury Goods",D37="Media &amp; Telecommunications",D37="Networking Technology",D37="Real Estate Services",D37="Technology &amp; Consumer Electronics",D37="Telecommunications",D37="Telecommunications &amp; Investment"),1,
OR(D37="Asset Management",D37="Banking",D37="Banking &amp; Asset Services",D37="Banking &amp; Financial Services",D37="Banking &amp; Wealth Management",D37="Cloud Software",D37="Enterprise Software",D37="Financial Services",D37="Information Technology Consulting",D37="Investment Banking",D37="Social Media &amp; Technology",D37="Software &amp; Cloud Computing",D37="Technology &amp; Consulting",D37="Technology &amp; Internet Services",D37="Technology &amp; Software"),1,
TRUE,"Unmapped"
)</f>
        <v>2</v>
      </c>
      <c r="H37" s="5">
        <f>VLOOKUP(B37,'BIS + EDBA Final'!A:K,2,FALSE)</f>
        <v>1</v>
      </c>
      <c r="I37" s="5">
        <f>VLOOKUP(B37,'BIS + EDBA Final'!A:F,6,FALSE)</f>
        <v>0</v>
      </c>
      <c r="J37" s="5">
        <f>VLOOKUP(B37,'CBG Final'!A:B,2,FALSE)</f>
        <v>3</v>
      </c>
      <c r="K37" s="9">
        <f t="shared" si="0"/>
        <v>2.0999999999999996</v>
      </c>
      <c r="L37" s="5" t="s">
        <v>410</v>
      </c>
      <c r="M37" s="5" t="s">
        <v>335</v>
      </c>
      <c r="N37" s="5" t="s">
        <v>411</v>
      </c>
      <c r="O37" s="5" t="s">
        <v>412</v>
      </c>
      <c r="P37" s="5" t="s">
        <v>413</v>
      </c>
      <c r="Q37" s="5" t="s">
        <v>19</v>
      </c>
      <c r="R37" s="5" t="s">
        <v>20</v>
      </c>
      <c r="S37" s="10"/>
      <c r="T37" s="11"/>
      <c r="U37" s="11"/>
      <c r="V37" s="10"/>
      <c r="W37" s="10"/>
      <c r="X37" s="11"/>
      <c r="Y37" s="11"/>
      <c r="Z37" s="10"/>
      <c r="AA37" s="10"/>
      <c r="AB37" s="10"/>
      <c r="AC37" s="10"/>
      <c r="AD37" s="10"/>
      <c r="AE37" s="10"/>
      <c r="AF37" s="10"/>
      <c r="AG37" s="10"/>
      <c r="AH37" s="10"/>
    </row>
    <row r="38" spans="1:34" ht="15.75" customHeight="1">
      <c r="A38" s="5"/>
      <c r="B38" s="5" t="s">
        <v>464</v>
      </c>
      <c r="C38" s="6" t="s">
        <v>36</v>
      </c>
      <c r="D38" s="7" t="s">
        <v>465</v>
      </c>
      <c r="E38" s="8">
        <v>586700</v>
      </c>
      <c r="F38" s="6" cm="1">
        <f t="array" ref="F38">_xlfn.IFS(
E38&lt;=$E$245,0,
E38&lt;=$E$246,1,
E38&lt;=$E$247,2,
E38&gt;=$E$247,3)</f>
        <v>3</v>
      </c>
      <c r="G38" s="7" cm="1">
        <f t="array" ref="G38">_xlfn.IFS(
OR(D38="Aerospace",D38="Aerospace &amp; Defense",D38="Agricultural Equipment",D38="Airlines",D38="Automotive",D38="Automotive &amp; Energy",D38="Automotive Components",D38="Aviation",D38="Building Materials",D38="Chemicals",D38="Commercial Vehicles",D38="Conglomerate &amp; Defense",D38="Conglomerate &amp; Energy",D38="Construction",D38="Construction &amp; Infrastructure",D38="Construction &amp; Real Estate",D38="Construction &amp; Telecom",D38="Discount Retail",D38="Energy Management",D38="Energy Technology",D38="Engines &amp; Power Systems",D38="Environmental Services",D38="Food Distribution",D38="Food Services",D38="Grocery Retail",D38="Healthcare &amp; Pharmacy",D38="Home Improvement Retail",D38="Industrial Engineering &amp; Electronics",D38="Oilfield Services",D38="Pharmaceuticals",D38="Pharmaceuticals &amp; Chemicals",D38="Pharmaceuticals &amp; Healthcare",D38="Pharmacy Retail",D38="Postal &amp; Logistics",D38="Retail",D38="Retail &amp; Distribution",D38="Retail &amp; Grocery",D38="Retail (IKEA)",D38="Tobacco",D38="Trading &amp; Conglomerate",D38="Utilities",D38="Utilities &amp; Energy",D38="Wholesale Retail"),2,
OR(D38="Agribusiness",D38="Automotive &amp; Heavy Vehicles",D38="Chemicals",D38="Commercial Vehicles",D38="Construction",D38="Construction &amp; Infrastructure",D38="Engines &amp; Power Systems",D38="Food Processing",D38="Healthcare",D38="Healthcare &amp; Medical Devices",D38="Heavy Equipment",D38="Heavy Industry",D38="Industrial Gases",D38="Industrial Manufacturing",D38="Logistics",D38="Medical Devices",D38="Mining",D38="Mining &amp; Commodities Trading",D38="Oil &amp; Gas",D38="Oilfield Services",D38="Rail Transport",D38="Shipping &amp; Logistics",D38="Steel"),3,
OR(D38="Apparel &amp; Footwear",D38="Beverage",D38="Coffeehouse &amp; Retail",D38="Conglomerate",D38="Consumer Goods",D38="Convenience Retail",D38="Electronics",D38="Electronics &amp; Semiconductors",D38="Electronics Retail",D38="Fashion Retail",D38="Food &amp; Beverage",D38="Food Retail &amp; Consumer Goods",D38="Industrial &amp; Technology",D38="Industrial Automation",D38="Industrial Technology",D38="Postal &amp; Financial Services",D38="Postal Services",D38="Scientific Instruments",D38="Technology Hardware",D38="Trading Company",D38="IT Consulting"),1,
OR(D38="Cosmetics",D38="E-commerce &amp; Cloud Computing",D38="Electronics &amp; Entertainment",D38="Entertainment &amp; Media",D38="Luxury Goods",D38="Media &amp; Telecommunications",D38="Networking Technology",D38="Real Estate Services",D38="Technology &amp; Consumer Electronics",D38="Telecommunications",D38="Telecommunications &amp; Investment"),1,
OR(D38="Asset Management",D38="Banking",D38="Banking &amp; Asset Services",D38="Banking &amp; Financial Services",D38="Banking &amp; Wealth Management",D38="Cloud Software",D38="Enterprise Software",D38="Financial Services",D38="Information Technology Consulting",D38="Investment Banking",D38="Social Media &amp; Technology",D38="Software &amp; Cloud Computing",D38="Technology &amp; Consulting",D38="Technology &amp; Internet Services",D38="Technology &amp; Software"),1,
TRUE,"Unmapped"
)</f>
        <v>2</v>
      </c>
      <c r="H38" s="5">
        <v>1</v>
      </c>
      <c r="I38" s="5">
        <f>VLOOKUP(B38,'BIS + EDBA Final'!A:F,6,FALSE)</f>
        <v>0</v>
      </c>
      <c r="J38" s="5">
        <f>VLOOKUP(B38,'CBG Final'!A:B,2,FALSE)</f>
        <v>3</v>
      </c>
      <c r="K38" s="9">
        <f t="shared" si="0"/>
        <v>2.0999999999999996</v>
      </c>
      <c r="L38" s="5" t="s">
        <v>1401</v>
      </c>
      <c r="M38" s="5" t="s">
        <v>352</v>
      </c>
      <c r="N38" s="5" t="s">
        <v>1402</v>
      </c>
      <c r="O38" s="5"/>
      <c r="P38" s="5" t="s">
        <v>1403</v>
      </c>
      <c r="Q38" s="5" t="s">
        <v>19</v>
      </c>
      <c r="R38" s="5" t="s">
        <v>20</v>
      </c>
      <c r="S38" s="10"/>
      <c r="T38" s="11"/>
      <c r="U38" s="11"/>
      <c r="V38" s="10"/>
      <c r="W38" s="10"/>
      <c r="X38" s="11"/>
      <c r="Y38" s="11"/>
      <c r="Z38" s="10"/>
      <c r="AA38" s="10"/>
      <c r="AB38" s="10"/>
      <c r="AC38" s="10"/>
      <c r="AD38" s="10"/>
      <c r="AE38" s="10"/>
      <c r="AF38" s="10"/>
      <c r="AG38" s="10"/>
      <c r="AH38" s="10"/>
    </row>
    <row r="39" spans="1:34" ht="15.75" customHeight="1">
      <c r="A39" s="5"/>
      <c r="B39" s="5" t="s">
        <v>192</v>
      </c>
      <c r="C39" s="6" t="s">
        <v>36</v>
      </c>
      <c r="D39" s="7" t="s">
        <v>193</v>
      </c>
      <c r="E39" s="8">
        <v>470100</v>
      </c>
      <c r="F39" s="6" cm="1">
        <f t="array" ref="F39">_xlfn.IFS(
E39&lt;=$E$245,0,
E39&lt;=$E$246,1,
E39&lt;=$E$247,2,
E39&gt;=$E$247,3)</f>
        <v>3</v>
      </c>
      <c r="G39" s="7" cm="1">
        <f t="array" ref="G39">_xlfn.IFS(
OR(D39="Aerospace",D39="Aerospace &amp; Defense",D39="Agricultural Equipment",D39="Airlines",D39="Automotive",D39="Automotive &amp; Energy",D39="Automotive Components",D39="Aviation",D39="Building Materials",D39="Chemicals",D39="Commercial Vehicles",D39="Conglomerate &amp; Defense",D39="Conglomerate &amp; Energy",D39="Construction",D39="Construction &amp; Infrastructure",D39="Construction &amp; Real Estate",D39="Construction &amp; Telecom",D39="Discount Retail",D39="Energy Management",D39="Energy Technology",D39="Engines &amp; Power Systems",D39="Environmental Services",D39="Food Distribution",D39="Food Services",D39="Grocery Retail",D39="Healthcare &amp; Pharmacy",D39="Home Improvement Retail",D39="Industrial Engineering &amp; Electronics",D39="Oilfield Services",D39="Pharmaceuticals",D39="Pharmaceuticals &amp; Chemicals",D39="Pharmaceuticals &amp; Healthcare",D39="Pharmacy Retail",D39="Postal &amp; Logistics",D39="Retail",D39="Retail &amp; Distribution",D39="Retail &amp; Grocery",D39="Retail (IKEA)",D39="Tobacco",D39="Trading &amp; Conglomerate",D39="Utilities",D39="Utilities &amp; Energy",D39="Wholesale Retail"),2,
OR(D39="Agribusiness",D39="Automotive &amp; Heavy Vehicles",D39="Chemicals",D39="Commercial Vehicles",D39="Construction",D39="Construction &amp; Infrastructure",D39="Engines &amp; Power Systems",D39="Food Processing",D39="Healthcare",D39="Healthcare &amp; Medical Devices",D39="Heavy Equipment",D39="Heavy Industry",D39="Industrial Gases",D39="Industrial Manufacturing",D39="Logistics",D39="Medical Devices",D39="Mining",D39="Mining &amp; Commodities Trading",D39="Oil &amp; Gas",D39="Oilfield Services",D39="Rail Transport",D39="Shipping &amp; Logistics",D39="Steel"),3,
OR(D39="Apparel &amp; Footwear",D39="Beverage",D39="Coffeehouse &amp; Retail",D39="Conglomerate",D39="Consumer Goods",D39="Convenience Retail",D39="Electronics",D39="Electronics &amp; Semiconductors",D39="Electronics Retail",D39="Fashion Retail",D39="Food &amp; Beverage",D39="Food Retail &amp; Consumer Goods",D39="Industrial &amp; Technology",D39="Industrial Automation",D39="Industrial Technology",D39="Postal &amp; Financial Services",D39="Postal Services",D39="Scientific Instruments",D39="Technology Hardware",D39="Trading Company",D39="IT Consulting"),1,
OR(D39="Cosmetics",D39="E-commerce &amp; Cloud Computing",D39="Electronics &amp; Entertainment",D39="Entertainment &amp; Media",D39="Luxury Goods",D39="Media &amp; Telecommunications",D39="Networking Technology",D39="Real Estate Services",D39="Technology &amp; Consumer Electronics",D39="Telecommunications",D39="Telecommunications &amp; Investment"),1,
OR(D39="Asset Management",D39="Banking",D39="Banking &amp; Asset Services",D39="Banking &amp; Financial Services",D39="Banking &amp; Wealth Management",D39="Cloud Software",D39="Enterprise Software",D39="Financial Services",D39="Information Technology Consulting",D39="Investment Banking",D39="Social Media &amp; Technology",D39="Software &amp; Cloud Computing",D39="Technology &amp; Consulting",D39="Technology &amp; Internet Services",D39="Technology &amp; Software"),1,
TRUE,"Unmapped"
)</f>
        <v>2</v>
      </c>
      <c r="H39" s="5">
        <v>1</v>
      </c>
      <c r="I39" s="5">
        <f>VLOOKUP(B39,'BIS + EDBA Final'!A:F,6,FALSE)</f>
        <v>1</v>
      </c>
      <c r="J39" s="5">
        <f>VLOOKUP(B39,'CBG Final'!A:B,2,FALSE)</f>
        <v>2</v>
      </c>
      <c r="K39" s="9">
        <f t="shared" si="0"/>
        <v>2</v>
      </c>
      <c r="L39" s="5" t="s">
        <v>965</v>
      </c>
      <c r="M39" s="5" t="s">
        <v>287</v>
      </c>
      <c r="N39" s="5" t="s">
        <v>966</v>
      </c>
      <c r="O39" s="5" t="s">
        <v>48</v>
      </c>
      <c r="P39" s="5" t="s">
        <v>967</v>
      </c>
      <c r="Q39" s="5" t="s">
        <v>169</v>
      </c>
      <c r="R39" s="5" t="s">
        <v>20</v>
      </c>
      <c r="S39" s="10"/>
      <c r="T39" s="11"/>
      <c r="U39" s="11"/>
      <c r="V39" s="10"/>
      <c r="W39" s="10"/>
      <c r="X39" s="11"/>
      <c r="Y39" s="11"/>
      <c r="Z39" s="10"/>
      <c r="AA39" s="10"/>
      <c r="AB39" s="10"/>
      <c r="AC39" s="10"/>
      <c r="AD39" s="10"/>
      <c r="AE39" s="10"/>
      <c r="AF39" s="10"/>
      <c r="AG39" s="10"/>
      <c r="AH39" s="10"/>
    </row>
    <row r="40" spans="1:34" ht="15.75" customHeight="1">
      <c r="A40" s="5"/>
      <c r="B40" s="5" t="s">
        <v>1334</v>
      </c>
      <c r="C40" s="6" t="s">
        <v>36</v>
      </c>
      <c r="D40" s="7" t="s">
        <v>1335</v>
      </c>
      <c r="E40" s="8">
        <v>361000</v>
      </c>
      <c r="F40" s="6" cm="1">
        <f t="array" ref="F40">_xlfn.IFS(
E40&lt;=$E$245,0,
E40&lt;=$E$246,1,
E40&lt;=$E$247,2,
E40&gt;=$E$247,3)</f>
        <v>3</v>
      </c>
      <c r="G40" s="7" cm="1">
        <f t="array" ref="G40">_xlfn.IFS(
OR(D40="Aerospace",D40="Aerospace &amp; Defense",D40="Agricultural Equipment",D40="Airlines",D40="Automotive",D40="Automotive &amp; Energy",D40="Automotive Components",D40="Aviation",D40="Building Materials",D40="Chemicals",D40="Commercial Vehicles",D40="Conglomerate &amp; Defense",D40="Conglomerate &amp; Energy",D40="Construction",D40="Construction &amp; Infrastructure",D40="Construction &amp; Real Estate",D40="Construction &amp; Telecom",D40="Discount Retail",D40="Energy Management",D40="Energy Technology",D40="Engines &amp; Power Systems",D40="Environmental Services",D40="Food Distribution",D40="Food Services",D40="Grocery Retail",D40="Healthcare &amp; Pharmacy",D40="Home Improvement Retail",D40="Industrial Engineering &amp; Electronics",D40="Oilfield Services",D40="Pharmaceuticals",D40="Pharmaceuticals &amp; Chemicals",D40="Pharmaceuticals &amp; Healthcare",D40="Pharmacy Retail",D40="Postal &amp; Logistics",D40="Retail",D40="Retail &amp; Distribution",D40="Retail &amp; Grocery",D40="Retail (IKEA)",D40="Tobacco",D40="Trading &amp; Conglomerate",D40="Utilities",D40="Utilities &amp; Energy",D40="Wholesale Retail"),2,
OR(D40="Agribusiness",D40="Automotive &amp; Heavy Vehicles",D40="Chemicals",D40="Commercial Vehicles",D40="Construction",D40="Construction &amp; Infrastructure",D40="Engines &amp; Power Systems",D40="Food Processing",D40="Healthcare",D40="Healthcare &amp; Medical Devices",D40="Heavy Equipment",D40="Heavy Industry",D40="Industrial Gases",D40="Industrial Manufacturing",D40="Logistics",D40="Medical Devices",D40="Mining",D40="Mining &amp; Commodities Trading",D40="Oil &amp; Gas",D40="Oilfield Services",D40="Rail Transport",D40="Shipping &amp; Logistics",D40="Steel"),3,
OR(D40="Apparel &amp; Footwear",D40="Beverage",D40="Coffeehouse &amp; Retail",D40="Conglomerate",D40="Consumer Goods",D40="Convenience Retail",D40="Electronics",D40="Electronics &amp; Semiconductors",D40="Electronics Retail",D40="Fashion Retail",D40="Food &amp; Beverage",D40="Food Retail &amp; Consumer Goods",D40="Industrial &amp; Technology",D40="Industrial Automation",D40="Industrial Technology",D40="Postal &amp; Financial Services",D40="Postal Services",D40="Scientific Instruments",D40="Technology Hardware",D40="Trading Company",D40="IT Consulting"),1,
OR(D40="Cosmetics",D40="E-commerce &amp; Cloud Computing",D40="Electronics &amp; Entertainment",D40="Entertainment &amp; Media",D40="Luxury Goods",D40="Media &amp; Telecommunications",D40="Networking Technology",D40="Real Estate Services",D40="Technology &amp; Consumer Electronics",D40="Telecommunications",D40="Telecommunications &amp; Investment"),1,
OR(D40="Asset Management",D40="Banking",D40="Banking &amp; Asset Services",D40="Banking &amp; Financial Services",D40="Banking &amp; Wealth Management",D40="Cloud Software",D40="Enterprise Software",D40="Financial Services",D40="Information Technology Consulting",D40="Investment Banking",D40="Social Media &amp; Technology",D40="Software &amp; Cloud Computing",D40="Technology &amp; Consulting",D40="Technology &amp; Internet Services",D40="Technology &amp; Software"),1,
TRUE,"Unmapped"
)</f>
        <v>1</v>
      </c>
      <c r="H40" s="5">
        <v>2</v>
      </c>
      <c r="I40" s="5">
        <f>VLOOKUP(B40,'BIS + EDBA Final'!A:F,6,FALSE)</f>
        <v>-1</v>
      </c>
      <c r="J40" s="5">
        <f>VLOOKUP(B40,'CBG Final'!A:B,2,FALSE)</f>
        <v>3</v>
      </c>
      <c r="K40" s="9">
        <f t="shared" si="0"/>
        <v>2</v>
      </c>
      <c r="L40" s="5" t="s">
        <v>1336</v>
      </c>
      <c r="M40" s="5" t="s">
        <v>1337</v>
      </c>
      <c r="N40" s="5" t="s">
        <v>1338</v>
      </c>
      <c r="O40" s="5" t="s">
        <v>1310</v>
      </c>
      <c r="P40" s="5" t="s">
        <v>1339</v>
      </c>
      <c r="Q40" s="5" t="s">
        <v>429</v>
      </c>
      <c r="R40" s="5" t="s">
        <v>82</v>
      </c>
      <c r="S40" s="10"/>
      <c r="T40" s="11"/>
      <c r="U40" s="11"/>
      <c r="V40" s="10"/>
      <c r="W40" s="10"/>
      <c r="X40" s="10"/>
      <c r="Y40" s="10"/>
      <c r="Z40" s="10"/>
      <c r="AA40" s="10"/>
      <c r="AB40" s="10"/>
      <c r="AC40" s="10"/>
      <c r="AD40" s="10"/>
      <c r="AE40" s="10"/>
      <c r="AF40" s="10"/>
      <c r="AG40" s="10"/>
      <c r="AH40" s="10"/>
    </row>
    <row r="41" spans="1:34" ht="15.75" customHeight="1">
      <c r="A41" s="5"/>
      <c r="B41" s="5" t="s">
        <v>35</v>
      </c>
      <c r="C41" s="6" t="s">
        <v>36</v>
      </c>
      <c r="D41" s="7" t="s">
        <v>37</v>
      </c>
      <c r="E41" s="8">
        <v>1556000</v>
      </c>
      <c r="F41" s="6" cm="1">
        <f t="array" ref="F41">_xlfn.IFS(
E41&lt;=$E$245,0,
E41&lt;=$E$246,1,
E41&lt;=$E$247,2,
E41&gt;=$E$247,3)</f>
        <v>3</v>
      </c>
      <c r="G41" s="7" cm="1">
        <f t="array" ref="G41">_xlfn.IFS(
OR(D41="Aerospace",D41="Aerospace &amp; Defense",D41="Agricultural Equipment",D41="Airlines",D41="Automotive",D41="Automotive &amp; Energy",D41="Automotive Components",D41="Aviation",D41="Building Materials",D41="Chemicals",D41="Commercial Vehicles",D41="Conglomerate &amp; Defense",D41="Conglomerate &amp; Energy",D41="Construction",D41="Construction &amp; Infrastructure",D41="Construction &amp; Real Estate",D41="Construction &amp; Telecom",D41="Discount Retail",D41="Energy Management",D41="Energy Technology",D41="Engines &amp; Power Systems",D41="Environmental Services",D41="Food Distribution",D41="Food Services",D41="Grocery Retail",D41="Healthcare &amp; Pharmacy",D41="Home Improvement Retail",D41="Industrial Engineering &amp; Electronics",D41="Oilfield Services",D41="Pharmaceuticals",D41="Pharmaceuticals &amp; Chemicals",D41="Pharmaceuticals &amp; Healthcare",D41="Pharmacy Retail",D41="Postal &amp; Logistics",D41="Retail",D41="Retail &amp; Distribution",D41="Retail &amp; Grocery",D41="Retail (IKEA)",D41="Tobacco",D41="Trading &amp; Conglomerate",D41="Utilities",D41="Utilities &amp; Energy",D41="Wholesale Retail"),2,
OR(D41="Agribusiness",D41="Automotive &amp; Heavy Vehicles",D41="Chemicals",D41="Commercial Vehicles",D41="Construction",D41="Construction &amp; Infrastructure",D41="Engines &amp; Power Systems",D41="Food Processing",D41="Healthcare",D41="Healthcare &amp; Medical Devices",D41="Heavy Equipment",D41="Heavy Industry",D41="Industrial Gases",D41="Industrial Manufacturing",D41="Logistics",D41="Medical Devices",D41="Mining",D41="Mining &amp; Commodities Trading",D41="Oil &amp; Gas",D41="Oilfield Services",D41="Rail Transport",D41="Shipping &amp; Logistics",D41="Steel"),3,
OR(D41="Apparel &amp; Footwear",D41="Beverage",D41="Coffeehouse &amp; Retail",D41="Conglomerate",D41="Consumer Goods",D41="Convenience Retail",D41="Electronics",D41="Electronics &amp; Semiconductors",D41="Electronics Retail",D41="Fashion Retail",D41="Food &amp; Beverage",D41="Food Retail &amp; Consumer Goods",D41="Industrial &amp; Technology",D41="Industrial Automation",D41="Industrial Technology",D41="Postal &amp; Financial Services",D41="Postal Services",D41="Scientific Instruments",D41="Technology Hardware",D41="Trading Company",D41="IT Consulting"),1,
OR(D41="Cosmetics",D41="E-commerce &amp; Cloud Computing",D41="Electronics &amp; Entertainment",D41="Entertainment &amp; Media",D41="Luxury Goods",D41="Media &amp; Telecommunications",D41="Networking Technology",D41="Real Estate Services",D41="Technology &amp; Consumer Electronics",D41="Telecommunications",D41="Telecommunications &amp; Investment"),1,
OR(D41="Asset Management",D41="Banking",D41="Banking &amp; Asset Services",D41="Banking &amp; Financial Services",D41="Banking &amp; Wealth Management",D41="Cloud Software",D41="Enterprise Software",D41="Financial Services",D41="Information Technology Consulting",D41="Investment Banking",D41="Social Media &amp; Technology",D41="Software &amp; Cloud Computing",D41="Technology &amp; Consulting",D41="Technology &amp; Internet Services",D41="Technology &amp; Software"),1,
TRUE,"Unmapped"
)</f>
        <v>1</v>
      </c>
      <c r="H41" s="5">
        <v>2</v>
      </c>
      <c r="I41" s="5">
        <f>VLOOKUP(B41,'BIS + EDBA Final'!A:F,6,FALSE)</f>
        <v>-1</v>
      </c>
      <c r="J41" s="5">
        <f>VLOOKUP(B41,'CBG Final'!A:B,2,FALSE)</f>
        <v>3</v>
      </c>
      <c r="K41" s="9">
        <f t="shared" si="0"/>
        <v>2</v>
      </c>
      <c r="L41" s="5" t="s">
        <v>520</v>
      </c>
      <c r="M41" s="5" t="s">
        <v>521</v>
      </c>
      <c r="N41" s="5" t="s">
        <v>522</v>
      </c>
      <c r="O41" s="5" t="s">
        <v>523</v>
      </c>
      <c r="P41" s="5" t="s">
        <v>524</v>
      </c>
      <c r="Q41" s="5" t="s">
        <v>33</v>
      </c>
      <c r="R41" s="5" t="s">
        <v>136</v>
      </c>
      <c r="S41" s="10"/>
      <c r="T41" s="11"/>
      <c r="U41" s="11"/>
      <c r="V41" s="10"/>
      <c r="W41" s="10"/>
      <c r="X41" s="11"/>
      <c r="Y41" s="11"/>
      <c r="Z41" s="10"/>
      <c r="AA41" s="10"/>
      <c r="AB41" s="10"/>
      <c r="AC41" s="10"/>
      <c r="AD41" s="10"/>
      <c r="AE41" s="10"/>
      <c r="AF41" s="10"/>
      <c r="AG41" s="10"/>
      <c r="AH41" s="10"/>
    </row>
    <row r="42" spans="1:34" ht="15.75" customHeight="1">
      <c r="A42" s="5"/>
      <c r="B42" s="5" t="s">
        <v>1059</v>
      </c>
      <c r="C42" s="6" t="s">
        <v>36</v>
      </c>
      <c r="D42" s="7" t="s">
        <v>1060</v>
      </c>
      <c r="E42" s="8">
        <v>317233</v>
      </c>
      <c r="F42" s="6" cm="1">
        <f t="array" ref="F42">_xlfn.IFS(
E42&lt;=$E$245,0,
E42&lt;=$E$246,1,
E42&lt;=$E$247,2,
E42&gt;=$E$247,3)</f>
        <v>3</v>
      </c>
      <c r="G42" s="7" cm="1">
        <f t="array" ref="G42">_xlfn.IFS(
OR(D42="Aerospace",D42="Aerospace &amp; Defense",D42="Agricultural Equipment",D42="Airlines",D42="Automotive",D42="Automotive &amp; Energy",D42="Automotive Components",D42="Aviation",D42="Building Materials",D42="Chemicals",D42="Commercial Vehicles",D42="Conglomerate &amp; Defense",D42="Conglomerate &amp; Energy",D42="Construction",D42="Construction &amp; Infrastructure",D42="Construction &amp; Real Estate",D42="Construction &amp; Telecom",D42="Discount Retail",D42="Energy Management",D42="Energy Technology",D42="Engines &amp; Power Systems",D42="Environmental Services",D42="Food Distribution",D42="Food Services",D42="Grocery Retail",D42="Healthcare &amp; Pharmacy",D42="Home Improvement Retail",D42="Industrial Engineering &amp; Electronics",D42="Oilfield Services",D42="Pharmaceuticals",D42="Pharmaceuticals &amp; Chemicals",D42="Pharmaceuticals &amp; Healthcare",D42="Pharmacy Retail",D42="Postal &amp; Logistics",D42="Retail",D42="Retail &amp; Distribution",D42="Retail &amp; Grocery",D42="Retail (IKEA)",D42="Tobacco",D42="Trading &amp; Conglomerate",D42="Utilities",D42="Utilities &amp; Energy",D42="Wholesale Retail"),2,
OR(D42="Agribusiness",D42="Automotive &amp; Heavy Vehicles",D42="Chemicals",D42="Commercial Vehicles",D42="Construction",D42="Construction &amp; Infrastructure",D42="Engines &amp; Power Systems",D42="Food Processing",D42="Healthcare",D42="Healthcare &amp; Medical Devices",D42="Heavy Equipment",D42="Heavy Industry",D42="Industrial Gases",D42="Industrial Manufacturing",D42="Logistics",D42="Medical Devices",D42="Mining",D42="Mining &amp; Commodities Trading",D42="Oil &amp; Gas",D42="Oilfield Services",D42="Rail Transport",D42="Shipping &amp; Logistics",D42="Steel"),3,
OR(D42="Apparel &amp; Footwear",D42="Beverage",D42="Coffeehouse &amp; Retail",D42="Conglomerate",D42="Consumer Goods",D42="Convenience Retail",D42="Electronics",D42="Electronics &amp; Semiconductors",D42="Electronics Retail",D42="Fashion Retail",D42="Food &amp; Beverage",D42="Food Retail &amp; Consumer Goods",D42="Industrial &amp; Technology",D42="Industrial Automation",D42="Industrial Technology",D42="Postal &amp; Financial Services",D42="Postal Services",D42="Scientific Instruments",D42="Technology Hardware",D42="Trading Company",D42="IT Consulting"),1,
OR(D42="Cosmetics",D42="E-commerce &amp; Cloud Computing",D42="Electronics &amp; Entertainment",D42="Entertainment &amp; Media",D42="Luxury Goods",D42="Media &amp; Telecommunications",D42="Networking Technology",D42="Real Estate Services",D42="Technology &amp; Consumer Electronics",D42="Telecommunications",D42="Telecommunications &amp; Investment"),1,
OR(D42="Asset Management",D42="Banking",D42="Banking &amp; Asset Services",D42="Banking &amp; Financial Services",D42="Banking &amp; Wealth Management",D42="Cloud Software",D42="Enterprise Software",D42="Financial Services",D42="Information Technology Consulting",D42="Investment Banking",D42="Social Media &amp; Technology",D42="Software &amp; Cloud Computing",D42="Technology &amp; Consulting",D42="Technology &amp; Internet Services",D42="Technology &amp; Software"),1,
TRUE,"Unmapped"
)</f>
        <v>1</v>
      </c>
      <c r="H42" s="5">
        <v>2</v>
      </c>
      <c r="I42" s="5">
        <f>VLOOKUP(B42,'BIS + EDBA Final'!A:F,6,FALSE)</f>
        <v>-1</v>
      </c>
      <c r="J42" s="5">
        <f>VLOOKUP(B42,'CBG Final'!A:B,2,FALSE)</f>
        <v>3</v>
      </c>
      <c r="K42" s="9">
        <f t="shared" si="0"/>
        <v>2</v>
      </c>
      <c r="L42" s="5" t="s">
        <v>1061</v>
      </c>
      <c r="M42" s="5" t="s">
        <v>162</v>
      </c>
      <c r="N42" s="5" t="s">
        <v>1062</v>
      </c>
      <c r="O42" s="5" t="s">
        <v>400</v>
      </c>
      <c r="P42" s="5" t="s">
        <v>1063</v>
      </c>
      <c r="Q42" s="5" t="s">
        <v>169</v>
      </c>
      <c r="R42" s="5" t="s">
        <v>20</v>
      </c>
      <c r="S42" s="10"/>
      <c r="T42" s="11"/>
      <c r="U42" s="11"/>
      <c r="V42" s="10"/>
      <c r="W42" s="10"/>
      <c r="X42" s="11"/>
      <c r="Y42" s="11"/>
      <c r="Z42" s="10"/>
      <c r="AA42" s="10"/>
      <c r="AB42" s="10"/>
      <c r="AC42" s="10"/>
      <c r="AD42" s="10"/>
      <c r="AE42" s="10"/>
      <c r="AF42" s="10"/>
      <c r="AG42" s="10"/>
      <c r="AH42" s="10"/>
    </row>
    <row r="43" spans="1:34" ht="15.75" customHeight="1">
      <c r="A43" s="5"/>
      <c r="B43" s="5" t="s">
        <v>233</v>
      </c>
      <c r="C43" s="6" t="s">
        <v>159</v>
      </c>
      <c r="D43" s="7" t="s">
        <v>157</v>
      </c>
      <c r="E43" s="8">
        <v>206417</v>
      </c>
      <c r="F43" s="6" cm="1">
        <f t="array" ref="F43">_xlfn.IFS(
E43&lt;=$E$245,0,
E43&lt;=$E$246,1,
E43&lt;=$E$247,2,
E43&gt;=$E$247,3)</f>
        <v>3</v>
      </c>
      <c r="G43" s="7" cm="1">
        <f t="array" ref="G43">_xlfn.IFS(
OR(D43="Aerospace",D43="Aerospace &amp; Defense",D43="Agricultural Equipment",D43="Airlines",D43="Automotive",D43="Automotive &amp; Energy",D43="Automotive Components",D43="Aviation",D43="Building Materials",D43="Chemicals",D43="Commercial Vehicles",D43="Conglomerate &amp; Defense",D43="Conglomerate &amp; Energy",D43="Construction",D43="Construction &amp; Infrastructure",D43="Construction &amp; Real Estate",D43="Construction &amp; Telecom",D43="Discount Retail",D43="Energy Management",D43="Energy Technology",D43="Engines &amp; Power Systems",D43="Environmental Services",D43="Food Distribution",D43="Food Services",D43="Grocery Retail",D43="Healthcare &amp; Pharmacy",D43="Home Improvement Retail",D43="Industrial Engineering &amp; Electronics",D43="Oilfield Services",D43="Pharmaceuticals",D43="Pharmaceuticals &amp; Chemicals",D43="Pharmaceuticals &amp; Healthcare",D43="Pharmacy Retail",D43="Postal &amp; Logistics",D43="Retail",D43="Retail &amp; Distribution",D43="Retail &amp; Grocery",D43="Retail (IKEA)",D43="Tobacco",D43="Trading &amp; Conglomerate",D43="Utilities",D43="Utilities &amp; Energy",D43="Wholesale Retail"),2,
OR(D43="Agribusiness",D43="Automotive &amp; Heavy Vehicles",D43="Chemicals",D43="Commercial Vehicles",D43="Construction",D43="Construction &amp; Infrastructure",D43="Engines &amp; Power Systems",D43="Food Processing",D43="Healthcare",D43="Healthcare &amp; Medical Devices",D43="Heavy Equipment",D43="Heavy Industry",D43="Industrial Gases",D43="Industrial Manufacturing",D43="Logistics",D43="Medical Devices",D43="Mining",D43="Mining &amp; Commodities Trading",D43="Oil &amp; Gas",D43="Oilfield Services",D43="Rail Transport",D43="Shipping &amp; Logistics",D43="Steel"),3,
OR(D43="Apparel &amp; Footwear",D43="Beverage",D43="Coffeehouse &amp; Retail",D43="Conglomerate",D43="Consumer Goods",D43="Convenience Retail",D43="Electronics",D43="Electronics &amp; Semiconductors",D43="Electronics Retail",D43="Fashion Retail",D43="Food &amp; Beverage",D43="Food Retail &amp; Consumer Goods",D43="Industrial &amp; Technology",D43="Industrial Automation",D43="Industrial Technology",D43="Postal &amp; Financial Services",D43="Postal Services",D43="Scientific Instruments",D43="Technology Hardware",D43="Trading Company",D43="IT Consulting"),1,
OR(D43="Cosmetics",D43="E-commerce &amp; Cloud Computing",D43="Electronics &amp; Entertainment",D43="Entertainment &amp; Media",D43="Luxury Goods",D43="Media &amp; Telecommunications",D43="Networking Technology",D43="Real Estate Services",D43="Technology &amp; Consumer Electronics",D43="Telecommunications",D43="Telecommunications &amp; Investment"),1,
OR(D43="Asset Management",D43="Banking",D43="Banking &amp; Asset Services",D43="Banking &amp; Financial Services",D43="Banking &amp; Wealth Management",D43="Cloud Software",D43="Enterprise Software",D43="Financial Services",D43="Information Technology Consulting",D43="Investment Banking",D43="Social Media &amp; Technology",D43="Software &amp; Cloud Computing",D43="Technology &amp; Consulting",D43="Technology &amp; Internet Services",D43="Technology &amp; Software"),1,
TRUE,"Unmapped"
)</f>
        <v>1</v>
      </c>
      <c r="H43" s="5">
        <v>2</v>
      </c>
      <c r="I43" s="5">
        <f>VLOOKUP(B43,'BIS + EDBA Final'!A:F,6,FALSE)</f>
        <v>1</v>
      </c>
      <c r="J43" s="5">
        <f>VLOOKUP(B43,'CBG Final'!A:B,2,FALSE)</f>
        <v>2</v>
      </c>
      <c r="K43" s="9">
        <f t="shared" si="0"/>
        <v>2</v>
      </c>
      <c r="L43" s="5" t="s">
        <v>579</v>
      </c>
      <c r="M43" s="5" t="s">
        <v>580</v>
      </c>
      <c r="N43" s="5" t="s">
        <v>581</v>
      </c>
      <c r="O43" s="5" t="s">
        <v>582</v>
      </c>
      <c r="P43" s="5" t="s">
        <v>583</v>
      </c>
      <c r="Q43" s="5" t="s">
        <v>344</v>
      </c>
      <c r="R43" s="5" t="s">
        <v>20</v>
      </c>
      <c r="S43" s="10"/>
      <c r="T43" s="11"/>
      <c r="U43" s="11"/>
      <c r="V43" s="10"/>
      <c r="W43" s="10"/>
      <c r="X43" s="11"/>
      <c r="Y43" s="11"/>
      <c r="Z43" s="10"/>
      <c r="AA43" s="10"/>
      <c r="AB43" s="10"/>
      <c r="AC43" s="10"/>
      <c r="AD43" s="10"/>
      <c r="AE43" s="10"/>
      <c r="AF43" s="10"/>
      <c r="AG43" s="10"/>
      <c r="AH43" s="10"/>
    </row>
    <row r="44" spans="1:34" ht="15.75" customHeight="1">
      <c r="A44" s="5"/>
      <c r="B44" s="5" t="s">
        <v>234</v>
      </c>
      <c r="C44" s="6" t="s">
        <v>94</v>
      </c>
      <c r="D44" s="7" t="s">
        <v>157</v>
      </c>
      <c r="E44" s="8">
        <v>211304</v>
      </c>
      <c r="F44" s="6" cm="1">
        <f t="array" ref="F44">_xlfn.IFS(
E44&lt;=$E$245,0,
E44&lt;=$E$246,1,
E44&lt;=$E$247,2,
E44&gt;=$E$247,3)</f>
        <v>3</v>
      </c>
      <c r="G44" s="7" cm="1">
        <f t="array" ref="G44">_xlfn.IFS(
OR(D44="Aerospace",D44="Aerospace &amp; Defense",D44="Agricultural Equipment",D44="Airlines",D44="Automotive",D44="Automotive &amp; Energy",D44="Automotive Components",D44="Aviation",D44="Building Materials",D44="Chemicals",D44="Commercial Vehicles",D44="Conglomerate &amp; Defense",D44="Conglomerate &amp; Energy",D44="Construction",D44="Construction &amp; Infrastructure",D44="Construction &amp; Real Estate",D44="Construction &amp; Telecom",D44="Discount Retail",D44="Energy Management",D44="Energy Technology",D44="Engines &amp; Power Systems",D44="Environmental Services",D44="Food Distribution",D44="Food Services",D44="Grocery Retail",D44="Healthcare &amp; Pharmacy",D44="Home Improvement Retail",D44="Industrial Engineering &amp; Electronics",D44="Oilfield Services",D44="Pharmaceuticals",D44="Pharmaceuticals &amp; Chemicals",D44="Pharmaceuticals &amp; Healthcare",D44="Pharmacy Retail",D44="Postal &amp; Logistics",D44="Retail",D44="Retail &amp; Distribution",D44="Retail &amp; Grocery",D44="Retail (IKEA)",D44="Tobacco",D44="Trading &amp; Conglomerate",D44="Utilities",D44="Utilities &amp; Energy",D44="Wholesale Retail"),2,
OR(D44="Agribusiness",D44="Automotive &amp; Heavy Vehicles",D44="Chemicals",D44="Commercial Vehicles",D44="Construction",D44="Construction &amp; Infrastructure",D44="Engines &amp; Power Systems",D44="Food Processing",D44="Healthcare",D44="Healthcare &amp; Medical Devices",D44="Heavy Equipment",D44="Heavy Industry",D44="Industrial Gases",D44="Industrial Manufacturing",D44="Logistics",D44="Medical Devices",D44="Mining",D44="Mining &amp; Commodities Trading",D44="Oil &amp; Gas",D44="Oilfield Services",D44="Rail Transport",D44="Shipping &amp; Logistics",D44="Steel"),3,
OR(D44="Apparel &amp; Footwear",D44="Beverage",D44="Coffeehouse &amp; Retail",D44="Conglomerate",D44="Consumer Goods",D44="Convenience Retail",D44="Electronics",D44="Electronics &amp; Semiconductors",D44="Electronics Retail",D44="Fashion Retail",D44="Food &amp; Beverage",D44="Food Retail &amp; Consumer Goods",D44="Industrial &amp; Technology",D44="Industrial Automation",D44="Industrial Technology",D44="Postal &amp; Financial Services",D44="Postal Services",D44="Scientific Instruments",D44="Technology Hardware",D44="Trading Company",D44="IT Consulting"),1,
OR(D44="Cosmetics",D44="E-commerce &amp; Cloud Computing",D44="Electronics &amp; Entertainment",D44="Entertainment &amp; Media",D44="Luxury Goods",D44="Media &amp; Telecommunications",D44="Networking Technology",D44="Real Estate Services",D44="Technology &amp; Consumer Electronics",D44="Telecommunications",D44="Telecommunications &amp; Investment"),1,
OR(D44="Asset Management",D44="Banking",D44="Banking &amp; Asset Services",D44="Banking &amp; Financial Services",D44="Banking &amp; Wealth Management",D44="Cloud Software",D44="Enterprise Software",D44="Financial Services",D44="Information Technology Consulting",D44="Investment Banking",D44="Social Media &amp; Technology",D44="Software &amp; Cloud Computing",D44="Technology &amp; Consulting",D44="Technology &amp; Internet Services",D44="Technology &amp; Software"),1,
TRUE,"Unmapped"
)</f>
        <v>1</v>
      </c>
      <c r="H44" s="5">
        <v>1</v>
      </c>
      <c r="I44" s="5">
        <f>VLOOKUP(B44,'BIS + EDBA Final'!A:F,6,FALSE)</f>
        <v>1</v>
      </c>
      <c r="J44" s="5">
        <f>VLOOKUP(B44,'CBG Final'!A:B,2,FALSE)</f>
        <v>3</v>
      </c>
      <c r="K44" s="9">
        <f t="shared" si="0"/>
        <v>2</v>
      </c>
      <c r="L44" s="5" t="s">
        <v>981</v>
      </c>
      <c r="M44" s="5" t="s">
        <v>178</v>
      </c>
      <c r="N44" s="5" t="s">
        <v>982</v>
      </c>
      <c r="O44" s="5" t="s">
        <v>79</v>
      </c>
      <c r="P44" s="5" t="s">
        <v>983</v>
      </c>
      <c r="Q44" s="5" t="s">
        <v>155</v>
      </c>
      <c r="R44" s="5" t="s">
        <v>20</v>
      </c>
      <c r="S44" s="10"/>
      <c r="T44" s="11"/>
      <c r="U44" s="11"/>
      <c r="V44" s="10"/>
      <c r="W44" s="10"/>
      <c r="X44" s="11"/>
      <c r="Y44" s="11"/>
      <c r="Z44" s="10"/>
      <c r="AA44" s="10"/>
      <c r="AB44" s="10"/>
      <c r="AC44" s="10"/>
      <c r="AD44" s="10"/>
      <c r="AE44" s="10"/>
      <c r="AF44" s="10"/>
      <c r="AG44" s="10"/>
      <c r="AH44" s="10"/>
    </row>
    <row r="45" spans="1:34" ht="15.75" customHeight="1">
      <c r="A45" s="5"/>
      <c r="B45" s="5" t="s">
        <v>263</v>
      </c>
      <c r="C45" s="6" t="s">
        <v>36</v>
      </c>
      <c r="D45" s="7" t="s">
        <v>157</v>
      </c>
      <c r="E45" s="8">
        <v>217502</v>
      </c>
      <c r="F45" s="6" cm="1">
        <f t="array" ref="F45">_xlfn.IFS(
E45&lt;=$E$245,0,
E45&lt;=$E$246,1,
E45&lt;=$E$247,2,
E45&gt;=$E$247,3)</f>
        <v>3</v>
      </c>
      <c r="G45" s="7" cm="1">
        <f t="array" ref="G45">_xlfn.IFS(
OR(D45="Aerospace",D45="Aerospace &amp; Defense",D45="Agricultural Equipment",D45="Airlines",D45="Automotive",D45="Automotive &amp; Energy",D45="Automotive Components",D45="Aviation",D45="Building Materials",D45="Chemicals",D45="Commercial Vehicles",D45="Conglomerate &amp; Defense",D45="Conglomerate &amp; Energy",D45="Construction",D45="Construction &amp; Infrastructure",D45="Construction &amp; Real Estate",D45="Construction &amp; Telecom",D45="Discount Retail",D45="Energy Management",D45="Energy Technology",D45="Engines &amp; Power Systems",D45="Environmental Services",D45="Food Distribution",D45="Food Services",D45="Grocery Retail",D45="Healthcare &amp; Pharmacy",D45="Home Improvement Retail",D45="Industrial Engineering &amp; Electronics",D45="Oilfield Services",D45="Pharmaceuticals",D45="Pharmaceuticals &amp; Chemicals",D45="Pharmaceuticals &amp; Healthcare",D45="Pharmacy Retail",D45="Postal &amp; Logistics",D45="Retail",D45="Retail &amp; Distribution",D45="Retail &amp; Grocery",D45="Retail (IKEA)",D45="Tobacco",D45="Trading &amp; Conglomerate",D45="Utilities",D45="Utilities &amp; Energy",D45="Wholesale Retail"),2,
OR(D45="Agribusiness",D45="Automotive &amp; Heavy Vehicles",D45="Chemicals",D45="Commercial Vehicles",D45="Construction",D45="Construction &amp; Infrastructure",D45="Engines &amp; Power Systems",D45="Food Processing",D45="Healthcare",D45="Healthcare &amp; Medical Devices",D45="Heavy Equipment",D45="Heavy Industry",D45="Industrial Gases",D45="Industrial Manufacturing",D45="Logistics",D45="Medical Devices",D45="Mining",D45="Mining &amp; Commodities Trading",D45="Oil &amp; Gas",D45="Oilfield Services",D45="Rail Transport",D45="Shipping &amp; Logistics",D45="Steel"),3,
OR(D45="Apparel &amp; Footwear",D45="Beverage",D45="Coffeehouse &amp; Retail",D45="Conglomerate",D45="Consumer Goods",D45="Convenience Retail",D45="Electronics",D45="Electronics &amp; Semiconductors",D45="Electronics Retail",D45="Fashion Retail",D45="Food &amp; Beverage",D45="Food Retail &amp; Consumer Goods",D45="Industrial &amp; Technology",D45="Industrial Automation",D45="Industrial Technology",D45="Postal &amp; Financial Services",D45="Postal Services",D45="Scientific Instruments",D45="Technology Hardware",D45="Trading Company",D45="IT Consulting"),1,
OR(D45="Cosmetics",D45="E-commerce &amp; Cloud Computing",D45="Electronics &amp; Entertainment",D45="Entertainment &amp; Media",D45="Luxury Goods",D45="Media &amp; Telecommunications",D45="Networking Technology",D45="Real Estate Services",D45="Technology &amp; Consumer Electronics",D45="Telecommunications",D45="Telecommunications &amp; Investment"),1,
OR(D45="Asset Management",D45="Banking",D45="Banking &amp; Asset Services",D45="Banking &amp; Financial Services",D45="Banking &amp; Wealth Management",D45="Cloud Software",D45="Enterprise Software",D45="Financial Services",D45="Information Technology Consulting",D45="Investment Banking",D45="Social Media &amp; Technology",D45="Software &amp; Cloud Computing",D45="Technology &amp; Consulting",D45="Technology &amp; Internet Services",D45="Technology &amp; Software"),1,
TRUE,"Unmapped"
)</f>
        <v>1</v>
      </c>
      <c r="H45" s="5">
        <v>1</v>
      </c>
      <c r="I45" s="5">
        <f>VLOOKUP(B45,'BIS + EDBA Final'!A:F,6,FALSE)</f>
        <v>1</v>
      </c>
      <c r="J45" s="5">
        <f>VLOOKUP(B45,'CBG Final'!A:B,2,FALSE)</f>
        <v>3</v>
      </c>
      <c r="K45" s="9">
        <f t="shared" si="0"/>
        <v>2</v>
      </c>
      <c r="L45" s="5" t="s">
        <v>1452</v>
      </c>
      <c r="M45" s="5" t="s">
        <v>113</v>
      </c>
      <c r="N45" s="5" t="s">
        <v>1453</v>
      </c>
      <c r="O45" s="5" t="s">
        <v>189</v>
      </c>
      <c r="P45" s="5" t="s">
        <v>1454</v>
      </c>
      <c r="Q45" s="5" t="s">
        <v>46</v>
      </c>
      <c r="R45" s="5" t="s">
        <v>107</v>
      </c>
      <c r="S45" s="10"/>
      <c r="T45" s="11"/>
      <c r="U45" s="11"/>
      <c r="V45" s="10"/>
      <c r="W45" s="10"/>
      <c r="X45" s="11"/>
      <c r="Y45" s="11"/>
      <c r="Z45" s="10"/>
      <c r="AA45" s="10"/>
      <c r="AB45" s="10"/>
      <c r="AC45" s="10"/>
      <c r="AD45" s="10"/>
      <c r="AE45" s="10"/>
      <c r="AF45" s="10"/>
      <c r="AG45" s="10"/>
      <c r="AH45" s="10"/>
    </row>
    <row r="46" spans="1:34" ht="15.75" customHeight="1">
      <c r="A46" s="5"/>
      <c r="B46" s="5" t="s">
        <v>875</v>
      </c>
      <c r="C46" s="6" t="s">
        <v>876</v>
      </c>
      <c r="D46" s="7" t="s">
        <v>877</v>
      </c>
      <c r="E46" s="8">
        <v>121223</v>
      </c>
      <c r="F46" s="6" cm="1">
        <f t="array" ref="F46">_xlfn.IFS(
E46&lt;=$E$245,0,
E46&lt;=$E$246,1,
E46&lt;=$E$247,2,
E46&gt;=$E$247,3)</f>
        <v>2</v>
      </c>
      <c r="G46" s="7" cm="1">
        <f t="array" ref="G46">_xlfn.IFS(
OR(D46="Aerospace",D46="Aerospace &amp; Defense",D46="Agricultural Equipment",D46="Airlines",D46="Automotive",D46="Automotive &amp; Energy",D46="Automotive Components",D46="Aviation",D46="Building Materials",D46="Chemicals",D46="Commercial Vehicles",D46="Conglomerate &amp; Defense",D46="Conglomerate &amp; Energy",D46="Construction",D46="Construction &amp; Infrastructure",D46="Construction &amp; Real Estate",D46="Construction &amp; Telecom",D46="Discount Retail",D46="Energy Management",D46="Energy Technology",D46="Engines &amp; Power Systems",D46="Environmental Services",D46="Food Distribution",D46="Food Services",D46="Grocery Retail",D46="Healthcare &amp; Pharmacy",D46="Home Improvement Retail",D46="Industrial Engineering &amp; Electronics",D46="Oilfield Services",D46="Pharmaceuticals",D46="Pharmaceuticals &amp; Chemicals",D46="Pharmaceuticals &amp; Healthcare",D46="Pharmacy Retail",D46="Postal &amp; Logistics",D46="Retail",D46="Retail &amp; Distribution",D46="Retail &amp; Grocery",D46="Retail (IKEA)",D46="Tobacco",D46="Trading &amp; Conglomerate",D46="Utilities",D46="Utilities &amp; Energy",D46="Wholesale Retail"),2,
OR(D46="Agribusiness",D46="Automotive &amp; Heavy Vehicles",D46="Chemicals",D46="Commercial Vehicles",D46="Construction",D46="Construction &amp; Infrastructure",D46="Engines &amp; Power Systems",D46="Food Processing",D46="Healthcare",D46="Healthcare &amp; Medical Devices",D46="Heavy Equipment",D46="Heavy Industry",D46="Industrial Gases",D46="Industrial Manufacturing",D46="Logistics",D46="Medical Devices",D46="Mining",D46="Mining &amp; Commodities Trading",D46="Oil &amp; Gas",D46="Oilfield Services",D46="Rail Transport",D46="Shipping &amp; Logistics",D46="Steel"),3,
OR(D46="Apparel &amp; Footwear",D46="Beverage",D46="Coffeehouse &amp; Retail",D46="Conglomerate",D46="Consumer Goods",D46="Convenience Retail",D46="Electronics",D46="Electronics &amp; Semiconductors",D46="Electronics Retail",D46="Fashion Retail",D46="Food &amp; Beverage",D46="Food Retail &amp; Consumer Goods",D46="Industrial &amp; Technology",D46="Industrial Automation",D46="Industrial Technology",D46="Postal &amp; Financial Services",D46="Postal Services",D46="Scientific Instruments",D46="Technology Hardware",D46="Trading Company",D46="IT Consulting"),1,
OR(D46="Cosmetics",D46="E-commerce &amp; Cloud Computing",D46="Electronics &amp; Entertainment",D46="Entertainment &amp; Media",D46="Luxury Goods",D46="Media &amp; Telecommunications",D46="Networking Technology",D46="Real Estate Services",D46="Technology &amp; Consumer Electronics",D46="Telecommunications",D46="Telecommunications &amp; Investment"),1,
OR(D46="Asset Management",D46="Banking",D46="Banking &amp; Asset Services",D46="Banking &amp; Financial Services",D46="Banking &amp; Wealth Management",D46="Cloud Software",D46="Enterprise Software",D46="Financial Services",D46="Information Technology Consulting",D46="Investment Banking",D46="Social Media &amp; Technology",D46="Software &amp; Cloud Computing",D46="Technology &amp; Consulting",D46="Technology &amp; Internet Services",D46="Technology &amp; Software"),1,
TRUE,"Unmapped"
)</f>
        <v>2</v>
      </c>
      <c r="H46" s="5">
        <v>2</v>
      </c>
      <c r="I46" s="5">
        <f>VLOOKUP(B46,'BIS + EDBA Final'!A:F,6,FALSE)</f>
        <v>0</v>
      </c>
      <c r="J46" s="5">
        <f>VLOOKUP(B46,'CBG Final'!A:B,2,FALSE)</f>
        <v>3</v>
      </c>
      <c r="K46" s="9">
        <f t="shared" si="0"/>
        <v>2</v>
      </c>
      <c r="L46" s="5" t="s">
        <v>878</v>
      </c>
      <c r="M46" s="5" t="s">
        <v>759</v>
      </c>
      <c r="N46" s="5" t="s">
        <v>879</v>
      </c>
      <c r="O46" s="5" t="s">
        <v>168</v>
      </c>
      <c r="P46" s="5" t="s">
        <v>880</v>
      </c>
      <c r="Q46" s="5" t="s">
        <v>30</v>
      </c>
      <c r="R46" s="5" t="s">
        <v>276</v>
      </c>
      <c r="S46" s="10"/>
      <c r="T46" s="11"/>
      <c r="U46" s="11"/>
      <c r="V46" s="10"/>
      <c r="W46" s="10"/>
      <c r="X46" s="10"/>
      <c r="Y46" s="10"/>
      <c r="Z46" s="10"/>
      <c r="AA46" s="10"/>
      <c r="AB46" s="10"/>
      <c r="AC46" s="10"/>
      <c r="AD46" s="10"/>
      <c r="AE46" s="10"/>
      <c r="AF46" s="10"/>
      <c r="AG46" s="10"/>
      <c r="AH46" s="10"/>
    </row>
    <row r="47" spans="1:34" ht="15.75" customHeight="1">
      <c r="A47" s="5"/>
      <c r="B47" s="5" t="s">
        <v>618</v>
      </c>
      <c r="C47" s="6" t="s">
        <v>36</v>
      </c>
      <c r="D47" s="7" t="s">
        <v>619</v>
      </c>
      <c r="E47" s="8">
        <v>284500</v>
      </c>
      <c r="F47" s="6" cm="1">
        <f t="array" ref="F47">_xlfn.IFS(
E47&lt;=$E$245,0,
E47&lt;=$E$246,1,
E47&lt;=$E$247,2,
E47&gt;=$E$247,3)</f>
        <v>3</v>
      </c>
      <c r="G47" s="7" cm="1">
        <f t="array" ref="G47">_xlfn.IFS(
OR(D47="Aerospace",D47="Aerospace &amp; Defense",D47="Agricultural Equipment",D47="Airlines",D47="Automotive",D47="Automotive &amp; Energy",D47="Automotive Components",D47="Aviation",D47="Building Materials",D47="Chemicals",D47="Commercial Vehicles",D47="Conglomerate &amp; Defense",D47="Conglomerate &amp; Energy",D47="Construction",D47="Construction &amp; Infrastructure",D47="Construction &amp; Real Estate",D47="Construction &amp; Telecom",D47="Discount Retail",D47="Energy Management",D47="Energy Technology",D47="Engines &amp; Power Systems",D47="Environmental Services",D47="Food Distribution",D47="Food Services",D47="Grocery Retail",D47="Healthcare &amp; Pharmacy",D47="Home Improvement Retail",D47="Industrial Engineering &amp; Electronics",D47="Oilfield Services",D47="Pharmaceuticals",D47="Pharmaceuticals &amp; Chemicals",D47="Pharmaceuticals &amp; Healthcare",D47="Pharmacy Retail",D47="Postal &amp; Logistics",D47="Retail",D47="Retail &amp; Distribution",D47="Retail &amp; Grocery",D47="Retail (IKEA)",D47="Tobacco",D47="Trading &amp; Conglomerate",D47="Utilities",D47="Utilities &amp; Energy",D47="Wholesale Retail"),2,
OR(D47="Agribusiness",D47="Automotive &amp; Heavy Vehicles",D47="Chemicals",D47="Commercial Vehicles",D47="Construction",D47="Construction &amp; Infrastructure",D47="Engines &amp; Power Systems",D47="Food Processing",D47="Healthcare",D47="Healthcare &amp; Medical Devices",D47="Heavy Equipment",D47="Heavy Industry",D47="Industrial Gases",D47="Industrial Manufacturing",D47="Logistics",D47="Medical Devices",D47="Mining",D47="Mining &amp; Commodities Trading",D47="Oil &amp; Gas",D47="Oilfield Services",D47="Rail Transport",D47="Shipping &amp; Logistics",D47="Steel"),3,
OR(D47="Apparel &amp; Footwear",D47="Beverage",D47="Coffeehouse &amp; Retail",D47="Conglomerate",D47="Consumer Goods",D47="Convenience Retail",D47="Electronics",D47="Electronics &amp; Semiconductors",D47="Electronics Retail",D47="Fashion Retail",D47="Food &amp; Beverage",D47="Food Retail &amp; Consumer Goods",D47="Industrial &amp; Technology",D47="Industrial Automation",D47="Industrial Technology",D47="Postal &amp; Financial Services",D47="Postal Services",D47="Scientific Instruments",D47="Technology Hardware",D47="Trading Company",D47="IT Consulting"),1,
OR(D47="Cosmetics",D47="E-commerce &amp; Cloud Computing",D47="Electronics &amp; Entertainment",D47="Entertainment &amp; Media",D47="Luxury Goods",D47="Media &amp; Telecommunications",D47="Networking Technology",D47="Real Estate Services",D47="Technology &amp; Consumer Electronics",D47="Telecommunications",D47="Telecommunications &amp; Investment"),1,
OR(D47="Asset Management",D47="Banking",D47="Banking &amp; Asset Services",D47="Banking &amp; Financial Services",D47="Banking &amp; Wealth Management",D47="Cloud Software",D47="Enterprise Software",D47="Financial Services",D47="Information Technology Consulting",D47="Investment Banking",D47="Social Media &amp; Technology",D47="Software &amp; Cloud Computing",D47="Technology &amp; Consulting",D47="Technology &amp; Internet Services",D47="Technology &amp; Software"),1,
TRUE,"Unmapped"
)</f>
        <v>1</v>
      </c>
      <c r="H47" s="5">
        <v>2</v>
      </c>
      <c r="I47" s="5">
        <f>VLOOKUP(B47,'BIS + EDBA Final'!A:F,6,FALSE)</f>
        <v>-1</v>
      </c>
      <c r="J47" s="5">
        <f>VLOOKUP(B47,'CBG Final'!A:B,2,FALSE)</f>
        <v>3</v>
      </c>
      <c r="K47" s="9">
        <f t="shared" si="0"/>
        <v>2</v>
      </c>
      <c r="L47" s="5" t="s">
        <v>989</v>
      </c>
      <c r="M47" s="5" t="s">
        <v>220</v>
      </c>
      <c r="N47" s="5" t="s">
        <v>990</v>
      </c>
      <c r="O47" s="5" t="s">
        <v>991</v>
      </c>
      <c r="P47" s="5" t="s">
        <v>992</v>
      </c>
      <c r="Q47" s="5" t="s">
        <v>29</v>
      </c>
      <c r="R47" s="5" t="s">
        <v>20</v>
      </c>
      <c r="S47" s="10"/>
      <c r="T47" s="11"/>
      <c r="U47" s="11"/>
      <c r="V47" s="10"/>
      <c r="W47" s="10"/>
      <c r="X47" s="11"/>
      <c r="Y47" s="11"/>
      <c r="Z47" s="10"/>
      <c r="AA47" s="10"/>
      <c r="AB47" s="10"/>
      <c r="AC47" s="10"/>
      <c r="AD47" s="10"/>
      <c r="AE47" s="10"/>
      <c r="AF47" s="10"/>
      <c r="AG47" s="10"/>
      <c r="AH47" s="10"/>
    </row>
    <row r="48" spans="1:34" ht="15.75" customHeight="1">
      <c r="A48" s="5"/>
      <c r="B48" s="5" t="s">
        <v>860</v>
      </c>
      <c r="C48" s="6" t="s">
        <v>71</v>
      </c>
      <c r="D48" s="7" t="s">
        <v>333</v>
      </c>
      <c r="E48" s="8">
        <v>413000</v>
      </c>
      <c r="F48" s="6" cm="1">
        <f t="array" ref="F48">_xlfn.IFS(
E48&lt;=$E$245,0,
E48&lt;=$E$246,1,
E48&lt;=$E$247,2,
E48&gt;=$E$247,3)</f>
        <v>3</v>
      </c>
      <c r="G48" s="7" cm="1">
        <f t="array" ref="G48">_xlfn.IFS(
OR(D48="Aerospace",D48="Aerospace &amp; Defense",D48="Agricultural Equipment",D48="Airlines",D48="Automotive",D48="Automotive &amp; Energy",D48="Automotive Components",D48="Aviation",D48="Building Materials",D48="Chemicals",D48="Commercial Vehicles",D48="Conglomerate &amp; Defense",D48="Conglomerate &amp; Energy",D48="Construction",D48="Construction &amp; Infrastructure",D48="Construction &amp; Real Estate",D48="Construction &amp; Telecom",D48="Discount Retail",D48="Energy Management",D48="Energy Technology",D48="Engines &amp; Power Systems",D48="Environmental Services",D48="Food Distribution",D48="Food Services",D48="Grocery Retail",D48="Healthcare &amp; Pharmacy",D48="Home Improvement Retail",D48="Industrial Engineering &amp; Electronics",D48="Oilfield Services",D48="Pharmaceuticals",D48="Pharmaceuticals &amp; Chemicals",D48="Pharmaceuticals &amp; Healthcare",D48="Pharmacy Retail",D48="Postal &amp; Logistics",D48="Retail",D48="Retail &amp; Distribution",D48="Retail &amp; Grocery",D48="Retail (IKEA)",D48="Tobacco",D48="Trading &amp; Conglomerate",D48="Utilities",D48="Utilities &amp; Energy",D48="Wholesale Retail"),2,
OR(D48="Agribusiness",D48="Automotive &amp; Heavy Vehicles",D48="Chemicals",D48="Commercial Vehicles",D48="Construction",D48="Construction &amp; Infrastructure",D48="Engines &amp; Power Systems",D48="Food Processing",D48="Healthcare",D48="Healthcare &amp; Medical Devices",D48="Heavy Equipment",D48="Heavy Industry",D48="Industrial Gases",D48="Industrial Manufacturing",D48="Logistics",D48="Medical Devices",D48="Mining",D48="Mining &amp; Commodities Trading",D48="Oil &amp; Gas",D48="Oilfield Services",D48="Rail Transport",D48="Shipping &amp; Logistics",D48="Steel"),3,
OR(D48="Apparel &amp; Footwear",D48="Beverage",D48="Coffeehouse &amp; Retail",D48="Conglomerate",D48="Consumer Goods",D48="Convenience Retail",D48="Electronics",D48="Electronics &amp; Semiconductors",D48="Electronics Retail",D48="Fashion Retail",D48="Food &amp; Beverage",D48="Food Retail &amp; Consumer Goods",D48="Industrial &amp; Technology",D48="Industrial Automation",D48="Industrial Technology",D48="Postal &amp; Financial Services",D48="Postal Services",D48="Scientific Instruments",D48="Technology Hardware",D48="Trading Company",D48="IT Consulting"),1,
OR(D48="Cosmetics",D48="E-commerce &amp; Cloud Computing",D48="Electronics &amp; Entertainment",D48="Entertainment &amp; Media",D48="Luxury Goods",D48="Media &amp; Telecommunications",D48="Networking Technology",D48="Real Estate Services",D48="Technology &amp; Consumer Electronics",D48="Telecommunications",D48="Telecommunications &amp; Investment"),1,
OR(D48="Asset Management",D48="Banking",D48="Banking &amp; Asset Services",D48="Banking &amp; Financial Services",D48="Banking &amp; Wealth Management",D48="Cloud Software",D48="Enterprise Software",D48="Financial Services",D48="Information Technology Consulting",D48="Investment Banking",D48="Social Media &amp; Technology",D48="Software &amp; Cloud Computing",D48="Technology &amp; Consulting",D48="Technology &amp; Internet Services",D48="Technology &amp; Software"),1,
TRUE,"Unmapped"
)</f>
        <v>2</v>
      </c>
      <c r="H48" s="5">
        <v>2</v>
      </c>
      <c r="I48" s="5">
        <f>VLOOKUP(B48,'BIS + EDBA Final'!A:F,6,FALSE)</f>
        <v>1</v>
      </c>
      <c r="J48" s="5">
        <f>VLOOKUP(B48,'CBG Final'!A:B,2,FALSE)</f>
        <v>1</v>
      </c>
      <c r="K48" s="9">
        <f t="shared" si="0"/>
        <v>1.9999999999999998</v>
      </c>
      <c r="L48" s="5" t="s">
        <v>861</v>
      </c>
      <c r="M48" s="5" t="s">
        <v>862</v>
      </c>
      <c r="N48" s="5" t="s">
        <v>863</v>
      </c>
      <c r="O48" s="5" t="s">
        <v>746</v>
      </c>
      <c r="P48" s="5" t="s">
        <v>864</v>
      </c>
      <c r="Q48" s="5" t="s">
        <v>422</v>
      </c>
      <c r="R48" s="5" t="s">
        <v>54</v>
      </c>
      <c r="S48" s="10"/>
      <c r="T48" s="11"/>
      <c r="U48" s="11"/>
      <c r="V48" s="10"/>
      <c r="W48" s="10"/>
      <c r="X48" s="11"/>
      <c r="Y48" s="11"/>
      <c r="Z48" s="10"/>
      <c r="AA48" s="10"/>
      <c r="AB48" s="10"/>
      <c r="AC48" s="10"/>
      <c r="AD48" s="10"/>
      <c r="AE48" s="10"/>
      <c r="AF48" s="10"/>
      <c r="AG48" s="10"/>
      <c r="AH48" s="10"/>
    </row>
    <row r="49" spans="1:34" ht="15.75" customHeight="1">
      <c r="A49" s="5"/>
      <c r="B49" s="5" t="s">
        <v>361</v>
      </c>
      <c r="C49" s="6" t="s">
        <v>94</v>
      </c>
      <c r="D49" s="7" t="s">
        <v>84</v>
      </c>
      <c r="E49" s="8">
        <v>96000</v>
      </c>
      <c r="F49" s="6" cm="1">
        <f t="array" ref="F49">_xlfn.IFS(
E49&lt;=$E$245,0,
E49&lt;=$E$246,1,
E49&lt;=$E$247,2,
E49&gt;=$E$247,3)</f>
        <v>1</v>
      </c>
      <c r="G49" s="7" cm="1">
        <f t="array" ref="G49">_xlfn.IFS(
OR(D49="Aerospace",D49="Aerospace &amp; Defense",D49="Agricultural Equipment",D49="Airlines",D49="Automotive",D49="Automotive &amp; Energy",D49="Automotive Components",D49="Aviation",D49="Building Materials",D49="Chemicals",D49="Commercial Vehicles",D49="Conglomerate &amp; Defense",D49="Conglomerate &amp; Energy",D49="Construction",D49="Construction &amp; Infrastructure",D49="Construction &amp; Real Estate",D49="Construction &amp; Telecom",D49="Discount Retail",D49="Energy Management",D49="Energy Technology",D49="Engines &amp; Power Systems",D49="Environmental Services",D49="Food Distribution",D49="Food Services",D49="Grocery Retail",D49="Healthcare &amp; Pharmacy",D49="Home Improvement Retail",D49="Industrial Engineering &amp; Electronics",D49="Oilfield Services",D49="Pharmaceuticals",D49="Pharmaceuticals &amp; Chemicals",D49="Pharmaceuticals &amp; Healthcare",D49="Pharmacy Retail",D49="Postal &amp; Logistics",D49="Retail",D49="Retail &amp; Distribution",D49="Retail &amp; Grocery",D49="Retail (IKEA)",D49="Tobacco",D49="Trading &amp; Conglomerate",D49="Utilities",D49="Utilities &amp; Energy",D49="Wholesale Retail"),2,
OR(D49="Agribusiness",D49="Automotive &amp; Heavy Vehicles",D49="Chemicals",D49="Commercial Vehicles",D49="Construction",D49="Construction &amp; Infrastructure",D49="Engines &amp; Power Systems",D49="Food Processing",D49="Healthcare",D49="Healthcare &amp; Medical Devices",D49="Heavy Equipment",D49="Heavy Industry",D49="Industrial Gases",D49="Industrial Manufacturing",D49="Logistics",D49="Medical Devices",D49="Mining",D49="Mining &amp; Commodities Trading",D49="Oil &amp; Gas",D49="Oilfield Services",D49="Rail Transport",D49="Shipping &amp; Logistics",D49="Steel"),3,
OR(D49="Apparel &amp; Footwear",D49="Beverage",D49="Coffeehouse &amp; Retail",D49="Conglomerate",D49="Consumer Goods",D49="Convenience Retail",D49="Electronics",D49="Electronics &amp; Semiconductors",D49="Electronics Retail",D49="Fashion Retail",D49="Food &amp; Beverage",D49="Food Retail &amp; Consumer Goods",D49="Industrial &amp; Technology",D49="Industrial Automation",D49="Industrial Technology",D49="Postal &amp; Financial Services",D49="Postal Services",D49="Scientific Instruments",D49="Technology Hardware",D49="Trading Company",D49="IT Consulting"),1,
OR(D49="Cosmetics",D49="E-commerce &amp; Cloud Computing",D49="Electronics &amp; Entertainment",D49="Entertainment &amp; Media",D49="Luxury Goods",D49="Media &amp; Telecommunications",D49="Networking Technology",D49="Real Estate Services",D49="Technology &amp; Consumer Electronics",D49="Telecommunications",D49="Telecommunications &amp; Investment"),1,
OR(D49="Asset Management",D49="Banking",D49="Banking &amp; Asset Services",D49="Banking &amp; Financial Services",D49="Banking &amp; Wealth Management",D49="Cloud Software",D49="Enterprise Software",D49="Financial Services",D49="Information Technology Consulting",D49="Investment Banking",D49="Social Media &amp; Technology",D49="Software &amp; Cloud Computing",D49="Technology &amp; Consulting",D49="Technology &amp; Internet Services",D49="Technology &amp; Software"),1,
TRUE,"Unmapped"
)</f>
        <v>3</v>
      </c>
      <c r="H49" s="5">
        <f>VLOOKUP(B49,'BIS + EDBA Final'!A:K,2,FALSE)</f>
        <v>2</v>
      </c>
      <c r="I49" s="5">
        <f>VLOOKUP(B49,'BIS + EDBA Final'!A:F,6,FALSE)</f>
        <v>0</v>
      </c>
      <c r="J49" s="5">
        <f>VLOOKUP(B49,'CBG Final'!A:B,2,FALSE)</f>
        <v>3</v>
      </c>
      <c r="K49" s="9">
        <f t="shared" si="0"/>
        <v>1.9000000000000004</v>
      </c>
      <c r="L49" s="5" t="s">
        <v>362</v>
      </c>
      <c r="M49" s="5" t="s">
        <v>245</v>
      </c>
      <c r="N49" s="5" t="s">
        <v>363</v>
      </c>
      <c r="O49" s="5" t="s">
        <v>364</v>
      </c>
      <c r="P49" s="5" t="s">
        <v>365</v>
      </c>
      <c r="Q49" s="5" t="s">
        <v>154</v>
      </c>
      <c r="R49" s="5" t="s">
        <v>20</v>
      </c>
      <c r="S49" s="10"/>
      <c r="T49" s="11"/>
      <c r="U49" s="11"/>
      <c r="V49" s="10"/>
      <c r="W49" s="10"/>
      <c r="X49" s="11"/>
      <c r="Y49" s="11"/>
      <c r="Z49" s="10"/>
      <c r="AA49" s="10"/>
      <c r="AB49" s="10"/>
      <c r="AC49" s="10"/>
      <c r="AD49" s="10"/>
      <c r="AE49" s="10"/>
      <c r="AF49" s="10"/>
      <c r="AG49" s="10"/>
      <c r="AH49" s="10"/>
    </row>
    <row r="50" spans="1:34" ht="15.75" customHeight="1">
      <c r="A50" s="5"/>
      <c r="B50" s="5" t="s">
        <v>267</v>
      </c>
      <c r="C50" s="6" t="s">
        <v>36</v>
      </c>
      <c r="D50" s="7" t="s">
        <v>268</v>
      </c>
      <c r="E50" s="8">
        <v>182000</v>
      </c>
      <c r="F50" s="6" cm="1">
        <f t="array" ref="F50">_xlfn.IFS(
E50&lt;=$E$245,0,
E50&lt;=$E$246,1,
E50&lt;=$E$247,2,
E50&gt;=$E$247,3)</f>
        <v>2</v>
      </c>
      <c r="G50" s="7" cm="1">
        <f t="array" ref="G50">_xlfn.IFS(
OR(D50="Aerospace",D50="Aerospace &amp; Defense",D50="Agricultural Equipment",D50="Airlines",D50="Automotive",D50="Automotive &amp; Energy",D50="Automotive Components",D50="Aviation",D50="Building Materials",D50="Chemicals",D50="Commercial Vehicles",D50="Conglomerate &amp; Defense",D50="Conglomerate &amp; Energy",D50="Construction",D50="Construction &amp; Infrastructure",D50="Construction &amp; Real Estate",D50="Construction &amp; Telecom",D50="Discount Retail",D50="Energy Management",D50="Energy Technology",D50="Engines &amp; Power Systems",D50="Environmental Services",D50="Food Distribution",D50="Food Services",D50="Grocery Retail",D50="Healthcare &amp; Pharmacy",D50="Home Improvement Retail",D50="Industrial Engineering &amp; Electronics",D50="Oilfield Services",D50="Pharmaceuticals",D50="Pharmaceuticals &amp; Chemicals",D50="Pharmaceuticals &amp; Healthcare",D50="Pharmacy Retail",D50="Postal &amp; Logistics",D50="Retail",D50="Retail &amp; Distribution",D50="Retail &amp; Grocery",D50="Retail (IKEA)",D50="Tobacco",D50="Trading &amp; Conglomerate",D50="Utilities",D50="Utilities &amp; Energy",D50="Wholesale Retail"),2,
OR(D50="Agribusiness",D50="Automotive &amp; Heavy Vehicles",D50="Chemicals",D50="Commercial Vehicles",D50="Construction",D50="Construction &amp; Infrastructure",D50="Engines &amp; Power Systems",D50="Food Processing",D50="Healthcare",D50="Healthcare &amp; Medical Devices",D50="Heavy Equipment",D50="Heavy Industry",D50="Industrial Gases",D50="Industrial Manufacturing",D50="Logistics",D50="Medical Devices",D50="Mining",D50="Mining &amp; Commodities Trading",D50="Oil &amp; Gas",D50="Oilfield Services",D50="Rail Transport",D50="Shipping &amp; Logistics",D50="Steel"),3,
OR(D50="Apparel &amp; Footwear",D50="Beverage",D50="Coffeehouse &amp; Retail",D50="Conglomerate",D50="Consumer Goods",D50="Convenience Retail",D50="Electronics",D50="Electronics &amp; Semiconductors",D50="Electronics Retail",D50="Fashion Retail",D50="Food &amp; Beverage",D50="Food Retail &amp; Consumer Goods",D50="Industrial &amp; Technology",D50="Industrial Automation",D50="Industrial Technology",D50="Postal &amp; Financial Services",D50="Postal Services",D50="Scientific Instruments",D50="Technology Hardware",D50="Trading Company",D50="IT Consulting"),1,
OR(D50="Cosmetics",D50="E-commerce &amp; Cloud Computing",D50="Electronics &amp; Entertainment",D50="Entertainment &amp; Media",D50="Luxury Goods",D50="Media &amp; Telecommunications",D50="Networking Technology",D50="Real Estate Services",D50="Technology &amp; Consumer Electronics",D50="Telecommunications",D50="Telecommunications &amp; Investment"),1,
OR(D50="Asset Management",D50="Banking",D50="Banking &amp; Asset Services",D50="Banking &amp; Financial Services",D50="Banking &amp; Wealth Management",D50="Cloud Software",D50="Enterprise Software",D50="Financial Services",D50="Information Technology Consulting",D50="Investment Banking",D50="Social Media &amp; Technology",D50="Software &amp; Cloud Computing",D50="Technology &amp; Consulting",D50="Technology &amp; Internet Services",D50="Technology &amp; Software"),1,
TRUE,"Unmapped"
)</f>
        <v>1</v>
      </c>
      <c r="H50" s="5">
        <v>2</v>
      </c>
      <c r="I50" s="5">
        <f>VLOOKUP(B50,'BIS + EDBA Final'!A:F,6,FALSE)</f>
        <v>1</v>
      </c>
      <c r="J50" s="5">
        <f>VLOOKUP(B50,'CBG Final'!A:B,2,FALSE)</f>
        <v>3</v>
      </c>
      <c r="K50" s="9">
        <f t="shared" si="0"/>
        <v>1.9000000000000004</v>
      </c>
      <c r="L50" s="5" t="s">
        <v>730</v>
      </c>
      <c r="M50" s="5" t="s">
        <v>222</v>
      </c>
      <c r="N50" s="5" t="s">
        <v>731</v>
      </c>
      <c r="O50" s="5" t="s">
        <v>684</v>
      </c>
      <c r="P50" s="5" t="s">
        <v>732</v>
      </c>
      <c r="Q50" s="5" t="s">
        <v>50</v>
      </c>
      <c r="R50" s="5" t="s">
        <v>108</v>
      </c>
      <c r="S50" s="10"/>
      <c r="T50" s="11"/>
      <c r="U50" s="11"/>
      <c r="V50" s="10"/>
      <c r="W50" s="10"/>
      <c r="X50" s="11"/>
      <c r="Y50" s="11"/>
      <c r="Z50" s="10"/>
      <c r="AA50" s="10"/>
      <c r="AB50" s="10"/>
      <c r="AC50" s="10"/>
      <c r="AD50" s="10"/>
      <c r="AE50" s="10"/>
      <c r="AF50" s="10"/>
      <c r="AG50" s="10"/>
      <c r="AH50" s="10"/>
    </row>
    <row r="51" spans="1:34" ht="15.75" customHeight="1">
      <c r="A51" s="5"/>
      <c r="B51" s="5" t="s">
        <v>447</v>
      </c>
      <c r="C51" s="6" t="s">
        <v>39</v>
      </c>
      <c r="D51" s="7" t="s">
        <v>157</v>
      </c>
      <c r="E51" s="8">
        <v>114139</v>
      </c>
      <c r="F51" s="6" cm="1">
        <f t="array" ref="F51">_xlfn.IFS(
E51&lt;=$E$245,0,
E51&lt;=$E$246,1,
E51&lt;=$E$247,2,
E51&gt;=$E$247,3)</f>
        <v>2</v>
      </c>
      <c r="G51" s="7" cm="1">
        <f t="array" ref="G51">_xlfn.IFS(
OR(D51="Aerospace",D51="Aerospace &amp; Defense",D51="Agricultural Equipment",D51="Airlines",D51="Automotive",D51="Automotive &amp; Energy",D51="Automotive Components",D51="Aviation",D51="Building Materials",D51="Chemicals",D51="Commercial Vehicles",D51="Conglomerate &amp; Defense",D51="Conglomerate &amp; Energy",D51="Construction",D51="Construction &amp; Infrastructure",D51="Construction &amp; Real Estate",D51="Construction &amp; Telecom",D51="Discount Retail",D51="Energy Management",D51="Energy Technology",D51="Engines &amp; Power Systems",D51="Environmental Services",D51="Food Distribution",D51="Food Services",D51="Grocery Retail",D51="Healthcare &amp; Pharmacy",D51="Home Improvement Retail",D51="Industrial Engineering &amp; Electronics",D51="Oilfield Services",D51="Pharmaceuticals",D51="Pharmaceuticals &amp; Chemicals",D51="Pharmaceuticals &amp; Healthcare",D51="Pharmacy Retail",D51="Postal &amp; Logistics",D51="Retail",D51="Retail &amp; Distribution",D51="Retail &amp; Grocery",D51="Retail (IKEA)",D51="Tobacco",D51="Trading &amp; Conglomerate",D51="Utilities",D51="Utilities &amp; Energy",D51="Wholesale Retail"),2,
OR(D51="Agribusiness",D51="Automotive &amp; Heavy Vehicles",D51="Chemicals",D51="Commercial Vehicles",D51="Construction",D51="Construction &amp; Infrastructure",D51="Engines &amp; Power Systems",D51="Food Processing",D51="Healthcare",D51="Healthcare &amp; Medical Devices",D51="Heavy Equipment",D51="Heavy Industry",D51="Industrial Gases",D51="Industrial Manufacturing",D51="Logistics",D51="Medical Devices",D51="Mining",D51="Mining &amp; Commodities Trading",D51="Oil &amp; Gas",D51="Oilfield Services",D51="Rail Transport",D51="Shipping &amp; Logistics",D51="Steel"),3,
OR(D51="Apparel &amp; Footwear",D51="Beverage",D51="Coffeehouse &amp; Retail",D51="Conglomerate",D51="Consumer Goods",D51="Convenience Retail",D51="Electronics",D51="Electronics &amp; Semiconductors",D51="Electronics Retail",D51="Fashion Retail",D51="Food &amp; Beverage",D51="Food Retail &amp; Consumer Goods",D51="Industrial &amp; Technology",D51="Industrial Automation",D51="Industrial Technology",D51="Postal &amp; Financial Services",D51="Postal Services",D51="Scientific Instruments",D51="Technology Hardware",D51="Trading Company",D51="IT Consulting"),1,
OR(D51="Cosmetics",D51="E-commerce &amp; Cloud Computing",D51="Electronics &amp; Entertainment",D51="Entertainment &amp; Media",D51="Luxury Goods",D51="Media &amp; Telecommunications",D51="Networking Technology",D51="Real Estate Services",D51="Technology &amp; Consumer Electronics",D51="Telecommunications",D51="Telecommunications &amp; Investment"),1,
OR(D51="Asset Management",D51="Banking",D51="Banking &amp; Asset Services",D51="Banking &amp; Financial Services",D51="Banking &amp; Wealth Management",D51="Cloud Software",D51="Enterprise Software",D51="Financial Services",D51="Information Technology Consulting",D51="Investment Banking",D51="Social Media &amp; Technology",D51="Software &amp; Cloud Computing",D51="Technology &amp; Consulting",D51="Technology &amp; Internet Services",D51="Technology &amp; Software"),1,
TRUE,"Unmapped"
)</f>
        <v>1</v>
      </c>
      <c r="H51" s="5">
        <v>2</v>
      </c>
      <c r="I51" s="5">
        <f>VLOOKUP(B51,'BIS + EDBA Final'!A:F,6,FALSE)</f>
        <v>1</v>
      </c>
      <c r="J51" s="5">
        <f>VLOOKUP(B51,'CBG Final'!A:B,2,FALSE)</f>
        <v>3</v>
      </c>
      <c r="K51" s="9">
        <f t="shared" si="0"/>
        <v>1.9000000000000004</v>
      </c>
      <c r="L51" s="5" t="s">
        <v>1317</v>
      </c>
      <c r="M51" s="5" t="s">
        <v>1318</v>
      </c>
      <c r="N51" s="5" t="s">
        <v>1319</v>
      </c>
      <c r="O51" s="5" t="s">
        <v>1320</v>
      </c>
      <c r="P51" s="5" t="s">
        <v>1321</v>
      </c>
      <c r="Q51" s="5" t="s">
        <v>431</v>
      </c>
      <c r="R51" s="5" t="s">
        <v>58</v>
      </c>
      <c r="S51" s="10"/>
      <c r="T51" s="11"/>
      <c r="U51" s="11"/>
      <c r="V51" s="10"/>
      <c r="W51" s="10"/>
      <c r="X51" s="11"/>
      <c r="Y51" s="11"/>
      <c r="Z51" s="10"/>
      <c r="AA51" s="10"/>
      <c r="AB51" s="10"/>
      <c r="AC51" s="10"/>
      <c r="AD51" s="10"/>
      <c r="AE51" s="10"/>
      <c r="AF51" s="10"/>
      <c r="AG51" s="10"/>
      <c r="AH51" s="10"/>
    </row>
    <row r="52" spans="1:34" ht="15.75" customHeight="1">
      <c r="A52" s="5"/>
      <c r="B52" s="5" t="s">
        <v>137</v>
      </c>
      <c r="C52" s="6" t="s">
        <v>39</v>
      </c>
      <c r="D52" s="7" t="s">
        <v>84</v>
      </c>
      <c r="E52" s="8">
        <v>102887</v>
      </c>
      <c r="F52" s="6" cm="1">
        <f t="array" ref="F52">_xlfn.IFS(
E52&lt;=$E$245,0,
E52&lt;=$E$246,1,
E52&lt;=$E$247,2,
E52&gt;=$E$247,3)</f>
        <v>1</v>
      </c>
      <c r="G52" s="7" cm="1">
        <f t="array" ref="G52">_xlfn.IFS(
OR(D52="Aerospace",D52="Aerospace &amp; Defense",D52="Agricultural Equipment",D52="Airlines",D52="Automotive",D52="Automotive &amp; Energy",D52="Automotive Components",D52="Aviation",D52="Building Materials",D52="Chemicals",D52="Commercial Vehicles",D52="Conglomerate &amp; Defense",D52="Conglomerate &amp; Energy",D52="Construction",D52="Construction &amp; Infrastructure",D52="Construction &amp; Real Estate",D52="Construction &amp; Telecom",D52="Discount Retail",D52="Energy Management",D52="Energy Technology",D52="Engines &amp; Power Systems",D52="Environmental Services",D52="Food Distribution",D52="Food Services",D52="Grocery Retail",D52="Healthcare &amp; Pharmacy",D52="Home Improvement Retail",D52="Industrial Engineering &amp; Electronics",D52="Oilfield Services",D52="Pharmaceuticals",D52="Pharmaceuticals &amp; Chemicals",D52="Pharmaceuticals &amp; Healthcare",D52="Pharmacy Retail",D52="Postal &amp; Logistics",D52="Retail",D52="Retail &amp; Distribution",D52="Retail &amp; Grocery",D52="Retail (IKEA)",D52="Tobacco",D52="Trading &amp; Conglomerate",D52="Utilities",D52="Utilities &amp; Energy",D52="Wholesale Retail"),2,
OR(D52="Agribusiness",D52="Automotive &amp; Heavy Vehicles",D52="Chemicals",D52="Commercial Vehicles",D52="Construction",D52="Construction &amp; Infrastructure",D52="Engines &amp; Power Systems",D52="Food Processing",D52="Healthcare",D52="Healthcare &amp; Medical Devices",D52="Heavy Equipment",D52="Heavy Industry",D52="Industrial Gases",D52="Industrial Manufacturing",D52="Logistics",D52="Medical Devices",D52="Mining",D52="Mining &amp; Commodities Trading",D52="Oil &amp; Gas",D52="Oilfield Services",D52="Rail Transport",D52="Shipping &amp; Logistics",D52="Steel"),3,
OR(D52="Apparel &amp; Footwear",D52="Beverage",D52="Coffeehouse &amp; Retail",D52="Conglomerate",D52="Consumer Goods",D52="Convenience Retail",D52="Electronics",D52="Electronics &amp; Semiconductors",D52="Electronics Retail",D52="Fashion Retail",D52="Food &amp; Beverage",D52="Food Retail &amp; Consumer Goods",D52="Industrial &amp; Technology",D52="Industrial Automation",D52="Industrial Technology",D52="Postal &amp; Financial Services",D52="Postal Services",D52="Scientific Instruments",D52="Technology Hardware",D52="Trading Company",D52="IT Consulting"),1,
OR(D52="Cosmetics",D52="E-commerce &amp; Cloud Computing",D52="Electronics &amp; Entertainment",D52="Entertainment &amp; Media",D52="Luxury Goods",D52="Media &amp; Telecommunications",D52="Networking Technology",D52="Real Estate Services",D52="Technology &amp; Consumer Electronics",D52="Telecommunications",D52="Telecommunications &amp; Investment"),1,
OR(D52="Asset Management",D52="Banking",D52="Banking &amp; Asset Services",D52="Banking &amp; Financial Services",D52="Banking &amp; Wealth Management",D52="Cloud Software",D52="Enterprise Software",D52="Financial Services",D52="Information Technology Consulting",D52="Investment Banking",D52="Social Media &amp; Technology",D52="Software &amp; Cloud Computing",D52="Technology &amp; Consulting",D52="Technology &amp; Internet Services",D52="Technology &amp; Software"),1,
TRUE,"Unmapped"
)</f>
        <v>3</v>
      </c>
      <c r="H52" s="5">
        <f>VLOOKUP(B52,'BIS + EDBA Final'!A:K,2,FALSE)</f>
        <v>2</v>
      </c>
      <c r="I52" s="5">
        <f>VLOOKUP(B52,'BIS + EDBA Final'!A:F,6,FALSE)</f>
        <v>0</v>
      </c>
      <c r="J52" s="5">
        <f>VLOOKUP(B52,'CBG Final'!A:B,2,FALSE)</f>
        <v>3</v>
      </c>
      <c r="K52" s="9">
        <f t="shared" si="0"/>
        <v>1.9000000000000004</v>
      </c>
      <c r="L52" s="5" t="s">
        <v>138</v>
      </c>
      <c r="M52" s="5" t="s">
        <v>139</v>
      </c>
      <c r="N52" s="5" t="s">
        <v>140</v>
      </c>
      <c r="O52" s="5" t="s">
        <v>141</v>
      </c>
      <c r="P52" s="5" t="s">
        <v>142</v>
      </c>
      <c r="Q52" s="5" t="s">
        <v>143</v>
      </c>
      <c r="R52" s="5" t="s">
        <v>20</v>
      </c>
      <c r="S52" s="10"/>
      <c r="T52" s="11"/>
      <c r="U52" s="11"/>
      <c r="V52" s="10"/>
      <c r="W52" s="10"/>
      <c r="X52" s="11"/>
      <c r="Y52" s="11"/>
      <c r="Z52" s="10"/>
      <c r="AA52" s="10"/>
      <c r="AB52" s="10"/>
      <c r="AC52" s="10"/>
      <c r="AD52" s="10"/>
      <c r="AE52" s="10"/>
      <c r="AF52" s="10"/>
      <c r="AG52" s="10"/>
      <c r="AH52" s="10"/>
    </row>
    <row r="53" spans="1:34" ht="15.75" customHeight="1">
      <c r="A53" s="5"/>
      <c r="B53" s="5" t="s">
        <v>540</v>
      </c>
      <c r="C53" s="6" t="s">
        <v>541</v>
      </c>
      <c r="D53" s="7" t="s">
        <v>251</v>
      </c>
      <c r="E53" s="8">
        <v>143885</v>
      </c>
      <c r="F53" s="6" cm="1">
        <f t="array" ref="F53">_xlfn.IFS(
E53&lt;=$E$245,0,
E53&lt;=$E$246,1,
E53&lt;=$E$247,2,
E53&gt;=$E$247,3)</f>
        <v>2</v>
      </c>
      <c r="G53" s="7" cm="1">
        <f t="array" ref="G53">_xlfn.IFS(
OR(D53="Aerospace",D53="Aerospace &amp; Defense",D53="Agricultural Equipment",D53="Airlines",D53="Automotive",D53="Automotive &amp; Energy",D53="Automotive Components",D53="Aviation",D53="Building Materials",D53="Chemicals",D53="Commercial Vehicles",D53="Conglomerate &amp; Defense",D53="Conglomerate &amp; Energy",D53="Construction",D53="Construction &amp; Infrastructure",D53="Construction &amp; Real Estate",D53="Construction &amp; Telecom",D53="Discount Retail",D53="Energy Management",D53="Energy Technology",D53="Engines &amp; Power Systems",D53="Environmental Services",D53="Food Distribution",D53="Food Services",D53="Grocery Retail",D53="Healthcare &amp; Pharmacy",D53="Home Improvement Retail",D53="Industrial Engineering &amp; Electronics",D53="Oilfield Services",D53="Pharmaceuticals",D53="Pharmaceuticals &amp; Chemicals",D53="Pharmaceuticals &amp; Healthcare",D53="Pharmacy Retail",D53="Postal &amp; Logistics",D53="Retail",D53="Retail &amp; Distribution",D53="Retail &amp; Grocery",D53="Retail (IKEA)",D53="Tobacco",D53="Trading &amp; Conglomerate",D53="Utilities",D53="Utilities &amp; Energy",D53="Wholesale Retail"),2,
OR(D53="Agribusiness",D53="Automotive &amp; Heavy Vehicles",D53="Chemicals",D53="Commercial Vehicles",D53="Construction",D53="Construction &amp; Infrastructure",D53="Engines &amp; Power Systems",D53="Food Processing",D53="Healthcare",D53="Healthcare &amp; Medical Devices",D53="Heavy Equipment",D53="Heavy Industry",D53="Industrial Gases",D53="Industrial Manufacturing",D53="Logistics",D53="Medical Devices",D53="Mining",D53="Mining &amp; Commodities Trading",D53="Oil &amp; Gas",D53="Oilfield Services",D53="Rail Transport",D53="Shipping &amp; Logistics",D53="Steel"),3,
OR(D53="Apparel &amp; Footwear",D53="Beverage",D53="Coffeehouse &amp; Retail",D53="Conglomerate",D53="Consumer Goods",D53="Convenience Retail",D53="Electronics",D53="Electronics &amp; Semiconductors",D53="Electronics Retail",D53="Fashion Retail",D53="Food &amp; Beverage",D53="Food Retail &amp; Consumer Goods",D53="Industrial &amp; Technology",D53="Industrial Automation",D53="Industrial Technology",D53="Postal &amp; Financial Services",D53="Postal Services",D53="Scientific Instruments",D53="Technology Hardware",D53="Trading Company",D53="IT Consulting"),1,
OR(D53="Cosmetics",D53="E-commerce &amp; Cloud Computing",D53="Electronics &amp; Entertainment",D53="Entertainment &amp; Media",D53="Luxury Goods",D53="Media &amp; Telecommunications",D53="Networking Technology",D53="Real Estate Services",D53="Technology &amp; Consumer Electronics",D53="Telecommunications",D53="Telecommunications &amp; Investment"),1,
OR(D53="Asset Management",D53="Banking",D53="Banking &amp; Asset Services",D53="Banking &amp; Financial Services",D53="Banking &amp; Wealth Management",D53="Cloud Software",D53="Enterprise Software",D53="Financial Services",D53="Information Technology Consulting",D53="Investment Banking",D53="Social Media &amp; Technology",D53="Software &amp; Cloud Computing",D53="Technology &amp; Consulting",D53="Technology &amp; Internet Services",D53="Technology &amp; Software"),1,
TRUE,"Unmapped"
)</f>
        <v>1</v>
      </c>
      <c r="H53" s="5">
        <v>2</v>
      </c>
      <c r="I53" s="5">
        <f>VLOOKUP(B53,'BIS + EDBA Final'!A:F,6,FALSE)</f>
        <v>1</v>
      </c>
      <c r="J53" s="5">
        <f>VLOOKUP(B53,'CBG Final'!A:B,2,FALSE)</f>
        <v>3</v>
      </c>
      <c r="K53" s="9">
        <f t="shared" si="0"/>
        <v>1.9000000000000004</v>
      </c>
      <c r="L53" s="5" t="s">
        <v>542</v>
      </c>
      <c r="M53" s="5" t="s">
        <v>543</v>
      </c>
      <c r="N53" s="5" t="s">
        <v>544</v>
      </c>
      <c r="O53" s="5" t="s">
        <v>545</v>
      </c>
      <c r="P53" s="5" t="s">
        <v>546</v>
      </c>
      <c r="Q53" s="5" t="s">
        <v>19</v>
      </c>
      <c r="R53" s="5" t="s">
        <v>422</v>
      </c>
      <c r="S53" s="10"/>
      <c r="T53" s="11"/>
      <c r="U53" s="11"/>
      <c r="V53" s="10"/>
      <c r="W53" s="10"/>
      <c r="X53" s="11"/>
      <c r="Y53" s="11"/>
      <c r="Z53" s="10"/>
      <c r="AA53" s="10"/>
      <c r="AB53" s="10"/>
      <c r="AC53" s="10"/>
      <c r="AD53" s="10"/>
      <c r="AE53" s="10"/>
      <c r="AF53" s="10"/>
      <c r="AG53" s="10"/>
      <c r="AH53" s="10"/>
    </row>
    <row r="54" spans="1:34" ht="15.75" customHeight="1">
      <c r="A54" s="5"/>
      <c r="B54" s="5" t="s">
        <v>1431</v>
      </c>
      <c r="C54" s="6" t="s">
        <v>1432</v>
      </c>
      <c r="D54" s="7" t="s">
        <v>1433</v>
      </c>
      <c r="E54" s="8">
        <v>92690</v>
      </c>
      <c r="F54" s="6" cm="1">
        <f t="array" ref="F54">_xlfn.IFS(
E54&lt;=$E$245,0,
E54&lt;=$E$246,1,
E54&lt;=$E$247,2,
E54&gt;=$E$247,3)</f>
        <v>1</v>
      </c>
      <c r="G54" s="7" cm="1">
        <f t="array" ref="G54">_xlfn.IFS(
OR(D54="Aerospace",D54="Aerospace &amp; Defense",D54="Agricultural Equipment",D54="Airlines",D54="Automotive",D54="Automotive &amp; Energy",D54="Automotive Components",D54="Aviation",D54="Building Materials",D54="Chemicals",D54="Commercial Vehicles",D54="Conglomerate &amp; Defense",D54="Conglomerate &amp; Energy",D54="Construction",D54="Construction &amp; Infrastructure",D54="Construction &amp; Real Estate",D54="Construction &amp; Telecom",D54="Discount Retail",D54="Energy Management",D54="Energy Technology",D54="Engines &amp; Power Systems",D54="Environmental Services",D54="Food Distribution",D54="Food Services",D54="Grocery Retail",D54="Healthcare &amp; Pharmacy",D54="Home Improvement Retail",D54="Industrial Engineering &amp; Electronics",D54="Oilfield Services",D54="Pharmaceuticals",D54="Pharmaceuticals &amp; Chemicals",D54="Pharmaceuticals &amp; Healthcare",D54="Pharmacy Retail",D54="Postal &amp; Logistics",D54="Retail",D54="Retail &amp; Distribution",D54="Retail &amp; Grocery",D54="Retail (IKEA)",D54="Tobacco",D54="Trading &amp; Conglomerate",D54="Utilities",D54="Utilities &amp; Energy",D54="Wholesale Retail"),2,
OR(D54="Agribusiness",D54="Automotive &amp; Heavy Vehicles",D54="Chemicals",D54="Commercial Vehicles",D54="Construction",D54="Construction &amp; Infrastructure",D54="Engines &amp; Power Systems",D54="Food Processing",D54="Healthcare",D54="Healthcare &amp; Medical Devices",D54="Heavy Equipment",D54="Heavy Industry",D54="Industrial Gases",D54="Industrial Manufacturing",D54="Logistics",D54="Medical Devices",D54="Mining",D54="Mining &amp; Commodities Trading",D54="Oil &amp; Gas",D54="Oilfield Services",D54="Rail Transport",D54="Shipping &amp; Logistics",D54="Steel"),3,
OR(D54="Apparel &amp; Footwear",D54="Beverage",D54="Coffeehouse &amp; Retail",D54="Conglomerate",D54="Consumer Goods",D54="Convenience Retail",D54="Electronics",D54="Electronics &amp; Semiconductors",D54="Electronics Retail",D54="Fashion Retail",D54="Food &amp; Beverage",D54="Food Retail &amp; Consumer Goods",D54="Industrial &amp; Technology",D54="Industrial Automation",D54="Industrial Technology",D54="Postal &amp; Financial Services",D54="Postal Services",D54="Scientific Instruments",D54="Technology Hardware",D54="Trading Company",D54="IT Consulting"),1,
OR(D54="Cosmetics",D54="E-commerce &amp; Cloud Computing",D54="Electronics &amp; Entertainment",D54="Entertainment &amp; Media",D54="Luxury Goods",D54="Media &amp; Telecommunications",D54="Networking Technology",D54="Real Estate Services",D54="Technology &amp; Consumer Electronics",D54="Telecommunications",D54="Telecommunications &amp; Investment"),1,
OR(D54="Asset Management",D54="Banking",D54="Banking &amp; Asset Services",D54="Banking &amp; Financial Services",D54="Banking &amp; Wealth Management",D54="Cloud Software",D54="Enterprise Software",D54="Financial Services",D54="Information Technology Consulting",D54="Investment Banking",D54="Social Media &amp; Technology",D54="Software &amp; Cloud Computing",D54="Technology &amp; Consulting",D54="Technology &amp; Internet Services",D54="Technology &amp; Software"),1,
TRUE,"Unmapped"
)</f>
        <v>3</v>
      </c>
      <c r="H54" s="5">
        <v>2</v>
      </c>
      <c r="I54" s="5">
        <f>VLOOKUP(B54,'BIS + EDBA Final'!A:F,6,FALSE)</f>
        <v>0</v>
      </c>
      <c r="J54" s="5">
        <f>VLOOKUP(B54,'CBG Final'!A:B,2,FALSE)</f>
        <v>3</v>
      </c>
      <c r="K54" s="9">
        <f t="shared" si="0"/>
        <v>1.9000000000000004</v>
      </c>
      <c r="L54" s="5" t="s">
        <v>1434</v>
      </c>
      <c r="M54" s="5" t="s">
        <v>586</v>
      </c>
      <c r="N54" s="5" t="s">
        <v>1435</v>
      </c>
      <c r="O54" s="5" t="s">
        <v>352</v>
      </c>
      <c r="P54" s="5" t="s">
        <v>1436</v>
      </c>
      <c r="Q54" s="5" t="s">
        <v>1437</v>
      </c>
      <c r="R54" s="5" t="s">
        <v>20</v>
      </c>
      <c r="S54" s="10"/>
      <c r="T54" s="11"/>
      <c r="U54" s="11"/>
      <c r="V54" s="10"/>
      <c r="W54" s="10"/>
      <c r="X54" s="10"/>
      <c r="Y54" s="10"/>
      <c r="Z54" s="10"/>
      <c r="AA54" s="10"/>
      <c r="AB54" s="10"/>
      <c r="AC54" s="10"/>
      <c r="AD54" s="10"/>
      <c r="AE54" s="10"/>
      <c r="AF54" s="10"/>
      <c r="AG54" s="10"/>
      <c r="AH54" s="10"/>
    </row>
    <row r="55" spans="1:34" ht="15.75" customHeight="1">
      <c r="A55" s="5"/>
      <c r="B55" s="5" t="s">
        <v>531</v>
      </c>
      <c r="C55" s="6" t="s">
        <v>36</v>
      </c>
      <c r="D55" s="7" t="s">
        <v>173</v>
      </c>
      <c r="E55" s="8">
        <v>133300</v>
      </c>
      <c r="F55" s="6" cm="1">
        <f t="array" ref="F55">_xlfn.IFS(
E55&lt;=$E$245,0,
E55&lt;=$E$246,1,
E55&lt;=$E$247,2,
E55&gt;=$E$247,3)</f>
        <v>2</v>
      </c>
      <c r="G55" s="7" cm="1">
        <f t="array" ref="G55">_xlfn.IFS(
OR(D55="Aerospace",D55="Aerospace &amp; Defense",D55="Agricultural Equipment",D55="Airlines",D55="Automotive",D55="Automotive &amp; Energy",D55="Automotive Components",D55="Aviation",D55="Building Materials",D55="Chemicals",D55="Commercial Vehicles",D55="Conglomerate &amp; Defense",D55="Conglomerate &amp; Energy",D55="Construction",D55="Construction &amp; Infrastructure",D55="Construction &amp; Real Estate",D55="Construction &amp; Telecom",D55="Discount Retail",D55="Energy Management",D55="Energy Technology",D55="Engines &amp; Power Systems",D55="Environmental Services",D55="Food Distribution",D55="Food Services",D55="Grocery Retail",D55="Healthcare &amp; Pharmacy",D55="Home Improvement Retail",D55="Industrial Engineering &amp; Electronics",D55="Oilfield Services",D55="Pharmaceuticals",D55="Pharmaceuticals &amp; Chemicals",D55="Pharmaceuticals &amp; Healthcare",D55="Pharmacy Retail",D55="Postal &amp; Logistics",D55="Retail",D55="Retail &amp; Distribution",D55="Retail &amp; Grocery",D55="Retail (IKEA)",D55="Tobacco",D55="Trading &amp; Conglomerate",D55="Utilities",D55="Utilities &amp; Energy",D55="Wholesale Retail"),2,
OR(D55="Agribusiness",D55="Automotive &amp; Heavy Vehicles",D55="Chemicals",D55="Commercial Vehicles",D55="Construction",D55="Construction &amp; Infrastructure",D55="Engines &amp; Power Systems",D55="Food Processing",D55="Healthcare",D55="Healthcare &amp; Medical Devices",D55="Heavy Equipment",D55="Heavy Industry",D55="Industrial Gases",D55="Industrial Manufacturing",D55="Logistics",D55="Medical Devices",D55="Mining",D55="Mining &amp; Commodities Trading",D55="Oil &amp; Gas",D55="Oilfield Services",D55="Rail Transport",D55="Shipping &amp; Logistics",D55="Steel"),3,
OR(D55="Apparel &amp; Footwear",D55="Beverage",D55="Coffeehouse &amp; Retail",D55="Conglomerate",D55="Consumer Goods",D55="Convenience Retail",D55="Electronics",D55="Electronics &amp; Semiconductors",D55="Electronics Retail",D55="Fashion Retail",D55="Food &amp; Beverage",D55="Food Retail &amp; Consumer Goods",D55="Industrial &amp; Technology",D55="Industrial Automation",D55="Industrial Technology",D55="Postal &amp; Financial Services",D55="Postal Services",D55="Scientific Instruments",D55="Technology Hardware",D55="Trading Company",D55="IT Consulting"),1,
OR(D55="Cosmetics",D55="E-commerce &amp; Cloud Computing",D55="Electronics &amp; Entertainment",D55="Entertainment &amp; Media",D55="Luxury Goods",D55="Media &amp; Telecommunications",D55="Networking Technology",D55="Real Estate Services",D55="Technology &amp; Consumer Electronics",D55="Telecommunications",D55="Telecommunications &amp; Investment"),1,
OR(D55="Asset Management",D55="Banking",D55="Banking &amp; Asset Services",D55="Banking &amp; Financial Services",D55="Banking &amp; Wealth Management",D55="Cloud Software",D55="Enterprise Software",D55="Financial Services",D55="Information Technology Consulting",D55="Investment Banking",D55="Social Media &amp; Technology",D55="Software &amp; Cloud Computing",D55="Technology &amp; Consulting",D55="Technology &amp; Internet Services",D55="Technology &amp; Software"),1,
TRUE,"Unmapped"
)</f>
        <v>2</v>
      </c>
      <c r="H55" s="5">
        <v>1</v>
      </c>
      <c r="I55" s="5">
        <f>VLOOKUP(B55,'BIS + EDBA Final'!A:F,6,FALSE)</f>
        <v>1</v>
      </c>
      <c r="J55" s="5">
        <f>VLOOKUP(B55,'CBG Final'!A:B,2,FALSE)</f>
        <v>3</v>
      </c>
      <c r="K55" s="9">
        <f t="shared" si="0"/>
        <v>1.9000000000000001</v>
      </c>
      <c r="L55" s="5" t="s">
        <v>532</v>
      </c>
      <c r="M55" s="5" t="s">
        <v>358</v>
      </c>
      <c r="N55" s="5" t="s">
        <v>533</v>
      </c>
      <c r="O55" s="5" t="s">
        <v>273</v>
      </c>
      <c r="P55" s="5" t="s">
        <v>534</v>
      </c>
      <c r="Q55" s="5" t="s">
        <v>261</v>
      </c>
      <c r="R55" s="5" t="s">
        <v>145</v>
      </c>
      <c r="S55" s="10"/>
      <c r="T55" s="11"/>
      <c r="U55" s="11"/>
      <c r="V55" s="10"/>
      <c r="W55" s="10"/>
      <c r="X55" s="10"/>
      <c r="Y55" s="10"/>
      <c r="Z55" s="10"/>
      <c r="AA55" s="10"/>
      <c r="AB55" s="10"/>
      <c r="AC55" s="10"/>
      <c r="AD55" s="10"/>
      <c r="AE55" s="10"/>
      <c r="AF55" s="10"/>
      <c r="AG55" s="10"/>
      <c r="AH55" s="10"/>
    </row>
    <row r="56" spans="1:34" ht="15.75" customHeight="1">
      <c r="A56" s="5"/>
      <c r="B56" s="5" t="s">
        <v>345</v>
      </c>
      <c r="C56" s="6" t="s">
        <v>36</v>
      </c>
      <c r="D56" s="7" t="s">
        <v>346</v>
      </c>
      <c r="E56" s="8">
        <v>125665</v>
      </c>
      <c r="F56" s="6" cm="1">
        <f t="array" ref="F56">_xlfn.IFS(
E56&lt;=$E$245,0,
E56&lt;=$E$246,1,
E56&lt;=$E$247,2,
E56&gt;=$E$247,3)</f>
        <v>2</v>
      </c>
      <c r="G56" s="7" cm="1">
        <f t="array" ref="G56">_xlfn.IFS(
OR(D56="Aerospace",D56="Aerospace &amp; Defense",D56="Agricultural Equipment",D56="Airlines",D56="Automotive",D56="Automotive &amp; Energy",D56="Automotive Components",D56="Aviation",D56="Building Materials",D56="Chemicals",D56="Commercial Vehicles",D56="Conglomerate &amp; Defense",D56="Conglomerate &amp; Energy",D56="Construction",D56="Construction &amp; Infrastructure",D56="Construction &amp; Real Estate",D56="Construction &amp; Telecom",D56="Discount Retail",D56="Energy Management",D56="Energy Technology",D56="Engines &amp; Power Systems",D56="Environmental Services",D56="Food Distribution",D56="Food Services",D56="Grocery Retail",D56="Healthcare &amp; Pharmacy",D56="Home Improvement Retail",D56="Industrial Engineering &amp; Electronics",D56="Oilfield Services",D56="Pharmaceuticals",D56="Pharmaceuticals &amp; Chemicals",D56="Pharmaceuticals &amp; Healthcare",D56="Pharmacy Retail",D56="Postal &amp; Logistics",D56="Retail",D56="Retail &amp; Distribution",D56="Retail &amp; Grocery",D56="Retail (IKEA)",D56="Tobacco",D56="Trading &amp; Conglomerate",D56="Utilities",D56="Utilities &amp; Energy",D56="Wholesale Retail"),2,
OR(D56="Agribusiness",D56="Automotive &amp; Heavy Vehicles",D56="Chemicals",D56="Commercial Vehicles",D56="Construction",D56="Construction &amp; Infrastructure",D56="Engines &amp; Power Systems",D56="Food Processing",D56="Healthcare",D56="Healthcare &amp; Medical Devices",D56="Heavy Equipment",D56="Heavy Industry",D56="Industrial Gases",D56="Industrial Manufacturing",D56="Logistics",D56="Medical Devices",D56="Mining",D56="Mining &amp; Commodities Trading",D56="Oil &amp; Gas",D56="Oilfield Services",D56="Rail Transport",D56="Shipping &amp; Logistics",D56="Steel"),3,
OR(D56="Apparel &amp; Footwear",D56="Beverage",D56="Coffeehouse &amp; Retail",D56="Conglomerate",D56="Consumer Goods",D56="Convenience Retail",D56="Electronics",D56="Electronics &amp; Semiconductors",D56="Electronics Retail",D56="Fashion Retail",D56="Food &amp; Beverage",D56="Food Retail &amp; Consumer Goods",D56="Industrial &amp; Technology",D56="Industrial Automation",D56="Industrial Technology",D56="Postal &amp; Financial Services",D56="Postal Services",D56="Scientific Instruments",D56="Technology Hardware",D56="Trading Company",D56="IT Consulting"),1,
OR(D56="Cosmetics",D56="E-commerce &amp; Cloud Computing",D56="Electronics &amp; Entertainment",D56="Entertainment &amp; Media",D56="Luxury Goods",D56="Media &amp; Telecommunications",D56="Networking Technology",D56="Real Estate Services",D56="Technology &amp; Consumer Electronics",D56="Telecommunications",D56="Telecommunications &amp; Investment"),1,
OR(D56="Asset Management",D56="Banking",D56="Banking &amp; Asset Services",D56="Banking &amp; Financial Services",D56="Banking &amp; Wealth Management",D56="Cloud Software",D56="Enterprise Software",D56="Financial Services",D56="Information Technology Consulting",D56="Investment Banking",D56="Social Media &amp; Technology",D56="Software &amp; Cloud Computing",D56="Technology &amp; Consulting",D56="Technology &amp; Internet Services",D56="Technology &amp; Software"),1,
TRUE,"Unmapped"
)</f>
        <v>2</v>
      </c>
      <c r="H56" s="5">
        <v>1</v>
      </c>
      <c r="I56" s="5">
        <f>VLOOKUP(B56,'BIS + EDBA Final'!A:F,6,FALSE)</f>
        <v>1</v>
      </c>
      <c r="J56" s="5">
        <f>VLOOKUP(B56,'CBG Final'!A:B,2,FALSE)</f>
        <v>3</v>
      </c>
      <c r="K56" s="9">
        <f t="shared" si="0"/>
        <v>1.9000000000000001</v>
      </c>
      <c r="L56" s="5" t="s">
        <v>1372</v>
      </c>
      <c r="M56" s="5" t="s">
        <v>693</v>
      </c>
      <c r="N56" s="5" t="s">
        <v>1373</v>
      </c>
      <c r="O56" s="5" t="s">
        <v>1374</v>
      </c>
      <c r="P56" s="5" t="s">
        <v>1375</v>
      </c>
      <c r="Q56" s="5" t="s">
        <v>180</v>
      </c>
      <c r="R56" s="5" t="s">
        <v>82</v>
      </c>
      <c r="S56" s="10"/>
      <c r="T56" s="11"/>
      <c r="U56" s="11"/>
      <c r="V56" s="10"/>
      <c r="W56" s="10"/>
      <c r="X56" s="11"/>
      <c r="Y56" s="11"/>
      <c r="Z56" s="10"/>
      <c r="AA56" s="10"/>
      <c r="AB56" s="10"/>
      <c r="AC56" s="10"/>
      <c r="AD56" s="10"/>
      <c r="AE56" s="10"/>
      <c r="AF56" s="10"/>
      <c r="AG56" s="10"/>
      <c r="AH56" s="10"/>
    </row>
    <row r="57" spans="1:34" ht="15.75" customHeight="1">
      <c r="A57" s="5"/>
      <c r="B57" s="5" t="s">
        <v>277</v>
      </c>
      <c r="C57" s="6" t="s">
        <v>278</v>
      </c>
      <c r="D57" s="7" t="s">
        <v>279</v>
      </c>
      <c r="E57" s="8">
        <v>281974</v>
      </c>
      <c r="F57" s="6" cm="1">
        <f t="array" ref="F57">_xlfn.IFS(
E57&lt;=$E$245,0,
E57&lt;=$E$246,1,
E57&lt;=$E$247,2,
E57&gt;=$E$247,3)</f>
        <v>3</v>
      </c>
      <c r="G57" s="7" cm="1">
        <f t="array" ref="G57">_xlfn.IFS(
OR(D57="Aerospace",D57="Aerospace &amp; Defense",D57="Agricultural Equipment",D57="Airlines",D57="Automotive",D57="Automotive &amp; Energy",D57="Automotive Components",D57="Aviation",D57="Building Materials",D57="Chemicals",D57="Commercial Vehicles",D57="Conglomerate &amp; Defense",D57="Conglomerate &amp; Energy",D57="Construction",D57="Construction &amp; Infrastructure",D57="Construction &amp; Real Estate",D57="Construction &amp; Telecom",D57="Discount Retail",D57="Energy Management",D57="Energy Technology",D57="Engines &amp; Power Systems",D57="Environmental Services",D57="Food Distribution",D57="Food Services",D57="Grocery Retail",D57="Healthcare &amp; Pharmacy",D57="Home Improvement Retail",D57="Industrial Engineering &amp; Electronics",D57="Oilfield Services",D57="Pharmaceuticals",D57="Pharmaceuticals &amp; Chemicals",D57="Pharmaceuticals &amp; Healthcare",D57="Pharmacy Retail",D57="Postal &amp; Logistics",D57="Retail",D57="Retail &amp; Distribution",D57="Retail &amp; Grocery",D57="Retail (IKEA)",D57="Tobacco",D57="Trading &amp; Conglomerate",D57="Utilities",D57="Utilities &amp; Energy",D57="Wholesale Retail"),2,
OR(D57="Agribusiness",D57="Automotive &amp; Heavy Vehicles",D57="Chemicals",D57="Commercial Vehicles",D57="Construction",D57="Construction &amp; Infrastructure",D57="Engines &amp; Power Systems",D57="Food Processing",D57="Healthcare",D57="Healthcare &amp; Medical Devices",D57="Heavy Equipment",D57="Heavy Industry",D57="Industrial Gases",D57="Industrial Manufacturing",D57="Logistics",D57="Medical Devices",D57="Mining",D57="Mining &amp; Commodities Trading",D57="Oil &amp; Gas",D57="Oilfield Services",D57="Rail Transport",D57="Shipping &amp; Logistics",D57="Steel"),3,
OR(D57="Apparel &amp; Footwear",D57="Beverage",D57="Coffeehouse &amp; Retail",D57="Conglomerate",D57="Consumer Goods",D57="Convenience Retail",D57="Electronics",D57="Electronics &amp; Semiconductors",D57="Electronics Retail",D57="Fashion Retail",D57="Food &amp; Beverage",D57="Food Retail &amp; Consumer Goods",D57="Industrial &amp; Technology",D57="Industrial Automation",D57="Industrial Technology",D57="Postal &amp; Financial Services",D57="Postal Services",D57="Scientific Instruments",D57="Technology Hardware",D57="Trading Company",D57="IT Consulting"),1,
OR(D57="Cosmetics",D57="E-commerce &amp; Cloud Computing",D57="Electronics &amp; Entertainment",D57="Entertainment &amp; Media",D57="Luxury Goods",D57="Media &amp; Telecommunications",D57="Networking Technology",D57="Real Estate Services",D57="Technology &amp; Consumer Electronics",D57="Telecommunications",D57="Telecommunications &amp; Investment"),1,
OR(D57="Asset Management",D57="Banking",D57="Banking &amp; Asset Services",D57="Banking &amp; Financial Services",D57="Banking &amp; Wealth Management",D57="Cloud Software",D57="Enterprise Software",D57="Financial Services",D57="Information Technology Consulting",D57="Investment Banking",D57="Social Media &amp; Technology",D57="Software &amp; Cloud Computing",D57="Technology &amp; Consulting",D57="Technology &amp; Internet Services",D57="Technology &amp; Software"),1,
TRUE,"Unmapped"
)</f>
        <v>3</v>
      </c>
      <c r="H57" s="5">
        <f>VLOOKUP(B57,'BIS + EDBA Final'!A:K,2,FALSE)</f>
        <v>1</v>
      </c>
      <c r="I57" s="5">
        <f>VLOOKUP(B57,'BIS + EDBA Final'!A:F,6,FALSE)</f>
        <v>0</v>
      </c>
      <c r="J57" s="5">
        <f>VLOOKUP(B57,'CBG Final'!A:B,2,FALSE)</f>
        <v>1</v>
      </c>
      <c r="K57" s="9">
        <f t="shared" si="0"/>
        <v>1.9</v>
      </c>
      <c r="L57" s="5" t="s">
        <v>280</v>
      </c>
      <c r="M57" s="5" t="s">
        <v>259</v>
      </c>
      <c r="N57" s="5" t="s">
        <v>281</v>
      </c>
      <c r="O57" s="5"/>
      <c r="P57" s="5" t="s">
        <v>282</v>
      </c>
      <c r="Q57" s="5" t="s">
        <v>46</v>
      </c>
      <c r="R57" s="5" t="s">
        <v>258</v>
      </c>
      <c r="S57" s="10"/>
      <c r="T57" s="11"/>
      <c r="U57" s="11"/>
      <c r="V57" s="10"/>
      <c r="W57" s="10"/>
      <c r="X57" s="11"/>
      <c r="Y57" s="11"/>
      <c r="Z57" s="10"/>
      <c r="AA57" s="10"/>
      <c r="AB57" s="10"/>
      <c r="AC57" s="10"/>
      <c r="AD57" s="10"/>
      <c r="AE57" s="10"/>
      <c r="AF57" s="10"/>
      <c r="AG57" s="10"/>
      <c r="AH57" s="10"/>
    </row>
    <row r="58" spans="1:34" ht="15.75" customHeight="1">
      <c r="A58" s="5"/>
      <c r="B58" s="5" t="s">
        <v>1170</v>
      </c>
      <c r="C58" s="6" t="s">
        <v>39</v>
      </c>
      <c r="D58" s="7" t="s">
        <v>828</v>
      </c>
      <c r="E58" s="8">
        <v>289500</v>
      </c>
      <c r="F58" s="6" cm="1">
        <f t="array" ref="F58">_xlfn.IFS(
E58&lt;=$E$245,0,
E58&lt;=$E$246,1,
E58&lt;=$E$247,2,
E58&gt;=$E$247,3)</f>
        <v>3</v>
      </c>
      <c r="G58" s="7" cm="1">
        <f t="array" ref="G58">_xlfn.IFS(
OR(D58="Aerospace",D58="Aerospace &amp; Defense",D58="Agricultural Equipment",D58="Airlines",D58="Automotive",D58="Automotive &amp; Energy",D58="Automotive Components",D58="Aviation",D58="Building Materials",D58="Chemicals",D58="Commercial Vehicles",D58="Conglomerate &amp; Defense",D58="Conglomerate &amp; Energy",D58="Construction",D58="Construction &amp; Infrastructure",D58="Construction &amp; Real Estate",D58="Construction &amp; Telecom",D58="Discount Retail",D58="Energy Management",D58="Energy Technology",D58="Engines &amp; Power Systems",D58="Environmental Services",D58="Food Distribution",D58="Food Services",D58="Grocery Retail",D58="Healthcare &amp; Pharmacy",D58="Home Improvement Retail",D58="Industrial Engineering &amp; Electronics",D58="Oilfield Services",D58="Pharmaceuticals",D58="Pharmaceuticals &amp; Chemicals",D58="Pharmaceuticals &amp; Healthcare",D58="Pharmacy Retail",D58="Postal &amp; Logistics",D58="Retail",D58="Retail &amp; Distribution",D58="Retail &amp; Grocery",D58="Retail (IKEA)",D58="Tobacco",D58="Trading &amp; Conglomerate",D58="Utilities",D58="Utilities &amp; Energy",D58="Wholesale Retail"),2,
OR(D58="Agribusiness",D58="Automotive &amp; Heavy Vehicles",D58="Chemicals",D58="Commercial Vehicles",D58="Construction",D58="Construction &amp; Infrastructure",D58="Engines &amp; Power Systems",D58="Food Processing",D58="Healthcare",D58="Healthcare &amp; Medical Devices",D58="Heavy Equipment",D58="Heavy Industry",D58="Industrial Gases",D58="Industrial Manufacturing",D58="Logistics",D58="Medical Devices",D58="Mining",D58="Mining &amp; Commodities Trading",D58="Oil &amp; Gas",D58="Oilfield Services",D58="Rail Transport",D58="Shipping &amp; Logistics",D58="Steel"),3,
OR(D58="Apparel &amp; Footwear",D58="Beverage",D58="Coffeehouse &amp; Retail",D58="Conglomerate",D58="Consumer Goods",D58="Convenience Retail",D58="Electronics",D58="Electronics &amp; Semiconductors",D58="Electronics Retail",D58="Fashion Retail",D58="Food &amp; Beverage",D58="Food Retail &amp; Consumer Goods",D58="Industrial &amp; Technology",D58="Industrial Automation",D58="Industrial Technology",D58="Postal &amp; Financial Services",D58="Postal Services",D58="Scientific Instruments",D58="Technology Hardware",D58="Trading Company",D58="IT Consulting"),1,
OR(D58="Cosmetics",D58="E-commerce &amp; Cloud Computing",D58="Electronics &amp; Entertainment",D58="Entertainment &amp; Media",D58="Luxury Goods",D58="Media &amp; Telecommunications",D58="Networking Technology",D58="Real Estate Services",D58="Technology &amp; Consumer Electronics",D58="Telecommunications",D58="Telecommunications &amp; Investment"),1,
OR(D58="Asset Management",D58="Banking",D58="Banking &amp; Asset Services",D58="Banking &amp; Financial Services",D58="Banking &amp; Wealth Management",D58="Cloud Software",D58="Enterprise Software",D58="Financial Services",D58="Information Technology Consulting",D58="Investment Banking",D58="Social Media &amp; Technology",D58="Software &amp; Cloud Computing",D58="Technology &amp; Consulting",D58="Technology &amp; Internet Services",D58="Technology &amp; Software"),1,
TRUE,"Unmapped"
)</f>
        <v>3</v>
      </c>
      <c r="H58" s="5">
        <f>VLOOKUP(B58,'BIS + EDBA Final'!A:K,2,FALSE)</f>
        <v>1</v>
      </c>
      <c r="I58" s="5">
        <f>VLOOKUP(B58,'BIS + EDBA Final'!A:F,6,FALSE)</f>
        <v>0</v>
      </c>
      <c r="J58" s="5">
        <f>VLOOKUP(B58,'CBG Final'!A:B,2,FALSE)</f>
        <v>1</v>
      </c>
      <c r="K58" s="9">
        <f t="shared" si="0"/>
        <v>1.9</v>
      </c>
      <c r="L58" s="5" t="s">
        <v>1313</v>
      </c>
      <c r="M58" s="5" t="s">
        <v>1132</v>
      </c>
      <c r="N58" s="5" t="s">
        <v>1314</v>
      </c>
      <c r="O58" s="5" t="s">
        <v>1315</v>
      </c>
      <c r="P58" s="5" t="s">
        <v>1316</v>
      </c>
      <c r="Q58" s="5" t="s">
        <v>329</v>
      </c>
      <c r="R58" s="5" t="s">
        <v>20</v>
      </c>
      <c r="S58" s="10"/>
      <c r="T58" s="11"/>
      <c r="U58" s="11"/>
      <c r="V58" s="10"/>
      <c r="W58" s="10"/>
      <c r="X58" s="10"/>
      <c r="Y58" s="10"/>
      <c r="Z58" s="10"/>
      <c r="AA58" s="10"/>
      <c r="AB58" s="10"/>
      <c r="AC58" s="10"/>
      <c r="AD58" s="10"/>
      <c r="AE58" s="10"/>
      <c r="AF58" s="10"/>
      <c r="AG58" s="10"/>
      <c r="AH58" s="10"/>
    </row>
    <row r="59" spans="1:34" ht="15.75" customHeight="1">
      <c r="A59" s="5"/>
      <c r="B59" s="5" t="s">
        <v>1268</v>
      </c>
      <c r="C59" s="6" t="s">
        <v>39</v>
      </c>
      <c r="D59" s="7" t="s">
        <v>773</v>
      </c>
      <c r="E59" s="8">
        <v>158413</v>
      </c>
      <c r="F59" s="6" cm="1">
        <f t="array" ref="F59">_xlfn.IFS(
E59&lt;=$E$245,0,
E59&lt;=$E$246,1,
E59&lt;=$E$247,2,
E59&gt;=$E$247,3)</f>
        <v>2</v>
      </c>
      <c r="G59" s="7" cm="1">
        <f t="array" ref="G59">_xlfn.IFS(
OR(D59="Aerospace",D59="Aerospace &amp; Defense",D59="Agricultural Equipment",D59="Airlines",D59="Automotive",D59="Automotive &amp; Energy",D59="Automotive Components",D59="Aviation",D59="Building Materials",D59="Chemicals",D59="Commercial Vehicles",D59="Conglomerate &amp; Defense",D59="Conglomerate &amp; Energy",D59="Construction",D59="Construction &amp; Infrastructure",D59="Construction &amp; Real Estate",D59="Construction &amp; Telecom",D59="Discount Retail",D59="Energy Management",D59="Energy Technology",D59="Engines &amp; Power Systems",D59="Environmental Services",D59="Food Distribution",D59="Food Services",D59="Grocery Retail",D59="Healthcare &amp; Pharmacy",D59="Home Improvement Retail",D59="Industrial Engineering &amp; Electronics",D59="Oilfield Services",D59="Pharmaceuticals",D59="Pharmaceuticals &amp; Chemicals",D59="Pharmaceuticals &amp; Healthcare",D59="Pharmacy Retail",D59="Postal &amp; Logistics",D59="Retail",D59="Retail &amp; Distribution",D59="Retail &amp; Grocery",D59="Retail (IKEA)",D59="Tobacco",D59="Trading &amp; Conglomerate",D59="Utilities",D59="Utilities &amp; Energy",D59="Wholesale Retail"),2,
OR(D59="Agribusiness",D59="Automotive &amp; Heavy Vehicles",D59="Chemicals",D59="Commercial Vehicles",D59="Construction",D59="Construction &amp; Infrastructure",D59="Engines &amp; Power Systems",D59="Food Processing",D59="Healthcare",D59="Healthcare &amp; Medical Devices",D59="Heavy Equipment",D59="Heavy Industry",D59="Industrial Gases",D59="Industrial Manufacturing",D59="Logistics",D59="Medical Devices",D59="Mining",D59="Mining &amp; Commodities Trading",D59="Oil &amp; Gas",D59="Oilfield Services",D59="Rail Transport",D59="Shipping &amp; Logistics",D59="Steel"),3,
OR(D59="Apparel &amp; Footwear",D59="Beverage",D59="Coffeehouse &amp; Retail",D59="Conglomerate",D59="Consumer Goods",D59="Convenience Retail",D59="Electronics",D59="Electronics &amp; Semiconductors",D59="Electronics Retail",D59="Fashion Retail",D59="Food &amp; Beverage",D59="Food Retail &amp; Consumer Goods",D59="Industrial &amp; Technology",D59="Industrial Automation",D59="Industrial Technology",D59="Postal &amp; Financial Services",D59="Postal Services",D59="Scientific Instruments",D59="Technology Hardware",D59="Trading Company",D59="IT Consulting"),1,
OR(D59="Cosmetics",D59="E-commerce &amp; Cloud Computing",D59="Electronics &amp; Entertainment",D59="Entertainment &amp; Media",D59="Luxury Goods",D59="Media &amp; Telecommunications",D59="Networking Technology",D59="Real Estate Services",D59="Technology &amp; Consumer Electronics",D59="Telecommunications",D59="Telecommunications &amp; Investment"),1,
OR(D59="Asset Management",D59="Banking",D59="Banking &amp; Asset Services",D59="Banking &amp; Financial Services",D59="Banking &amp; Wealth Management",D59="Cloud Software",D59="Enterprise Software",D59="Financial Services",D59="Information Technology Consulting",D59="Investment Banking",D59="Social Media &amp; Technology",D59="Software &amp; Cloud Computing",D59="Technology &amp; Consulting",D59="Technology &amp; Internet Services",D59="Technology &amp; Software"),1,
TRUE,"Unmapped"
)</f>
        <v>2</v>
      </c>
      <c r="H59" s="5">
        <v>2</v>
      </c>
      <c r="I59" s="5">
        <f>VLOOKUP(B59,'BIS + EDBA Final'!A:F,6,FALSE)</f>
        <v>1</v>
      </c>
      <c r="J59" s="5">
        <f>VLOOKUP(B59,'CBG Final'!A:B,2,FALSE)</f>
        <v>2</v>
      </c>
      <c r="K59" s="9">
        <f t="shared" si="0"/>
        <v>1.9</v>
      </c>
      <c r="L59" s="5" t="s">
        <v>1269</v>
      </c>
      <c r="M59" s="5" t="s">
        <v>672</v>
      </c>
      <c r="N59" s="5" t="s">
        <v>1270</v>
      </c>
      <c r="O59" s="5" t="s">
        <v>1271</v>
      </c>
      <c r="P59" s="5" t="s">
        <v>1272</v>
      </c>
      <c r="Q59" s="5" t="s">
        <v>78</v>
      </c>
      <c r="R59" s="5" t="s">
        <v>20</v>
      </c>
      <c r="S59" s="10"/>
      <c r="T59" s="11"/>
      <c r="U59" s="11"/>
      <c r="V59" s="10"/>
      <c r="W59" s="10"/>
      <c r="X59" s="10"/>
      <c r="Y59" s="10"/>
      <c r="Z59" s="10"/>
      <c r="AA59" s="10"/>
      <c r="AB59" s="10"/>
      <c r="AC59" s="10"/>
      <c r="AD59" s="10"/>
      <c r="AE59" s="10"/>
      <c r="AF59" s="10"/>
      <c r="AG59" s="10"/>
      <c r="AH59" s="10"/>
    </row>
    <row r="60" spans="1:34" ht="15.75" customHeight="1">
      <c r="A60" s="5"/>
      <c r="B60" s="5" t="s">
        <v>332</v>
      </c>
      <c r="C60" s="6" t="s">
        <v>195</v>
      </c>
      <c r="D60" s="7" t="s">
        <v>333</v>
      </c>
      <c r="E60" s="8">
        <v>222000</v>
      </c>
      <c r="F60" s="6" cm="1">
        <f t="array" ref="F60">_xlfn.IFS(
E60&lt;=$E$245,0,
E60&lt;=$E$246,1,
E60&lt;=$E$247,2,
E60&gt;=$E$247,3)</f>
        <v>3</v>
      </c>
      <c r="G60" s="7" cm="1">
        <f t="array" ref="G60">_xlfn.IFS(
OR(D60="Aerospace",D60="Aerospace &amp; Defense",D60="Agricultural Equipment",D60="Airlines",D60="Automotive",D60="Automotive &amp; Energy",D60="Automotive Components",D60="Aviation",D60="Building Materials",D60="Chemicals",D60="Commercial Vehicles",D60="Conglomerate &amp; Defense",D60="Conglomerate &amp; Energy",D60="Construction",D60="Construction &amp; Infrastructure",D60="Construction &amp; Real Estate",D60="Construction &amp; Telecom",D60="Discount Retail",D60="Energy Management",D60="Energy Technology",D60="Engines &amp; Power Systems",D60="Environmental Services",D60="Food Distribution",D60="Food Services",D60="Grocery Retail",D60="Healthcare &amp; Pharmacy",D60="Home Improvement Retail",D60="Industrial Engineering &amp; Electronics",D60="Oilfield Services",D60="Pharmaceuticals",D60="Pharmaceuticals &amp; Chemicals",D60="Pharmaceuticals &amp; Healthcare",D60="Pharmacy Retail",D60="Postal &amp; Logistics",D60="Retail",D60="Retail &amp; Distribution",D60="Retail &amp; Grocery",D60="Retail (IKEA)",D60="Tobacco",D60="Trading &amp; Conglomerate",D60="Utilities",D60="Utilities &amp; Energy",D60="Wholesale Retail"),2,
OR(D60="Agribusiness",D60="Automotive &amp; Heavy Vehicles",D60="Chemicals",D60="Commercial Vehicles",D60="Construction",D60="Construction &amp; Infrastructure",D60="Engines &amp; Power Systems",D60="Food Processing",D60="Healthcare",D60="Healthcare &amp; Medical Devices",D60="Heavy Equipment",D60="Heavy Industry",D60="Industrial Gases",D60="Industrial Manufacturing",D60="Logistics",D60="Medical Devices",D60="Mining",D60="Mining &amp; Commodities Trading",D60="Oil &amp; Gas",D60="Oilfield Services",D60="Rail Transport",D60="Shipping &amp; Logistics",D60="Steel"),3,
OR(D60="Apparel &amp; Footwear",D60="Beverage",D60="Coffeehouse &amp; Retail",D60="Conglomerate",D60="Consumer Goods",D60="Convenience Retail",D60="Electronics",D60="Electronics &amp; Semiconductors",D60="Electronics Retail",D60="Fashion Retail",D60="Food &amp; Beverage",D60="Food Retail &amp; Consumer Goods",D60="Industrial &amp; Technology",D60="Industrial Automation",D60="Industrial Technology",D60="Postal &amp; Financial Services",D60="Postal Services",D60="Scientific Instruments",D60="Technology Hardware",D60="Trading Company",D60="IT Consulting"),1,
OR(D60="Cosmetics",D60="E-commerce &amp; Cloud Computing",D60="Electronics &amp; Entertainment",D60="Entertainment &amp; Media",D60="Luxury Goods",D60="Media &amp; Telecommunications",D60="Networking Technology",D60="Real Estate Services",D60="Technology &amp; Consumer Electronics",D60="Telecommunications",D60="Telecommunications &amp; Investment"),1,
OR(D60="Asset Management",D60="Banking",D60="Banking &amp; Asset Services",D60="Banking &amp; Financial Services",D60="Banking &amp; Wealth Management",D60="Cloud Software",D60="Enterprise Software",D60="Financial Services",D60="Information Technology Consulting",D60="Investment Banking",D60="Social Media &amp; Technology",D60="Software &amp; Cloud Computing",D60="Technology &amp; Consulting",D60="Technology &amp; Internet Services",D60="Technology &amp; Software"),1,
TRUE,"Unmapped"
)</f>
        <v>2</v>
      </c>
      <c r="H60" s="5">
        <f>VLOOKUP(B60,'BIS + EDBA Final'!A:K,2,FALSE)</f>
        <v>1</v>
      </c>
      <c r="I60" s="5">
        <f>VLOOKUP(B60,'BIS + EDBA Final'!A:F,6,FALSE)</f>
        <v>0</v>
      </c>
      <c r="J60" s="5">
        <f>VLOOKUP(B60,'CBG Final'!A:B,2,FALSE)</f>
        <v>2</v>
      </c>
      <c r="K60" s="9">
        <f t="shared" si="0"/>
        <v>1.9</v>
      </c>
      <c r="L60" s="5" t="s">
        <v>334</v>
      </c>
      <c r="M60" s="5" t="s">
        <v>335</v>
      </c>
      <c r="N60" s="5" t="s">
        <v>336</v>
      </c>
      <c r="O60" s="5" t="s">
        <v>337</v>
      </c>
      <c r="P60" s="5" t="s">
        <v>338</v>
      </c>
      <c r="Q60" s="5" t="s">
        <v>276</v>
      </c>
      <c r="R60" s="5" t="s">
        <v>20</v>
      </c>
      <c r="S60" s="10"/>
      <c r="T60" s="11"/>
      <c r="U60" s="11"/>
      <c r="V60" s="10"/>
      <c r="W60" s="10"/>
      <c r="X60" s="11"/>
      <c r="Y60" s="11"/>
      <c r="Z60" s="10"/>
      <c r="AA60" s="10"/>
      <c r="AB60" s="10"/>
      <c r="AC60" s="10"/>
      <c r="AD60" s="10"/>
      <c r="AE60" s="10"/>
      <c r="AF60" s="10"/>
      <c r="AG60" s="10"/>
      <c r="AH60" s="10"/>
    </row>
    <row r="61" spans="1:34" ht="15.75" customHeight="1">
      <c r="A61" s="5"/>
      <c r="B61" s="5" t="s">
        <v>38</v>
      </c>
      <c r="C61" s="6" t="s">
        <v>39</v>
      </c>
      <c r="D61" s="7" t="s">
        <v>40</v>
      </c>
      <c r="E61" s="8">
        <v>176962</v>
      </c>
      <c r="F61" s="6" cm="1">
        <f t="array" ref="F61">_xlfn.IFS(
E61&lt;=$E$245,0,
E61&lt;=$E$246,1,
E61&lt;=$E$247,2,
E61&gt;=$E$247,3)</f>
        <v>2</v>
      </c>
      <c r="G61" s="7" cm="1">
        <f t="array" ref="G61">_xlfn.IFS(
OR(D61="Aerospace",D61="Aerospace &amp; Defense",D61="Agricultural Equipment",D61="Airlines",D61="Automotive",D61="Automotive &amp; Energy",D61="Automotive Components",D61="Aviation",D61="Building Materials",D61="Chemicals",D61="Commercial Vehicles",D61="Conglomerate &amp; Defense",D61="Conglomerate &amp; Energy",D61="Construction",D61="Construction &amp; Infrastructure",D61="Construction &amp; Real Estate",D61="Construction &amp; Telecom",D61="Discount Retail",D61="Energy Management",D61="Energy Technology",D61="Engines &amp; Power Systems",D61="Environmental Services",D61="Food Distribution",D61="Food Services",D61="Grocery Retail",D61="Healthcare &amp; Pharmacy",D61="Home Improvement Retail",D61="Industrial Engineering &amp; Electronics",D61="Oilfield Services",D61="Pharmaceuticals",D61="Pharmaceuticals &amp; Chemicals",D61="Pharmaceuticals &amp; Healthcare",D61="Pharmacy Retail",D61="Postal &amp; Logistics",D61="Retail",D61="Retail &amp; Distribution",D61="Retail &amp; Grocery",D61="Retail (IKEA)",D61="Tobacco",D61="Trading &amp; Conglomerate",D61="Utilities",D61="Utilities &amp; Energy",D61="Wholesale Retail"),2,
OR(D61="Agribusiness",D61="Automotive &amp; Heavy Vehicles",D61="Chemicals",D61="Commercial Vehicles",D61="Construction",D61="Construction &amp; Infrastructure",D61="Engines &amp; Power Systems",D61="Food Processing",D61="Healthcare",D61="Healthcare &amp; Medical Devices",D61="Heavy Equipment",D61="Heavy Industry",D61="Industrial Gases",D61="Industrial Manufacturing",D61="Logistics",D61="Medical Devices",D61="Mining",D61="Mining &amp; Commodities Trading",D61="Oil &amp; Gas",D61="Oilfield Services",D61="Rail Transport",D61="Shipping &amp; Logistics",D61="Steel"),3,
OR(D61="Apparel &amp; Footwear",D61="Beverage",D61="Coffeehouse &amp; Retail",D61="Conglomerate",D61="Consumer Goods",D61="Convenience Retail",D61="Electronics",D61="Electronics &amp; Semiconductors",D61="Electronics Retail",D61="Fashion Retail",D61="Food &amp; Beverage",D61="Food Retail &amp; Consumer Goods",D61="Industrial &amp; Technology",D61="Industrial Automation",D61="Industrial Technology",D61="Postal &amp; Financial Services",D61="Postal Services",D61="Scientific Instruments",D61="Technology Hardware",D61="Trading Company",D61="IT Consulting"),1,
OR(D61="Cosmetics",D61="E-commerce &amp; Cloud Computing",D61="Electronics &amp; Entertainment",D61="Entertainment &amp; Media",D61="Luxury Goods",D61="Media &amp; Telecommunications",D61="Networking Technology",D61="Real Estate Services",D61="Technology &amp; Consumer Electronics",D61="Telecommunications",D61="Telecommunications &amp; Investment"),1,
OR(D61="Asset Management",D61="Banking",D61="Banking &amp; Asset Services",D61="Banking &amp; Financial Services",D61="Banking &amp; Wealth Management",D61="Cloud Software",D61="Enterprise Software",D61="Financial Services",D61="Information Technology Consulting",D61="Investment Banking",D61="Social Media &amp; Technology",D61="Software &amp; Cloud Computing",D61="Technology &amp; Consulting",D61="Technology &amp; Internet Services",D61="Technology &amp; Software"),1,
TRUE,"Unmapped"
)</f>
        <v>2</v>
      </c>
      <c r="H61" s="5">
        <f>VLOOKUP(B61,'BIS + EDBA Final'!A:K,2,FALSE)</f>
        <v>2</v>
      </c>
      <c r="I61" s="5">
        <f>VLOOKUP(B61,'BIS + EDBA Final'!A:F,6,FALSE)</f>
        <v>-1</v>
      </c>
      <c r="J61" s="5">
        <f>VLOOKUP(B61,'CBG Final'!A:B,2,FALSE)</f>
        <v>3</v>
      </c>
      <c r="K61" s="9">
        <f t="shared" si="0"/>
        <v>1.9</v>
      </c>
      <c r="L61" s="5" t="s">
        <v>41</v>
      </c>
      <c r="M61" s="5" t="s">
        <v>42</v>
      </c>
      <c r="N61" s="5" t="s">
        <v>43</v>
      </c>
      <c r="O61" s="5" t="s">
        <v>44</v>
      </c>
      <c r="P61" s="5" t="s">
        <v>45</v>
      </c>
      <c r="Q61" s="5" t="s">
        <v>46</v>
      </c>
      <c r="R61" s="5" t="s">
        <v>47</v>
      </c>
      <c r="S61" s="10"/>
      <c r="T61" s="11"/>
      <c r="U61" s="11"/>
      <c r="V61" s="10"/>
      <c r="W61" s="10"/>
      <c r="X61" s="10"/>
      <c r="Y61" s="10"/>
      <c r="Z61" s="10"/>
      <c r="AA61" s="10"/>
      <c r="AB61" s="10"/>
      <c r="AC61" s="10"/>
      <c r="AD61" s="10">
        <f>_xlfn.PERCENTILE.INC($E$2:$E$231,0.5)</f>
        <v>112600</v>
      </c>
      <c r="AE61" s="10"/>
      <c r="AF61" s="10"/>
      <c r="AG61" s="10"/>
      <c r="AH61" s="10"/>
    </row>
    <row r="62" spans="1:34" ht="15.75" customHeight="1">
      <c r="A62" s="5"/>
      <c r="B62" s="5" t="s">
        <v>100</v>
      </c>
      <c r="C62" s="6" t="s">
        <v>94</v>
      </c>
      <c r="D62" s="7" t="s">
        <v>101</v>
      </c>
      <c r="E62" s="8">
        <v>579126</v>
      </c>
      <c r="F62" s="6" cm="1">
        <f t="array" ref="F62">_xlfn.IFS(
E62&lt;=$E$245,0,
E62&lt;=$E$246,1,
E62&lt;=$E$247,2,
E62&gt;=$E$247,3)</f>
        <v>3</v>
      </c>
      <c r="G62" s="7" cm="1">
        <f t="array" ref="G62">_xlfn.IFS(
OR(D62="Aerospace",D62="Aerospace &amp; Defense",D62="Agricultural Equipment",D62="Airlines",D62="Automotive",D62="Automotive &amp; Energy",D62="Automotive Components",D62="Aviation",D62="Building Materials",D62="Chemicals",D62="Commercial Vehicles",D62="Conglomerate &amp; Defense",D62="Conglomerate &amp; Energy",D62="Construction",D62="Construction &amp; Infrastructure",D62="Construction &amp; Real Estate",D62="Construction &amp; Telecom",D62="Discount Retail",D62="Energy Management",D62="Energy Technology",D62="Engines &amp; Power Systems",D62="Environmental Services",D62="Food Distribution",D62="Food Services",D62="Grocery Retail",D62="Healthcare &amp; Pharmacy",D62="Home Improvement Retail",D62="Industrial Engineering &amp; Electronics",D62="Oilfield Services",D62="Pharmaceuticals",D62="Pharmaceuticals &amp; Chemicals",D62="Pharmaceuticals &amp; Healthcare",D62="Pharmacy Retail",D62="Postal &amp; Logistics",D62="Retail",D62="Retail &amp; Distribution",D62="Retail &amp; Grocery",D62="Retail (IKEA)",D62="Tobacco",D62="Trading &amp; Conglomerate",D62="Utilities",D62="Utilities &amp; Energy",D62="Wholesale Retail"),2,
OR(D62="Agribusiness",D62="Automotive &amp; Heavy Vehicles",D62="Chemicals",D62="Commercial Vehicles",D62="Construction",D62="Construction &amp; Infrastructure",D62="Engines &amp; Power Systems",D62="Food Processing",D62="Healthcare",D62="Healthcare &amp; Medical Devices",D62="Heavy Equipment",D62="Heavy Industry",D62="Industrial Gases",D62="Industrial Manufacturing",D62="Logistics",D62="Medical Devices",D62="Mining",D62="Mining &amp; Commodities Trading",D62="Oil &amp; Gas",D62="Oilfield Services",D62="Rail Transport",D62="Shipping &amp; Logistics",D62="Steel"),3,
OR(D62="Apparel &amp; Footwear",D62="Beverage",D62="Coffeehouse &amp; Retail",D62="Conglomerate",D62="Consumer Goods",D62="Convenience Retail",D62="Electronics",D62="Electronics &amp; Semiconductors",D62="Electronics Retail",D62="Fashion Retail",D62="Food &amp; Beverage",D62="Food Retail &amp; Consumer Goods",D62="Industrial &amp; Technology",D62="Industrial Automation",D62="Industrial Technology",D62="Postal &amp; Financial Services",D62="Postal Services",D62="Scientific Instruments",D62="Technology Hardware",D62="Trading Company",D62="IT Consulting"),1,
OR(D62="Cosmetics",D62="E-commerce &amp; Cloud Computing",D62="Electronics &amp; Entertainment",D62="Entertainment &amp; Media",D62="Luxury Goods",D62="Media &amp; Telecommunications",D62="Networking Technology",D62="Real Estate Services",D62="Technology &amp; Consumer Electronics",D62="Telecommunications",D62="Telecommunications &amp; Investment"),1,
OR(D62="Asset Management",D62="Banking",D62="Banking &amp; Asset Services",D62="Banking &amp; Financial Services",D62="Banking &amp; Wealth Management",D62="Cloud Software",D62="Enterprise Software",D62="Financial Services",D62="Information Technology Consulting",D62="Investment Banking",D62="Social Media &amp; Technology",D62="Software &amp; Cloud Computing",D62="Technology &amp; Consulting",D62="Technology &amp; Internet Services",D62="Technology &amp; Software"),1,
TRUE,"Unmapped"
)</f>
        <v>2</v>
      </c>
      <c r="H62" s="5">
        <f>VLOOKUP(B62,'BIS + EDBA Final'!A:K,2,FALSE)</f>
        <v>1</v>
      </c>
      <c r="I62" s="5">
        <f>VLOOKUP(B62,'BIS + EDBA Final'!A:F,6,FALSE)</f>
        <v>0</v>
      </c>
      <c r="J62" s="5">
        <f>VLOOKUP(B62,'CBG Final'!A:B,2,FALSE)</f>
        <v>2</v>
      </c>
      <c r="K62" s="9">
        <f t="shared" si="0"/>
        <v>1.9</v>
      </c>
      <c r="L62" s="5" t="s">
        <v>102</v>
      </c>
      <c r="M62" s="5" t="s">
        <v>103</v>
      </c>
      <c r="N62" s="5" t="s">
        <v>104</v>
      </c>
      <c r="O62" s="5" t="s">
        <v>105</v>
      </c>
      <c r="P62" s="5" t="s">
        <v>106</v>
      </c>
      <c r="Q62" s="5" t="s">
        <v>107</v>
      </c>
      <c r="R62" s="5" t="s">
        <v>108</v>
      </c>
      <c r="S62" s="10"/>
      <c r="T62" s="11"/>
      <c r="U62" s="11"/>
      <c r="V62" s="10"/>
      <c r="W62" s="10"/>
      <c r="X62" s="10"/>
      <c r="Y62" s="10"/>
      <c r="Z62" s="10"/>
      <c r="AA62" s="10"/>
      <c r="AB62" s="10"/>
      <c r="AC62" s="10"/>
      <c r="AD62" s="10"/>
      <c r="AE62" s="10"/>
      <c r="AF62" s="10"/>
      <c r="AG62" s="10"/>
      <c r="AH62" s="10"/>
    </row>
    <row r="63" spans="1:34" ht="15.75" customHeight="1">
      <c r="A63" s="5"/>
      <c r="B63" s="5" t="s">
        <v>85</v>
      </c>
      <c r="C63" s="6" t="s">
        <v>71</v>
      </c>
      <c r="D63" s="7" t="s">
        <v>86</v>
      </c>
      <c r="E63" s="8">
        <v>159104</v>
      </c>
      <c r="F63" s="6" cm="1">
        <f t="array" ref="F63">_xlfn.IFS(
E63&lt;=$E$245,0,
E63&lt;=$E$246,1,
E63&lt;=$E$247,2,
E63&gt;=$E$247,3)</f>
        <v>2</v>
      </c>
      <c r="G63" s="7" cm="1">
        <f t="array" ref="G63">_xlfn.IFS(
OR(D63="Aerospace",D63="Aerospace &amp; Defense",D63="Agricultural Equipment",D63="Airlines",D63="Automotive",D63="Automotive &amp; Energy",D63="Automotive Components",D63="Aviation",D63="Building Materials",D63="Chemicals",D63="Commercial Vehicles",D63="Conglomerate &amp; Defense",D63="Conglomerate &amp; Energy",D63="Construction",D63="Construction &amp; Infrastructure",D63="Construction &amp; Real Estate",D63="Construction &amp; Telecom",D63="Discount Retail",D63="Energy Management",D63="Energy Technology",D63="Engines &amp; Power Systems",D63="Environmental Services",D63="Food Distribution",D63="Food Services",D63="Grocery Retail",D63="Healthcare &amp; Pharmacy",D63="Home Improvement Retail",D63="Industrial Engineering &amp; Electronics",D63="Oilfield Services",D63="Pharmaceuticals",D63="Pharmaceuticals &amp; Chemicals",D63="Pharmaceuticals &amp; Healthcare",D63="Pharmacy Retail",D63="Postal &amp; Logistics",D63="Retail",D63="Retail &amp; Distribution",D63="Retail &amp; Grocery",D63="Retail (IKEA)",D63="Tobacco",D63="Trading &amp; Conglomerate",D63="Utilities",D63="Utilities &amp; Energy",D63="Wholesale Retail"),2,
OR(D63="Agribusiness",D63="Automotive &amp; Heavy Vehicles",D63="Chemicals",D63="Commercial Vehicles",D63="Construction",D63="Construction &amp; Infrastructure",D63="Engines &amp; Power Systems",D63="Food Processing",D63="Healthcare",D63="Healthcare &amp; Medical Devices",D63="Heavy Equipment",D63="Heavy Industry",D63="Industrial Gases",D63="Industrial Manufacturing",D63="Logistics",D63="Medical Devices",D63="Mining",D63="Mining &amp; Commodities Trading",D63="Oil &amp; Gas",D63="Oilfield Services",D63="Rail Transport",D63="Shipping &amp; Logistics",D63="Steel"),3,
OR(D63="Apparel &amp; Footwear",D63="Beverage",D63="Coffeehouse &amp; Retail",D63="Conglomerate",D63="Consumer Goods",D63="Convenience Retail",D63="Electronics",D63="Electronics &amp; Semiconductors",D63="Electronics Retail",D63="Fashion Retail",D63="Food &amp; Beverage",D63="Food Retail &amp; Consumer Goods",D63="Industrial &amp; Technology",D63="Industrial Automation",D63="Industrial Technology",D63="Postal &amp; Financial Services",D63="Postal Services",D63="Scientific Instruments",D63="Technology Hardware",D63="Trading Company",D63="IT Consulting"),1,
OR(D63="Cosmetics",D63="E-commerce &amp; Cloud Computing",D63="Electronics &amp; Entertainment",D63="Entertainment &amp; Media",D63="Luxury Goods",D63="Media &amp; Telecommunications",D63="Networking Technology",D63="Real Estate Services",D63="Technology &amp; Consumer Electronics",D63="Telecommunications",D63="Telecommunications &amp; Investment"),1,
OR(D63="Asset Management",D63="Banking",D63="Banking &amp; Asset Services",D63="Banking &amp; Financial Services",D63="Banking &amp; Wealth Management",D63="Cloud Software",D63="Enterprise Software",D63="Financial Services",D63="Information Technology Consulting",D63="Investment Banking",D63="Social Media &amp; Technology",D63="Software &amp; Cloud Computing",D63="Technology &amp; Consulting",D63="Technology &amp; Internet Services",D63="Technology &amp; Software"),1,
TRUE,"Unmapped"
)</f>
        <v>2</v>
      </c>
      <c r="H63" s="5">
        <f>VLOOKUP(B63,'BIS + EDBA Final'!A:K,2,FALSE)</f>
        <v>2</v>
      </c>
      <c r="I63" s="5">
        <f>VLOOKUP(B63,'BIS + EDBA Final'!A:F,6,FALSE)</f>
        <v>1</v>
      </c>
      <c r="J63" s="5">
        <f>VLOOKUP(B63,'CBG Final'!A:B,2,FALSE)</f>
        <v>2</v>
      </c>
      <c r="K63" s="9">
        <f t="shared" si="0"/>
        <v>1.9</v>
      </c>
      <c r="L63" s="5" t="s">
        <v>87</v>
      </c>
      <c r="M63" s="5" t="s">
        <v>88</v>
      </c>
      <c r="N63" s="5" t="s">
        <v>89</v>
      </c>
      <c r="O63" s="5" t="s">
        <v>90</v>
      </c>
      <c r="P63" s="5" t="s">
        <v>91</v>
      </c>
      <c r="Q63" s="5" t="s">
        <v>92</v>
      </c>
      <c r="R63" s="5" t="s">
        <v>20</v>
      </c>
      <c r="S63" s="10"/>
      <c r="T63" s="11"/>
      <c r="U63" s="11"/>
      <c r="V63" s="10"/>
      <c r="W63" s="10"/>
      <c r="X63" s="11"/>
      <c r="Y63" s="11"/>
      <c r="Z63" s="10"/>
      <c r="AA63" s="10"/>
      <c r="AB63" s="10"/>
      <c r="AC63" s="10"/>
      <c r="AD63" s="10"/>
      <c r="AE63" s="10"/>
      <c r="AF63" s="10"/>
      <c r="AG63" s="10"/>
      <c r="AH63" s="10"/>
    </row>
    <row r="64" spans="1:34" ht="15.75" customHeight="1">
      <c r="A64" s="5"/>
      <c r="B64" s="5" t="s">
        <v>402</v>
      </c>
      <c r="C64" s="6" t="s">
        <v>39</v>
      </c>
      <c r="D64" s="7" t="s">
        <v>403</v>
      </c>
      <c r="E64" s="8">
        <v>284526</v>
      </c>
      <c r="F64" s="6" cm="1">
        <f t="array" ref="F64">_xlfn.IFS(
E64&lt;=$E$245,0,
E64&lt;=$E$246,1,
E64&lt;=$E$247,2,
E64&gt;=$E$247,3)</f>
        <v>3</v>
      </c>
      <c r="G64" s="7" cm="1">
        <f t="array" ref="G64">_xlfn.IFS(
OR(D64="Aerospace",D64="Aerospace &amp; Defense",D64="Agricultural Equipment",D64="Airlines",D64="Automotive",D64="Automotive &amp; Energy",D64="Automotive Components",D64="Aviation",D64="Building Materials",D64="Chemicals",D64="Commercial Vehicles",D64="Conglomerate &amp; Defense",D64="Conglomerate &amp; Energy",D64="Construction",D64="Construction &amp; Infrastructure",D64="Construction &amp; Real Estate",D64="Construction &amp; Telecom",D64="Discount Retail",D64="Energy Management",D64="Energy Technology",D64="Engines &amp; Power Systems",D64="Environmental Services",D64="Food Distribution",D64="Food Services",D64="Grocery Retail",D64="Healthcare &amp; Pharmacy",D64="Home Improvement Retail",D64="Industrial Engineering &amp; Electronics",D64="Oilfield Services",D64="Pharmaceuticals",D64="Pharmaceuticals &amp; Chemicals",D64="Pharmaceuticals &amp; Healthcare",D64="Pharmacy Retail",D64="Postal &amp; Logistics",D64="Retail",D64="Retail &amp; Distribution",D64="Retail &amp; Grocery",D64="Retail (IKEA)",D64="Tobacco",D64="Trading &amp; Conglomerate",D64="Utilities",D64="Utilities &amp; Energy",D64="Wholesale Retail"),2,
OR(D64="Agribusiness",D64="Automotive &amp; Heavy Vehicles",D64="Chemicals",D64="Commercial Vehicles",D64="Construction",D64="Construction &amp; Infrastructure",D64="Engines &amp; Power Systems",D64="Food Processing",D64="Healthcare",D64="Healthcare &amp; Medical Devices",D64="Heavy Equipment",D64="Heavy Industry",D64="Industrial Gases",D64="Industrial Manufacturing",D64="Logistics",D64="Medical Devices",D64="Mining",D64="Mining &amp; Commodities Trading",D64="Oil &amp; Gas",D64="Oilfield Services",D64="Rail Transport",D64="Shipping &amp; Logistics",D64="Steel"),3,
OR(D64="Apparel &amp; Footwear",D64="Beverage",D64="Coffeehouse &amp; Retail",D64="Conglomerate",D64="Consumer Goods",D64="Convenience Retail",D64="Electronics",D64="Electronics &amp; Semiconductors",D64="Electronics Retail",D64="Fashion Retail",D64="Food &amp; Beverage",D64="Food Retail &amp; Consumer Goods",D64="Industrial &amp; Technology",D64="Industrial Automation",D64="Industrial Technology",D64="Postal &amp; Financial Services",D64="Postal Services",D64="Scientific Instruments",D64="Technology Hardware",D64="Trading Company",D64="IT Consulting"),1,
OR(D64="Cosmetics",D64="E-commerce &amp; Cloud Computing",D64="Electronics &amp; Entertainment",D64="Entertainment &amp; Media",D64="Luxury Goods",D64="Media &amp; Telecommunications",D64="Networking Technology",D64="Real Estate Services",D64="Technology &amp; Consumer Electronics",D64="Telecommunications",D64="Telecommunications &amp; Investment"),1,
OR(D64="Asset Management",D64="Banking",D64="Banking &amp; Asset Services",D64="Banking &amp; Financial Services",D64="Banking &amp; Wealth Management",D64="Cloud Software",D64="Enterprise Software",D64="Financial Services",D64="Information Technology Consulting",D64="Investment Banking",D64="Social Media &amp; Technology",D64="Software &amp; Cloud Computing",D64="Technology &amp; Consulting",D64="Technology &amp; Internet Services",D64="Technology &amp; Software"),1,
TRUE,"Unmapped"
)</f>
        <v>2</v>
      </c>
      <c r="H64" s="5">
        <f>VLOOKUP(B64,'BIS + EDBA Final'!A:K,2,FALSE)</f>
        <v>1</v>
      </c>
      <c r="I64" s="5">
        <f>VLOOKUP(B64,'BIS + EDBA Final'!A:F,6,FALSE)</f>
        <v>0</v>
      </c>
      <c r="J64" s="5">
        <f>VLOOKUP(B64,'CBG Final'!A:B,2,FALSE)</f>
        <v>2</v>
      </c>
      <c r="K64" s="9">
        <f t="shared" si="0"/>
        <v>1.9</v>
      </c>
      <c r="L64" s="5" t="s">
        <v>404</v>
      </c>
      <c r="M64" s="5" t="s">
        <v>405</v>
      </c>
      <c r="N64" s="5" t="s">
        <v>406</v>
      </c>
      <c r="O64" s="5" t="s">
        <v>407</v>
      </c>
      <c r="P64" s="5" t="s">
        <v>408</v>
      </c>
      <c r="Q64" s="5" t="s">
        <v>276</v>
      </c>
      <c r="R64" s="5" t="s">
        <v>34</v>
      </c>
      <c r="S64" s="10"/>
      <c r="T64" s="11"/>
      <c r="U64" s="11"/>
      <c r="V64" s="10"/>
      <c r="W64" s="10"/>
      <c r="X64" s="11"/>
      <c r="Y64" s="11"/>
      <c r="Z64" s="10"/>
      <c r="AA64" s="10"/>
      <c r="AB64" s="10"/>
      <c r="AC64" s="10"/>
      <c r="AD64" s="10"/>
      <c r="AE64" s="10"/>
      <c r="AF64" s="10"/>
      <c r="AG64" s="10"/>
      <c r="AH64" s="10"/>
    </row>
    <row r="65" spans="1:34" ht="15.75" customHeight="1">
      <c r="A65" s="5"/>
      <c r="B65" s="5" t="s">
        <v>146</v>
      </c>
      <c r="C65" s="6" t="s">
        <v>36</v>
      </c>
      <c r="D65" s="7" t="s">
        <v>63</v>
      </c>
      <c r="E65" s="8">
        <v>333000</v>
      </c>
      <c r="F65" s="6" cm="1">
        <f t="array" ref="F65">_xlfn.IFS(
E65&lt;=$E$245,0,
E65&lt;=$E$246,1,
E65&lt;=$E$247,2,
E65&gt;=$E$247,3)</f>
        <v>3</v>
      </c>
      <c r="G65" s="7" cm="1">
        <f t="array" ref="G65">_xlfn.IFS(
OR(D65="Aerospace",D65="Aerospace &amp; Defense",D65="Agricultural Equipment",D65="Airlines",D65="Automotive",D65="Automotive &amp; Energy",D65="Automotive Components",D65="Aviation",D65="Building Materials",D65="Chemicals",D65="Commercial Vehicles",D65="Conglomerate &amp; Defense",D65="Conglomerate &amp; Energy",D65="Construction",D65="Construction &amp; Infrastructure",D65="Construction &amp; Real Estate",D65="Construction &amp; Telecom",D65="Discount Retail",D65="Energy Management",D65="Energy Technology",D65="Engines &amp; Power Systems",D65="Environmental Services",D65="Food Distribution",D65="Food Services",D65="Grocery Retail",D65="Healthcare &amp; Pharmacy",D65="Home Improvement Retail",D65="Industrial Engineering &amp; Electronics",D65="Oilfield Services",D65="Pharmaceuticals",D65="Pharmaceuticals &amp; Chemicals",D65="Pharmaceuticals &amp; Healthcare",D65="Pharmacy Retail",D65="Postal &amp; Logistics",D65="Retail",D65="Retail &amp; Distribution",D65="Retail &amp; Grocery",D65="Retail (IKEA)",D65="Tobacco",D65="Trading &amp; Conglomerate",D65="Utilities",D65="Utilities &amp; Energy",D65="Wholesale Retail"),2,
OR(D65="Agribusiness",D65="Automotive &amp; Heavy Vehicles",D65="Chemicals",D65="Commercial Vehicles",D65="Construction",D65="Construction &amp; Infrastructure",D65="Engines &amp; Power Systems",D65="Food Processing",D65="Healthcare",D65="Healthcare &amp; Medical Devices",D65="Heavy Equipment",D65="Heavy Industry",D65="Industrial Gases",D65="Industrial Manufacturing",D65="Logistics",D65="Medical Devices",D65="Mining",D65="Mining &amp; Commodities Trading",D65="Oil &amp; Gas",D65="Oilfield Services",D65="Rail Transport",D65="Shipping &amp; Logistics",D65="Steel"),3,
OR(D65="Apparel &amp; Footwear",D65="Beverage",D65="Coffeehouse &amp; Retail",D65="Conglomerate",D65="Consumer Goods",D65="Convenience Retail",D65="Electronics",D65="Electronics &amp; Semiconductors",D65="Electronics Retail",D65="Fashion Retail",D65="Food &amp; Beverage",D65="Food Retail &amp; Consumer Goods",D65="Industrial &amp; Technology",D65="Industrial Automation",D65="Industrial Technology",D65="Postal &amp; Financial Services",D65="Postal Services",D65="Scientific Instruments",D65="Technology Hardware",D65="Trading Company",D65="IT Consulting"),1,
OR(D65="Cosmetics",D65="E-commerce &amp; Cloud Computing",D65="Electronics &amp; Entertainment",D65="Entertainment &amp; Media",D65="Luxury Goods",D65="Media &amp; Telecommunications",D65="Networking Technology",D65="Real Estate Services",D65="Technology &amp; Consumer Electronics",D65="Telecommunications",D65="Telecommunications &amp; Investment"),1,
OR(D65="Asset Management",D65="Banking",D65="Banking &amp; Asset Services",D65="Banking &amp; Financial Services",D65="Banking &amp; Wealth Management",D65="Cloud Software",D65="Enterprise Software",D65="Financial Services",D65="Information Technology Consulting",D65="Investment Banking",D65="Social Media &amp; Technology",D65="Software &amp; Cloud Computing",D65="Technology &amp; Consulting",D65="Technology &amp; Internet Services",D65="Technology &amp; Software"),1,
TRUE,"Unmapped"
)</f>
        <v>2</v>
      </c>
      <c r="H65" s="5">
        <v>1</v>
      </c>
      <c r="I65" s="5">
        <f>VLOOKUP(B65,'BIS + EDBA Final'!A:F,6,FALSE)</f>
        <v>0</v>
      </c>
      <c r="J65" s="5">
        <f>VLOOKUP(B65,'CBG Final'!A:B,2,FALSE)</f>
        <v>2</v>
      </c>
      <c r="K65" s="9">
        <f t="shared" si="0"/>
        <v>1.9</v>
      </c>
      <c r="L65" s="5" t="s">
        <v>758</v>
      </c>
      <c r="M65" s="5" t="s">
        <v>759</v>
      </c>
      <c r="N65" s="5" t="s">
        <v>760</v>
      </c>
      <c r="O65" s="5" t="s">
        <v>761</v>
      </c>
      <c r="P65" s="5" t="s">
        <v>762</v>
      </c>
      <c r="Q65" s="5" t="s">
        <v>33</v>
      </c>
      <c r="R65" s="5" t="s">
        <v>20</v>
      </c>
      <c r="S65" s="10"/>
      <c r="T65" s="11"/>
      <c r="U65" s="11"/>
      <c r="V65" s="10"/>
      <c r="W65" s="10"/>
      <c r="X65" s="11"/>
      <c r="Y65" s="11"/>
      <c r="Z65" s="10"/>
      <c r="AA65" s="10"/>
      <c r="AB65" s="10"/>
      <c r="AC65" s="10"/>
      <c r="AD65" s="10"/>
      <c r="AE65" s="10"/>
      <c r="AF65" s="10"/>
      <c r="AG65" s="10"/>
      <c r="AH65" s="10"/>
    </row>
    <row r="66" spans="1:34" ht="15.75" customHeight="1">
      <c r="A66" s="5"/>
      <c r="B66" s="5" t="s">
        <v>648</v>
      </c>
      <c r="C66" s="6" t="s">
        <v>36</v>
      </c>
      <c r="D66" s="7" t="s">
        <v>196</v>
      </c>
      <c r="E66" s="8">
        <v>172000</v>
      </c>
      <c r="F66" s="6" cm="1">
        <f t="array" ref="F66">_xlfn.IFS(
E66&lt;=$E$245,0,
E66&lt;=$E$246,1,
E66&lt;=$E$247,2,
E66&gt;=$E$247,3)</f>
        <v>2</v>
      </c>
      <c r="G66" s="7" cm="1">
        <f t="array" ref="G66">_xlfn.IFS(
OR(D66="Aerospace",D66="Aerospace &amp; Defense",D66="Agricultural Equipment",D66="Airlines",D66="Automotive",D66="Automotive &amp; Energy",D66="Automotive Components",D66="Aviation",D66="Building Materials",D66="Chemicals",D66="Commercial Vehicles",D66="Conglomerate &amp; Defense",D66="Conglomerate &amp; Energy",D66="Construction",D66="Construction &amp; Infrastructure",D66="Construction &amp; Real Estate",D66="Construction &amp; Telecom",D66="Discount Retail",D66="Energy Management",D66="Energy Technology",D66="Engines &amp; Power Systems",D66="Environmental Services",D66="Food Distribution",D66="Food Services",D66="Grocery Retail",D66="Healthcare &amp; Pharmacy",D66="Home Improvement Retail",D66="Industrial Engineering &amp; Electronics",D66="Oilfield Services",D66="Pharmaceuticals",D66="Pharmaceuticals &amp; Chemicals",D66="Pharmaceuticals &amp; Healthcare",D66="Pharmacy Retail",D66="Postal &amp; Logistics",D66="Retail",D66="Retail &amp; Distribution",D66="Retail &amp; Grocery",D66="Retail (IKEA)",D66="Tobacco",D66="Trading &amp; Conglomerate",D66="Utilities",D66="Utilities &amp; Energy",D66="Wholesale Retail"),2,
OR(D66="Agribusiness",D66="Automotive &amp; Heavy Vehicles",D66="Chemicals",D66="Commercial Vehicles",D66="Construction",D66="Construction &amp; Infrastructure",D66="Engines &amp; Power Systems",D66="Food Processing",D66="Healthcare",D66="Healthcare &amp; Medical Devices",D66="Heavy Equipment",D66="Heavy Industry",D66="Industrial Gases",D66="Industrial Manufacturing",D66="Logistics",D66="Medical Devices",D66="Mining",D66="Mining &amp; Commodities Trading",D66="Oil &amp; Gas",D66="Oilfield Services",D66="Rail Transport",D66="Shipping &amp; Logistics",D66="Steel"),3,
OR(D66="Apparel &amp; Footwear",D66="Beverage",D66="Coffeehouse &amp; Retail",D66="Conglomerate",D66="Consumer Goods",D66="Convenience Retail",D66="Electronics",D66="Electronics &amp; Semiconductors",D66="Electronics Retail",D66="Fashion Retail",D66="Food &amp; Beverage",D66="Food Retail &amp; Consumer Goods",D66="Industrial &amp; Technology",D66="Industrial Automation",D66="Industrial Technology",D66="Postal &amp; Financial Services",D66="Postal Services",D66="Scientific Instruments",D66="Technology Hardware",D66="Trading Company",D66="IT Consulting"),1,
OR(D66="Cosmetics",D66="E-commerce &amp; Cloud Computing",D66="Electronics &amp; Entertainment",D66="Entertainment &amp; Media",D66="Luxury Goods",D66="Media &amp; Telecommunications",D66="Networking Technology",D66="Real Estate Services",D66="Technology &amp; Consumer Electronics",D66="Telecommunications",D66="Telecommunications &amp; Investment"),1,
OR(D66="Asset Management",D66="Banking",D66="Banking &amp; Asset Services",D66="Banking &amp; Financial Services",D66="Banking &amp; Wealth Management",D66="Cloud Software",D66="Enterprise Software",D66="Financial Services",D66="Information Technology Consulting",D66="Investment Banking",D66="Social Media &amp; Technology",D66="Software &amp; Cloud Computing",D66="Technology &amp; Consulting",D66="Technology &amp; Internet Services",D66="Technology &amp; Software"),1,
TRUE,"Unmapped"
)</f>
        <v>2</v>
      </c>
      <c r="H66" s="5">
        <v>2</v>
      </c>
      <c r="I66" s="5">
        <f>VLOOKUP(B66,'BIS + EDBA Final'!A:F,6,FALSE)</f>
        <v>-1</v>
      </c>
      <c r="J66" s="5">
        <f>VLOOKUP(B66,'CBG Final'!A:B,2,FALSE)</f>
        <v>3</v>
      </c>
      <c r="K66" s="9">
        <f t="shared" ref="K66:K129" si="1">0.3*F66+0.2*G66+0.2*H66+I66*0.1+J66*0.2</f>
        <v>1.9</v>
      </c>
      <c r="L66" s="5" t="s">
        <v>649</v>
      </c>
      <c r="M66" s="5" t="s">
        <v>53</v>
      </c>
      <c r="N66" s="5" t="s">
        <v>650</v>
      </c>
      <c r="O66" s="5"/>
      <c r="P66" s="5" t="s">
        <v>651</v>
      </c>
      <c r="Q66" s="5" t="s">
        <v>652</v>
      </c>
      <c r="R66" s="5" t="s">
        <v>20</v>
      </c>
      <c r="S66" s="10"/>
      <c r="T66" s="11"/>
      <c r="U66" s="11"/>
      <c r="V66" s="10"/>
      <c r="W66" s="10"/>
      <c r="X66" s="11"/>
      <c r="Y66" s="11"/>
      <c r="Z66" s="10"/>
      <c r="AA66" s="10"/>
      <c r="AB66" s="10"/>
      <c r="AC66" s="10"/>
      <c r="AD66" s="10"/>
      <c r="AE66" s="10"/>
      <c r="AF66" s="10"/>
      <c r="AG66" s="10"/>
      <c r="AH66" s="10"/>
    </row>
    <row r="67" spans="1:34" ht="15.75" customHeight="1">
      <c r="A67" s="5"/>
      <c r="B67" s="5" t="s">
        <v>908</v>
      </c>
      <c r="C67" s="6" t="s">
        <v>36</v>
      </c>
      <c r="D67" s="7" t="s">
        <v>86</v>
      </c>
      <c r="E67" s="8">
        <v>162000</v>
      </c>
      <c r="F67" s="6" cm="1">
        <f t="array" ref="F67">_xlfn.IFS(
E67&lt;=$E$245,0,
E67&lt;=$E$246,1,
E67&lt;=$E$247,2,
E67&gt;=$E$247,3)</f>
        <v>2</v>
      </c>
      <c r="G67" s="7" cm="1">
        <f t="array" ref="G67">_xlfn.IFS(
OR(D67="Aerospace",D67="Aerospace &amp; Defense",D67="Agricultural Equipment",D67="Airlines",D67="Automotive",D67="Automotive &amp; Energy",D67="Automotive Components",D67="Aviation",D67="Building Materials",D67="Chemicals",D67="Commercial Vehicles",D67="Conglomerate &amp; Defense",D67="Conglomerate &amp; Energy",D67="Construction",D67="Construction &amp; Infrastructure",D67="Construction &amp; Real Estate",D67="Construction &amp; Telecom",D67="Discount Retail",D67="Energy Management",D67="Energy Technology",D67="Engines &amp; Power Systems",D67="Environmental Services",D67="Food Distribution",D67="Food Services",D67="Grocery Retail",D67="Healthcare &amp; Pharmacy",D67="Home Improvement Retail",D67="Industrial Engineering &amp; Electronics",D67="Oilfield Services",D67="Pharmaceuticals",D67="Pharmaceuticals &amp; Chemicals",D67="Pharmaceuticals &amp; Healthcare",D67="Pharmacy Retail",D67="Postal &amp; Logistics",D67="Retail",D67="Retail &amp; Distribution",D67="Retail &amp; Grocery",D67="Retail (IKEA)",D67="Tobacco",D67="Trading &amp; Conglomerate",D67="Utilities",D67="Utilities &amp; Energy",D67="Wholesale Retail"),2,
OR(D67="Agribusiness",D67="Automotive &amp; Heavy Vehicles",D67="Chemicals",D67="Commercial Vehicles",D67="Construction",D67="Construction &amp; Infrastructure",D67="Engines &amp; Power Systems",D67="Food Processing",D67="Healthcare",D67="Healthcare &amp; Medical Devices",D67="Heavy Equipment",D67="Heavy Industry",D67="Industrial Gases",D67="Industrial Manufacturing",D67="Logistics",D67="Medical Devices",D67="Mining",D67="Mining &amp; Commodities Trading",D67="Oil &amp; Gas",D67="Oilfield Services",D67="Rail Transport",D67="Shipping &amp; Logistics",D67="Steel"),3,
OR(D67="Apparel &amp; Footwear",D67="Beverage",D67="Coffeehouse &amp; Retail",D67="Conglomerate",D67="Consumer Goods",D67="Convenience Retail",D67="Electronics",D67="Electronics &amp; Semiconductors",D67="Electronics Retail",D67="Fashion Retail",D67="Food &amp; Beverage",D67="Food Retail &amp; Consumer Goods",D67="Industrial &amp; Technology",D67="Industrial Automation",D67="Industrial Technology",D67="Postal &amp; Financial Services",D67="Postal Services",D67="Scientific Instruments",D67="Technology Hardware",D67="Trading Company",D67="IT Consulting"),1,
OR(D67="Cosmetics",D67="E-commerce &amp; Cloud Computing",D67="Electronics &amp; Entertainment",D67="Entertainment &amp; Media",D67="Luxury Goods",D67="Media &amp; Telecommunications",D67="Networking Technology",D67="Real Estate Services",D67="Technology &amp; Consumer Electronics",D67="Telecommunications",D67="Telecommunications &amp; Investment"),1,
OR(D67="Asset Management",D67="Banking",D67="Banking &amp; Asset Services",D67="Banking &amp; Financial Services",D67="Banking &amp; Wealth Management",D67="Cloud Software",D67="Enterprise Software",D67="Financial Services",D67="Information Technology Consulting",D67="Investment Banking",D67="Social Media &amp; Technology",D67="Software &amp; Cloud Computing",D67="Technology &amp; Consulting",D67="Technology &amp; Internet Services",D67="Technology &amp; Software"),1,
TRUE,"Unmapped"
)</f>
        <v>2</v>
      </c>
      <c r="H67" s="5">
        <v>2</v>
      </c>
      <c r="I67" s="5">
        <f>VLOOKUP(B67,'BIS + EDBA Final'!A:F,6,FALSE)</f>
        <v>-1</v>
      </c>
      <c r="J67" s="5">
        <f>VLOOKUP(B67,'CBG Final'!A:B,2,FALSE)</f>
        <v>3</v>
      </c>
      <c r="K67" s="9">
        <f t="shared" si="1"/>
        <v>1.9</v>
      </c>
      <c r="L67" s="5" t="s">
        <v>909</v>
      </c>
      <c r="M67" s="5" t="s">
        <v>32</v>
      </c>
      <c r="N67" s="5" t="s">
        <v>910</v>
      </c>
      <c r="O67" s="5" t="s">
        <v>911</v>
      </c>
      <c r="P67" s="5" t="s">
        <v>912</v>
      </c>
      <c r="Q67" s="5" t="s">
        <v>180</v>
      </c>
      <c r="R67" s="5" t="s">
        <v>20</v>
      </c>
      <c r="S67" s="10"/>
      <c r="T67" s="11"/>
      <c r="U67" s="11"/>
      <c r="V67" s="10"/>
      <c r="W67" s="10"/>
      <c r="X67" s="11"/>
      <c r="Y67" s="11"/>
      <c r="Z67" s="10"/>
      <c r="AA67" s="10"/>
      <c r="AB67" s="10"/>
      <c r="AC67" s="10"/>
      <c r="AD67" s="10"/>
      <c r="AE67" s="10"/>
      <c r="AF67" s="10"/>
      <c r="AG67" s="10"/>
      <c r="AH67" s="10"/>
    </row>
    <row r="68" spans="1:34" ht="15.75" customHeight="1">
      <c r="A68" s="5"/>
      <c r="B68" s="5" t="s">
        <v>1244</v>
      </c>
      <c r="C68" s="6" t="s">
        <v>71</v>
      </c>
      <c r="D68" s="7" t="s">
        <v>1245</v>
      </c>
      <c r="E68" s="8">
        <v>194956</v>
      </c>
      <c r="F68" s="6" cm="1">
        <f t="array" ref="F68">_xlfn.IFS(
E68&lt;=$E$245,0,
E68&lt;=$E$246,1,
E68&lt;=$E$247,2,
E68&gt;=$E$247,3)</f>
        <v>2</v>
      </c>
      <c r="G68" s="7" cm="1">
        <f t="array" ref="G68">_xlfn.IFS(
OR(D68="Aerospace",D68="Aerospace &amp; Defense",D68="Agricultural Equipment",D68="Airlines",D68="Automotive",D68="Automotive &amp; Energy",D68="Automotive Components",D68="Aviation",D68="Building Materials",D68="Chemicals",D68="Commercial Vehicles",D68="Conglomerate &amp; Defense",D68="Conglomerate &amp; Energy",D68="Construction",D68="Construction &amp; Infrastructure",D68="Construction &amp; Real Estate",D68="Construction &amp; Telecom",D68="Discount Retail",D68="Energy Management",D68="Energy Technology",D68="Engines &amp; Power Systems",D68="Environmental Services",D68="Food Distribution",D68="Food Services",D68="Grocery Retail",D68="Healthcare &amp; Pharmacy",D68="Home Improvement Retail",D68="Industrial Engineering &amp; Electronics",D68="Oilfield Services",D68="Pharmaceuticals",D68="Pharmaceuticals &amp; Chemicals",D68="Pharmaceuticals &amp; Healthcare",D68="Pharmacy Retail",D68="Postal &amp; Logistics",D68="Retail",D68="Retail &amp; Distribution",D68="Retail &amp; Grocery",D68="Retail (IKEA)",D68="Tobacco",D68="Trading &amp; Conglomerate",D68="Utilities",D68="Utilities &amp; Energy",D68="Wholesale Retail"),2,
OR(D68="Agribusiness",D68="Automotive &amp; Heavy Vehicles",D68="Chemicals",D68="Commercial Vehicles",D68="Construction",D68="Construction &amp; Infrastructure",D68="Engines &amp; Power Systems",D68="Food Processing",D68="Healthcare",D68="Healthcare &amp; Medical Devices",D68="Heavy Equipment",D68="Heavy Industry",D68="Industrial Gases",D68="Industrial Manufacturing",D68="Logistics",D68="Medical Devices",D68="Mining",D68="Mining &amp; Commodities Trading",D68="Oil &amp; Gas",D68="Oilfield Services",D68="Rail Transport",D68="Shipping &amp; Logistics",D68="Steel"),3,
OR(D68="Apparel &amp; Footwear",D68="Beverage",D68="Coffeehouse &amp; Retail",D68="Conglomerate",D68="Consumer Goods",D68="Convenience Retail",D68="Electronics",D68="Electronics &amp; Semiconductors",D68="Electronics Retail",D68="Fashion Retail",D68="Food &amp; Beverage",D68="Food Retail &amp; Consumer Goods",D68="Industrial &amp; Technology",D68="Industrial Automation",D68="Industrial Technology",D68="Postal &amp; Financial Services",D68="Postal Services",D68="Scientific Instruments",D68="Technology Hardware",D68="Trading Company",D68="IT Consulting"),1,
OR(D68="Cosmetics",D68="E-commerce &amp; Cloud Computing",D68="Electronics &amp; Entertainment",D68="Entertainment &amp; Media",D68="Luxury Goods",D68="Media &amp; Telecommunications",D68="Networking Technology",D68="Real Estate Services",D68="Technology &amp; Consumer Electronics",D68="Telecommunications",D68="Telecommunications &amp; Investment"),1,
OR(D68="Asset Management",D68="Banking",D68="Banking &amp; Asset Services",D68="Banking &amp; Financial Services",D68="Banking &amp; Wealth Management",D68="Cloud Software",D68="Enterprise Software",D68="Financial Services",D68="Information Technology Consulting",D68="Investment Banking",D68="Social Media &amp; Technology",D68="Software &amp; Cloud Computing",D68="Technology &amp; Consulting",D68="Technology &amp; Internet Services",D68="Technology &amp; Software"),1,
TRUE,"Unmapped"
)</f>
        <v>2</v>
      </c>
      <c r="H68" s="5">
        <v>2</v>
      </c>
      <c r="I68" s="5">
        <f>VLOOKUP(B68,'BIS + EDBA Final'!A:F,6,FALSE)</f>
        <v>1</v>
      </c>
      <c r="J68" s="5">
        <f>VLOOKUP(B68,'CBG Final'!A:B,2,FALSE)</f>
        <v>2</v>
      </c>
      <c r="K68" s="9">
        <f t="shared" si="1"/>
        <v>1.9</v>
      </c>
      <c r="L68" s="5" t="s">
        <v>1246</v>
      </c>
      <c r="M68" s="5" t="s">
        <v>494</v>
      </c>
      <c r="N68" s="5" t="s">
        <v>1247</v>
      </c>
      <c r="O68" s="5" t="s">
        <v>1248</v>
      </c>
      <c r="P68" s="5" t="s">
        <v>1249</v>
      </c>
      <c r="Q68" s="5" t="s">
        <v>33</v>
      </c>
      <c r="R68" s="5" t="s">
        <v>50</v>
      </c>
      <c r="S68" s="10"/>
      <c r="T68" s="11"/>
      <c r="U68" s="11"/>
      <c r="V68" s="10"/>
      <c r="W68" s="10"/>
      <c r="X68" s="11"/>
      <c r="Y68" s="11"/>
      <c r="Z68" s="10"/>
      <c r="AA68" s="10"/>
      <c r="AB68" s="10"/>
      <c r="AC68" s="10"/>
      <c r="AD68" s="10"/>
      <c r="AE68" s="10"/>
      <c r="AF68" s="10"/>
      <c r="AG68" s="10"/>
      <c r="AH68" s="10"/>
    </row>
    <row r="69" spans="1:34" ht="15.75" customHeight="1">
      <c r="A69" s="5"/>
      <c r="B69" s="5" t="s">
        <v>1043</v>
      </c>
      <c r="C69" s="6" t="s">
        <v>720</v>
      </c>
      <c r="D69" s="7" t="s">
        <v>285</v>
      </c>
      <c r="E69" s="8">
        <v>433000</v>
      </c>
      <c r="F69" s="6" cm="1">
        <f t="array" ref="F69">_xlfn.IFS(
E69&lt;=$E$245,0,
E69&lt;=$E$246,1,
E69&lt;=$E$247,2,
E69&gt;=$E$247,3)</f>
        <v>3</v>
      </c>
      <c r="G69" s="7" cm="1">
        <f t="array" ref="G69">_xlfn.IFS(
OR(D69="Aerospace",D69="Aerospace &amp; Defense",D69="Agricultural Equipment",D69="Airlines",D69="Automotive",D69="Automotive &amp; Energy",D69="Automotive Components",D69="Aviation",D69="Building Materials",D69="Chemicals",D69="Commercial Vehicles",D69="Conglomerate &amp; Defense",D69="Conglomerate &amp; Energy",D69="Construction",D69="Construction &amp; Infrastructure",D69="Construction &amp; Real Estate",D69="Construction &amp; Telecom",D69="Discount Retail",D69="Energy Management",D69="Energy Technology",D69="Engines &amp; Power Systems",D69="Environmental Services",D69="Food Distribution",D69="Food Services",D69="Grocery Retail",D69="Healthcare &amp; Pharmacy",D69="Home Improvement Retail",D69="Industrial Engineering &amp; Electronics",D69="Oilfield Services",D69="Pharmaceuticals",D69="Pharmaceuticals &amp; Chemicals",D69="Pharmaceuticals &amp; Healthcare",D69="Pharmacy Retail",D69="Postal &amp; Logistics",D69="Retail",D69="Retail &amp; Distribution",D69="Retail &amp; Grocery",D69="Retail (IKEA)",D69="Tobacco",D69="Trading &amp; Conglomerate",D69="Utilities",D69="Utilities &amp; Energy",D69="Wholesale Retail"),2,
OR(D69="Agribusiness",D69="Automotive &amp; Heavy Vehicles",D69="Chemicals",D69="Commercial Vehicles",D69="Construction",D69="Construction &amp; Infrastructure",D69="Engines &amp; Power Systems",D69="Food Processing",D69="Healthcare",D69="Healthcare &amp; Medical Devices",D69="Heavy Equipment",D69="Heavy Industry",D69="Industrial Gases",D69="Industrial Manufacturing",D69="Logistics",D69="Medical Devices",D69="Mining",D69="Mining &amp; Commodities Trading",D69="Oil &amp; Gas",D69="Oilfield Services",D69="Rail Transport",D69="Shipping &amp; Logistics",D69="Steel"),3,
OR(D69="Apparel &amp; Footwear",D69="Beverage",D69="Coffeehouse &amp; Retail",D69="Conglomerate",D69="Consumer Goods",D69="Convenience Retail",D69="Electronics",D69="Electronics &amp; Semiconductors",D69="Electronics Retail",D69="Fashion Retail",D69="Food &amp; Beverage",D69="Food Retail &amp; Consumer Goods",D69="Industrial &amp; Technology",D69="Industrial Automation",D69="Industrial Technology",D69="Postal &amp; Financial Services",D69="Postal Services",D69="Scientific Instruments",D69="Technology Hardware",D69="Trading Company",D69="IT Consulting"),1,
OR(D69="Cosmetics",D69="E-commerce &amp; Cloud Computing",D69="Electronics &amp; Entertainment",D69="Entertainment &amp; Media",D69="Luxury Goods",D69="Media &amp; Telecommunications",D69="Networking Technology",D69="Real Estate Services",D69="Technology &amp; Consumer Electronics",D69="Telecommunications",D69="Telecommunications &amp; Investment"),1,
OR(D69="Asset Management",D69="Banking",D69="Banking &amp; Asset Services",D69="Banking &amp; Financial Services",D69="Banking &amp; Wealth Management",D69="Cloud Software",D69="Enterprise Software",D69="Financial Services",D69="Information Technology Consulting",D69="Investment Banking",D69="Social Media &amp; Technology",D69="Software &amp; Cloud Computing",D69="Technology &amp; Consulting",D69="Technology &amp; Internet Services",D69="Technology &amp; Software"),1,
TRUE,"Unmapped"
)</f>
        <v>1</v>
      </c>
      <c r="H69" s="5">
        <v>1</v>
      </c>
      <c r="I69" s="5">
        <f>VLOOKUP(B69,'BIS + EDBA Final'!A:F,6,FALSE)</f>
        <v>0</v>
      </c>
      <c r="J69" s="5">
        <f>VLOOKUP(B69,'CBG Final'!A:B,2,FALSE)</f>
        <v>3</v>
      </c>
      <c r="K69" s="9">
        <f t="shared" si="1"/>
        <v>1.9</v>
      </c>
      <c r="L69" s="5" t="s">
        <v>1044</v>
      </c>
      <c r="M69" s="5" t="s">
        <v>191</v>
      </c>
      <c r="N69" s="5" t="s">
        <v>1045</v>
      </c>
      <c r="O69" s="5" t="s">
        <v>1046</v>
      </c>
      <c r="P69" s="5" t="s">
        <v>1047</v>
      </c>
      <c r="Q69" s="5" t="s">
        <v>668</v>
      </c>
      <c r="R69" s="5" t="s">
        <v>118</v>
      </c>
      <c r="S69" s="10"/>
      <c r="T69" s="11"/>
      <c r="U69" s="11"/>
      <c r="V69" s="10"/>
      <c r="W69" s="10"/>
      <c r="X69" s="10"/>
      <c r="Y69" s="10"/>
      <c r="Z69" s="10"/>
      <c r="AA69" s="10"/>
      <c r="AB69" s="10"/>
      <c r="AC69" s="10"/>
      <c r="AD69" s="10"/>
      <c r="AE69" s="10"/>
      <c r="AF69" s="10"/>
      <c r="AG69" s="10"/>
      <c r="AH69" s="10"/>
    </row>
    <row r="70" spans="1:34" ht="15.75" customHeight="1">
      <c r="A70" s="5"/>
      <c r="B70" s="5" t="s">
        <v>93</v>
      </c>
      <c r="C70" s="6" t="s">
        <v>94</v>
      </c>
      <c r="D70" s="7" t="s">
        <v>84</v>
      </c>
      <c r="E70" s="8">
        <v>100500</v>
      </c>
      <c r="F70" s="6" cm="1">
        <f t="array" ref="F70">_xlfn.IFS(
E70&lt;=$E$245,0,
E70&lt;=$E$246,1,
E70&lt;=$E$247,2,
E70&gt;=$E$247,3)</f>
        <v>1</v>
      </c>
      <c r="G70" s="7" cm="1">
        <f t="array" ref="G70">_xlfn.IFS(
OR(D70="Aerospace",D70="Aerospace &amp; Defense",D70="Agricultural Equipment",D70="Airlines",D70="Automotive",D70="Automotive &amp; Energy",D70="Automotive Components",D70="Aviation",D70="Building Materials",D70="Chemicals",D70="Commercial Vehicles",D70="Conglomerate &amp; Defense",D70="Conglomerate &amp; Energy",D70="Construction",D70="Construction &amp; Infrastructure",D70="Construction &amp; Real Estate",D70="Construction &amp; Telecom",D70="Discount Retail",D70="Energy Management",D70="Energy Technology",D70="Engines &amp; Power Systems",D70="Environmental Services",D70="Food Distribution",D70="Food Services",D70="Grocery Retail",D70="Healthcare &amp; Pharmacy",D70="Home Improvement Retail",D70="Industrial Engineering &amp; Electronics",D70="Oilfield Services",D70="Pharmaceuticals",D70="Pharmaceuticals &amp; Chemicals",D70="Pharmaceuticals &amp; Healthcare",D70="Pharmacy Retail",D70="Postal &amp; Logistics",D70="Retail",D70="Retail &amp; Distribution",D70="Retail &amp; Grocery",D70="Retail (IKEA)",D70="Tobacco",D70="Trading &amp; Conglomerate",D70="Utilities",D70="Utilities &amp; Energy",D70="Wholesale Retail"),2,
OR(D70="Agribusiness",D70="Automotive &amp; Heavy Vehicles",D70="Chemicals",D70="Commercial Vehicles",D70="Construction",D70="Construction &amp; Infrastructure",D70="Engines &amp; Power Systems",D70="Food Processing",D70="Healthcare",D70="Healthcare &amp; Medical Devices",D70="Heavy Equipment",D70="Heavy Industry",D70="Industrial Gases",D70="Industrial Manufacturing",D70="Logistics",D70="Medical Devices",D70="Mining",D70="Mining &amp; Commodities Trading",D70="Oil &amp; Gas",D70="Oilfield Services",D70="Rail Transport",D70="Shipping &amp; Logistics",D70="Steel"),3,
OR(D70="Apparel &amp; Footwear",D70="Beverage",D70="Coffeehouse &amp; Retail",D70="Conglomerate",D70="Consumer Goods",D70="Convenience Retail",D70="Electronics",D70="Electronics &amp; Semiconductors",D70="Electronics Retail",D70="Fashion Retail",D70="Food &amp; Beverage",D70="Food Retail &amp; Consumer Goods",D70="Industrial &amp; Technology",D70="Industrial Automation",D70="Industrial Technology",D70="Postal &amp; Financial Services",D70="Postal Services",D70="Scientific Instruments",D70="Technology Hardware",D70="Trading Company",D70="IT Consulting"),1,
OR(D70="Cosmetics",D70="E-commerce &amp; Cloud Computing",D70="Electronics &amp; Entertainment",D70="Entertainment &amp; Media",D70="Luxury Goods",D70="Media &amp; Telecommunications",D70="Networking Technology",D70="Real Estate Services",D70="Technology &amp; Consumer Electronics",D70="Telecommunications",D70="Telecommunications &amp; Investment"),1,
OR(D70="Asset Management",D70="Banking",D70="Banking &amp; Asset Services",D70="Banking &amp; Financial Services",D70="Banking &amp; Wealth Management",D70="Cloud Software",D70="Enterprise Software",D70="Financial Services",D70="Information Technology Consulting",D70="Investment Banking",D70="Social Media &amp; Technology",D70="Software &amp; Cloud Computing",D70="Technology &amp; Consulting",D70="Technology &amp; Internet Services",D70="Technology &amp; Software"),1,
TRUE,"Unmapped"
)</f>
        <v>3</v>
      </c>
      <c r="H70" s="5">
        <f>VLOOKUP(B70,'BIS + EDBA Final'!A:K,2,FALSE)</f>
        <v>2</v>
      </c>
      <c r="I70" s="5">
        <f>VLOOKUP(B70,'BIS + EDBA Final'!A:F,6,FALSE)</f>
        <v>-1</v>
      </c>
      <c r="J70" s="5">
        <f>VLOOKUP(B70,'CBG Final'!A:B,2,FALSE)</f>
        <v>3</v>
      </c>
      <c r="K70" s="9">
        <f t="shared" si="1"/>
        <v>1.8000000000000003</v>
      </c>
      <c r="L70" s="5" t="s">
        <v>95</v>
      </c>
      <c r="M70" s="5" t="s">
        <v>96</v>
      </c>
      <c r="N70" s="5" t="s">
        <v>97</v>
      </c>
      <c r="O70" s="5" t="s">
        <v>98</v>
      </c>
      <c r="P70" s="5" t="s">
        <v>99</v>
      </c>
      <c r="Q70" s="5" t="s">
        <v>92</v>
      </c>
      <c r="R70" s="5" t="s">
        <v>20</v>
      </c>
      <c r="S70" s="10"/>
      <c r="T70" s="11"/>
      <c r="U70" s="11"/>
      <c r="V70" s="10"/>
      <c r="W70" s="10"/>
      <c r="X70" s="11"/>
      <c r="Y70" s="11"/>
      <c r="Z70" s="10"/>
      <c r="AA70" s="10"/>
      <c r="AB70" s="10"/>
      <c r="AC70" s="10"/>
      <c r="AD70" s="10"/>
      <c r="AE70" s="10"/>
      <c r="AF70" s="10"/>
      <c r="AG70" s="10"/>
      <c r="AH70" s="10"/>
    </row>
    <row r="71" spans="1:34" ht="15.75" customHeight="1">
      <c r="A71" s="5"/>
      <c r="B71" s="5" t="s">
        <v>121</v>
      </c>
      <c r="C71" s="6" t="s">
        <v>122</v>
      </c>
      <c r="D71" s="7" t="s">
        <v>123</v>
      </c>
      <c r="E71" s="8">
        <v>95000</v>
      </c>
      <c r="F71" s="6" cm="1">
        <f t="array" ref="F71">_xlfn.IFS(
E71&lt;=$E$245,0,
E71&lt;=$E$246,1,
E71&lt;=$E$247,2,
E71&gt;=$E$247,3)</f>
        <v>1</v>
      </c>
      <c r="G71" s="7" cm="1">
        <f t="array" ref="G71">_xlfn.IFS(
OR(D71="Aerospace",D71="Aerospace &amp; Defense",D71="Agricultural Equipment",D71="Airlines",D71="Automotive",D71="Automotive &amp; Energy",D71="Automotive Components",D71="Aviation",D71="Building Materials",D71="Chemicals",D71="Commercial Vehicles",D71="Conglomerate &amp; Defense",D71="Conglomerate &amp; Energy",D71="Construction",D71="Construction &amp; Infrastructure",D71="Construction &amp; Real Estate",D71="Construction &amp; Telecom",D71="Discount Retail",D71="Energy Management",D71="Energy Technology",D71="Engines &amp; Power Systems",D71="Environmental Services",D71="Food Distribution",D71="Food Services",D71="Grocery Retail",D71="Healthcare &amp; Pharmacy",D71="Home Improvement Retail",D71="Industrial Engineering &amp; Electronics",D71="Oilfield Services",D71="Pharmaceuticals",D71="Pharmaceuticals &amp; Chemicals",D71="Pharmaceuticals &amp; Healthcare",D71="Pharmacy Retail",D71="Postal &amp; Logistics",D71="Retail",D71="Retail &amp; Distribution",D71="Retail &amp; Grocery",D71="Retail (IKEA)",D71="Tobacco",D71="Trading &amp; Conglomerate",D71="Utilities",D71="Utilities &amp; Energy",D71="Wholesale Retail"),2,
OR(D71="Agribusiness",D71="Automotive &amp; Heavy Vehicles",D71="Chemicals",D71="Commercial Vehicles",D71="Construction",D71="Construction &amp; Infrastructure",D71="Engines &amp; Power Systems",D71="Food Processing",D71="Healthcare",D71="Healthcare &amp; Medical Devices",D71="Heavy Equipment",D71="Heavy Industry",D71="Industrial Gases",D71="Industrial Manufacturing",D71="Logistics",D71="Medical Devices",D71="Mining",D71="Mining &amp; Commodities Trading",D71="Oil &amp; Gas",D71="Oilfield Services",D71="Rail Transport",D71="Shipping &amp; Logistics",D71="Steel"),3,
OR(D71="Apparel &amp; Footwear",D71="Beverage",D71="Coffeehouse &amp; Retail",D71="Conglomerate",D71="Consumer Goods",D71="Convenience Retail",D71="Electronics",D71="Electronics &amp; Semiconductors",D71="Electronics Retail",D71="Fashion Retail",D71="Food &amp; Beverage",D71="Food Retail &amp; Consumer Goods",D71="Industrial &amp; Technology",D71="Industrial Automation",D71="Industrial Technology",D71="Postal &amp; Financial Services",D71="Postal Services",D71="Scientific Instruments",D71="Technology Hardware",D71="Trading Company",D71="IT Consulting"),1,
OR(D71="Cosmetics",D71="E-commerce &amp; Cloud Computing",D71="Electronics &amp; Entertainment",D71="Entertainment &amp; Media",D71="Luxury Goods",D71="Media &amp; Telecommunications",D71="Networking Technology",D71="Real Estate Services",D71="Technology &amp; Consumer Electronics",D71="Telecommunications",D71="Telecommunications &amp; Investment"),1,
OR(D71="Asset Management",D71="Banking",D71="Banking &amp; Asset Services",D71="Banking &amp; Financial Services",D71="Banking &amp; Wealth Management",D71="Cloud Software",D71="Enterprise Software",D71="Financial Services",D71="Information Technology Consulting",D71="Investment Banking",D71="Social Media &amp; Technology",D71="Software &amp; Cloud Computing",D71="Technology &amp; Consulting",D71="Technology &amp; Internet Services",D71="Technology &amp; Software"),1,
TRUE,"Unmapped"
)</f>
        <v>3</v>
      </c>
      <c r="H71" s="5">
        <f>VLOOKUP(B71,'BIS + EDBA Final'!A:K,2,FALSE)</f>
        <v>1</v>
      </c>
      <c r="I71" s="5">
        <f>VLOOKUP(B71,'BIS + EDBA Final'!A:F,6,FALSE)</f>
        <v>1</v>
      </c>
      <c r="J71" s="5">
        <f>VLOOKUP(B71,'CBG Final'!A:B,2,FALSE)</f>
        <v>3</v>
      </c>
      <c r="K71" s="9">
        <f t="shared" si="1"/>
        <v>1.8000000000000003</v>
      </c>
      <c r="L71" s="5" t="s">
        <v>124</v>
      </c>
      <c r="M71" s="5" t="s">
        <v>125</v>
      </c>
      <c r="N71" s="5" t="s">
        <v>126</v>
      </c>
      <c r="O71" s="5" t="s">
        <v>48</v>
      </c>
      <c r="P71" s="5" t="s">
        <v>127</v>
      </c>
      <c r="Q71" s="5" t="s">
        <v>33</v>
      </c>
      <c r="R71" s="5" t="s">
        <v>128</v>
      </c>
      <c r="S71" s="10"/>
      <c r="T71" s="11"/>
      <c r="U71" s="11"/>
      <c r="V71" s="10"/>
      <c r="W71" s="10"/>
      <c r="X71" s="10"/>
      <c r="Y71" s="10"/>
      <c r="Z71" s="10"/>
      <c r="AA71" s="10"/>
      <c r="AB71" s="10"/>
      <c r="AC71" s="10"/>
      <c r="AD71" s="10"/>
      <c r="AE71" s="10"/>
      <c r="AF71" s="10"/>
      <c r="AG71" s="10"/>
      <c r="AH71" s="10"/>
    </row>
    <row r="72" spans="1:34" ht="15.75" customHeight="1">
      <c r="A72" s="5"/>
      <c r="B72" s="5" t="s">
        <v>202</v>
      </c>
      <c r="C72" s="6" t="s">
        <v>203</v>
      </c>
      <c r="D72" s="7" t="s">
        <v>204</v>
      </c>
      <c r="E72" s="8">
        <v>125416</v>
      </c>
      <c r="F72" s="6" cm="1">
        <f t="array" ref="F72">_xlfn.IFS(
E72&lt;=$E$245,0,
E72&lt;=$E$246,1,
E72&lt;=$E$247,2,
E72&gt;=$E$247,3)</f>
        <v>2</v>
      </c>
      <c r="G72" s="7" cm="1">
        <f t="array" ref="G72">_xlfn.IFS(
OR(D72="Aerospace",D72="Aerospace &amp; Defense",D72="Agricultural Equipment",D72="Airlines",D72="Automotive",D72="Automotive &amp; Energy",D72="Automotive Components",D72="Aviation",D72="Building Materials",D72="Chemicals",D72="Commercial Vehicles",D72="Conglomerate &amp; Defense",D72="Conglomerate &amp; Energy",D72="Construction",D72="Construction &amp; Infrastructure",D72="Construction &amp; Real Estate",D72="Construction &amp; Telecom",D72="Discount Retail",D72="Energy Management",D72="Energy Technology",D72="Engines &amp; Power Systems",D72="Environmental Services",D72="Food Distribution",D72="Food Services",D72="Grocery Retail",D72="Healthcare &amp; Pharmacy",D72="Home Improvement Retail",D72="Industrial Engineering &amp; Electronics",D72="Oilfield Services",D72="Pharmaceuticals",D72="Pharmaceuticals &amp; Chemicals",D72="Pharmaceuticals &amp; Healthcare",D72="Pharmacy Retail",D72="Postal &amp; Logistics",D72="Retail",D72="Retail &amp; Distribution",D72="Retail &amp; Grocery",D72="Retail (IKEA)",D72="Tobacco",D72="Trading &amp; Conglomerate",D72="Utilities",D72="Utilities &amp; Energy",D72="Wholesale Retail"),2,
OR(D72="Agribusiness",D72="Automotive &amp; Heavy Vehicles",D72="Chemicals",D72="Commercial Vehicles",D72="Construction",D72="Construction &amp; Infrastructure",D72="Engines &amp; Power Systems",D72="Food Processing",D72="Healthcare",D72="Healthcare &amp; Medical Devices",D72="Heavy Equipment",D72="Heavy Industry",D72="Industrial Gases",D72="Industrial Manufacturing",D72="Logistics",D72="Medical Devices",D72="Mining",D72="Mining &amp; Commodities Trading",D72="Oil &amp; Gas",D72="Oilfield Services",D72="Rail Transport",D72="Shipping &amp; Logistics",D72="Steel"),3,
OR(D72="Apparel &amp; Footwear",D72="Beverage",D72="Coffeehouse &amp; Retail",D72="Conglomerate",D72="Consumer Goods",D72="Convenience Retail",D72="Electronics",D72="Electronics &amp; Semiconductors",D72="Electronics Retail",D72="Fashion Retail",D72="Food &amp; Beverage",D72="Food Retail &amp; Consumer Goods",D72="Industrial &amp; Technology",D72="Industrial Automation",D72="Industrial Technology",D72="Postal &amp; Financial Services",D72="Postal Services",D72="Scientific Instruments",D72="Technology Hardware",D72="Trading Company",D72="IT Consulting"),1,
OR(D72="Cosmetics",D72="E-commerce &amp; Cloud Computing",D72="Electronics &amp; Entertainment",D72="Entertainment &amp; Media",D72="Luxury Goods",D72="Media &amp; Telecommunications",D72="Networking Technology",D72="Real Estate Services",D72="Technology &amp; Consumer Electronics",D72="Telecommunications",D72="Telecommunications &amp; Investment"),1,
OR(D72="Asset Management",D72="Banking",D72="Banking &amp; Asset Services",D72="Banking &amp; Financial Services",D72="Banking &amp; Wealth Management",D72="Cloud Software",D72="Enterprise Software",D72="Financial Services",D72="Information Technology Consulting",D72="Investment Banking",D72="Social Media &amp; Technology",D72="Software &amp; Cloud Computing",D72="Technology &amp; Consulting",D72="Technology &amp; Internet Services",D72="Technology &amp; Software"),1,
TRUE,"Unmapped"
)</f>
        <v>3</v>
      </c>
      <c r="H72" s="5">
        <f>VLOOKUP(B72,'BIS + EDBA Final'!A:K,2,FALSE)</f>
        <v>1</v>
      </c>
      <c r="I72" s="5">
        <f>VLOOKUP(B72,'BIS + EDBA Final'!A:F,6,FALSE)</f>
        <v>0</v>
      </c>
      <c r="J72" s="5">
        <f>VLOOKUP(B72,'CBG Final'!A:B,2,FALSE)</f>
        <v>2</v>
      </c>
      <c r="K72" s="9">
        <f t="shared" si="1"/>
        <v>1.8000000000000003</v>
      </c>
      <c r="L72" s="5" t="s">
        <v>205</v>
      </c>
      <c r="M72" s="5" t="s">
        <v>206</v>
      </c>
      <c r="N72" s="5" t="s">
        <v>207</v>
      </c>
      <c r="O72" s="5" t="s">
        <v>208</v>
      </c>
      <c r="P72" s="5" t="s">
        <v>209</v>
      </c>
      <c r="Q72" s="5" t="s">
        <v>210</v>
      </c>
      <c r="R72" s="5" t="s">
        <v>167</v>
      </c>
      <c r="S72" s="10"/>
      <c r="T72" s="11"/>
      <c r="U72" s="11"/>
      <c r="V72" s="10"/>
      <c r="W72" s="10"/>
      <c r="X72" s="11"/>
      <c r="Y72" s="11"/>
      <c r="Z72" s="10"/>
      <c r="AA72" s="10"/>
      <c r="AB72" s="10"/>
      <c r="AC72" s="10"/>
      <c r="AD72" s="10"/>
      <c r="AE72" s="10"/>
      <c r="AF72" s="10"/>
      <c r="AG72" s="10"/>
      <c r="AH72" s="10"/>
    </row>
    <row r="73" spans="1:34" ht="15.75" customHeight="1">
      <c r="A73" s="5"/>
      <c r="B73" s="5" t="s">
        <v>1293</v>
      </c>
      <c r="C73" s="6" t="s">
        <v>36</v>
      </c>
      <c r="D73" s="7" t="s">
        <v>1294</v>
      </c>
      <c r="E73" s="8">
        <v>110000</v>
      </c>
      <c r="F73" s="6" cm="1">
        <f t="array" ref="F73">_xlfn.IFS(
E73&lt;=$E$245,0,
E73&lt;=$E$246,1,
E73&lt;=$E$247,2,
E73&gt;=$E$247,3)</f>
        <v>1</v>
      </c>
      <c r="G73" s="7" cm="1">
        <f t="array" ref="G73">_xlfn.IFS(
OR(D73="Aerospace",D73="Aerospace &amp; Defense",D73="Agricultural Equipment",D73="Airlines",D73="Automotive",D73="Automotive &amp; Energy",D73="Automotive Components",D73="Aviation",D73="Building Materials",D73="Chemicals",D73="Commercial Vehicles",D73="Conglomerate &amp; Defense",D73="Conglomerate &amp; Energy",D73="Construction",D73="Construction &amp; Infrastructure",D73="Construction &amp; Real Estate",D73="Construction &amp; Telecom",D73="Discount Retail",D73="Energy Management",D73="Energy Technology",D73="Engines &amp; Power Systems",D73="Environmental Services",D73="Food Distribution",D73="Food Services",D73="Grocery Retail",D73="Healthcare &amp; Pharmacy",D73="Home Improvement Retail",D73="Industrial Engineering &amp; Electronics",D73="Oilfield Services",D73="Pharmaceuticals",D73="Pharmaceuticals &amp; Chemicals",D73="Pharmaceuticals &amp; Healthcare",D73="Pharmacy Retail",D73="Postal &amp; Logistics",D73="Retail",D73="Retail &amp; Distribution",D73="Retail &amp; Grocery",D73="Retail (IKEA)",D73="Tobacco",D73="Trading &amp; Conglomerate",D73="Utilities",D73="Utilities &amp; Energy",D73="Wholesale Retail"),2,
OR(D73="Agribusiness",D73="Automotive &amp; Heavy Vehicles",D73="Chemicals",D73="Commercial Vehicles",D73="Construction",D73="Construction &amp; Infrastructure",D73="Engines &amp; Power Systems",D73="Food Processing",D73="Healthcare",D73="Healthcare &amp; Medical Devices",D73="Heavy Equipment",D73="Heavy Industry",D73="Industrial Gases",D73="Industrial Manufacturing",D73="Logistics",D73="Medical Devices",D73="Mining",D73="Mining &amp; Commodities Trading",D73="Oil &amp; Gas",D73="Oilfield Services",D73="Rail Transport",D73="Shipping &amp; Logistics",D73="Steel"),3,
OR(D73="Apparel &amp; Footwear",D73="Beverage",D73="Coffeehouse &amp; Retail",D73="Conglomerate",D73="Consumer Goods",D73="Convenience Retail",D73="Electronics",D73="Electronics &amp; Semiconductors",D73="Electronics Retail",D73="Fashion Retail",D73="Food &amp; Beverage",D73="Food Retail &amp; Consumer Goods",D73="Industrial &amp; Technology",D73="Industrial Automation",D73="Industrial Technology",D73="Postal &amp; Financial Services",D73="Postal Services",D73="Scientific Instruments",D73="Technology Hardware",D73="Trading Company",D73="IT Consulting"),1,
OR(D73="Cosmetics",D73="E-commerce &amp; Cloud Computing",D73="Electronics &amp; Entertainment",D73="Entertainment &amp; Media",D73="Luxury Goods",D73="Media &amp; Telecommunications",D73="Networking Technology",D73="Real Estate Services",D73="Technology &amp; Consumer Electronics",D73="Telecommunications",D73="Telecommunications &amp; Investment"),1,
OR(D73="Asset Management",D73="Banking",D73="Banking &amp; Asset Services",D73="Banking &amp; Financial Services",D73="Banking &amp; Wealth Management",D73="Cloud Software",D73="Enterprise Software",D73="Financial Services",D73="Information Technology Consulting",D73="Investment Banking",D73="Social Media &amp; Technology",D73="Software &amp; Cloud Computing",D73="Technology &amp; Consulting",D73="Technology &amp; Internet Services",D73="Technology &amp; Software"),1,
TRUE,"Unmapped"
)</f>
        <v>2</v>
      </c>
      <c r="H73" s="5">
        <v>2</v>
      </c>
      <c r="I73" s="5">
        <f>VLOOKUP(B73,'BIS + EDBA Final'!A:F,6,FALSE)</f>
        <v>1</v>
      </c>
      <c r="J73" s="5">
        <f>VLOOKUP(B73,'CBG Final'!A:B,2,FALSE)</f>
        <v>3</v>
      </c>
      <c r="K73" s="9">
        <f t="shared" si="1"/>
        <v>1.8000000000000003</v>
      </c>
      <c r="L73" s="5" t="s">
        <v>1295</v>
      </c>
      <c r="M73" s="5" t="s">
        <v>1296</v>
      </c>
      <c r="N73" s="5" t="s">
        <v>1297</v>
      </c>
      <c r="O73" s="5" t="s">
        <v>164</v>
      </c>
      <c r="P73" s="5" t="s">
        <v>1298</v>
      </c>
      <c r="Q73" s="5" t="s">
        <v>1052</v>
      </c>
      <c r="R73" s="5" t="s">
        <v>30</v>
      </c>
      <c r="S73" s="10"/>
      <c r="T73" s="11"/>
      <c r="U73" s="11"/>
      <c r="V73" s="10"/>
      <c r="W73" s="10"/>
      <c r="X73" s="10"/>
      <c r="Y73" s="10"/>
      <c r="Z73" s="10"/>
      <c r="AA73" s="10"/>
      <c r="AB73" s="10"/>
      <c r="AC73" s="10"/>
      <c r="AD73" s="10"/>
      <c r="AE73" s="10"/>
      <c r="AF73" s="10"/>
      <c r="AG73" s="10"/>
      <c r="AH73" s="10"/>
    </row>
    <row r="74" spans="1:34" ht="15.75" customHeight="1">
      <c r="A74" s="5"/>
      <c r="B74" s="5" t="s">
        <v>1255</v>
      </c>
      <c r="C74" s="6" t="s">
        <v>12</v>
      </c>
      <c r="D74" s="7" t="s">
        <v>483</v>
      </c>
      <c r="E74" s="8">
        <v>103249</v>
      </c>
      <c r="F74" s="6" cm="1">
        <f t="array" ref="F74">_xlfn.IFS(
E74&lt;=$E$245,0,
E74&lt;=$E$246,1,
E74&lt;=$E$247,2,
E74&gt;=$E$247,3)</f>
        <v>1</v>
      </c>
      <c r="G74" s="7" cm="1">
        <f t="array" ref="G74">_xlfn.IFS(
OR(D74="Aerospace",D74="Aerospace &amp; Defense",D74="Agricultural Equipment",D74="Airlines",D74="Automotive",D74="Automotive &amp; Energy",D74="Automotive Components",D74="Aviation",D74="Building Materials",D74="Chemicals",D74="Commercial Vehicles",D74="Conglomerate &amp; Defense",D74="Conglomerate &amp; Energy",D74="Construction",D74="Construction &amp; Infrastructure",D74="Construction &amp; Real Estate",D74="Construction &amp; Telecom",D74="Discount Retail",D74="Energy Management",D74="Energy Technology",D74="Engines &amp; Power Systems",D74="Environmental Services",D74="Food Distribution",D74="Food Services",D74="Grocery Retail",D74="Healthcare &amp; Pharmacy",D74="Home Improvement Retail",D74="Industrial Engineering &amp; Electronics",D74="Oilfield Services",D74="Pharmaceuticals",D74="Pharmaceuticals &amp; Chemicals",D74="Pharmaceuticals &amp; Healthcare",D74="Pharmacy Retail",D74="Postal &amp; Logistics",D74="Retail",D74="Retail &amp; Distribution",D74="Retail &amp; Grocery",D74="Retail (IKEA)",D74="Tobacco",D74="Trading &amp; Conglomerate",D74="Utilities",D74="Utilities &amp; Energy",D74="Wholesale Retail"),2,
OR(D74="Agribusiness",D74="Automotive &amp; Heavy Vehicles",D74="Chemicals",D74="Commercial Vehicles",D74="Construction",D74="Construction &amp; Infrastructure",D74="Engines &amp; Power Systems",D74="Food Processing",D74="Healthcare",D74="Healthcare &amp; Medical Devices",D74="Heavy Equipment",D74="Heavy Industry",D74="Industrial Gases",D74="Industrial Manufacturing",D74="Logistics",D74="Medical Devices",D74="Mining",D74="Mining &amp; Commodities Trading",D74="Oil &amp; Gas",D74="Oilfield Services",D74="Rail Transport",D74="Shipping &amp; Logistics",D74="Steel"),3,
OR(D74="Apparel &amp; Footwear",D74="Beverage",D74="Coffeehouse &amp; Retail",D74="Conglomerate",D74="Consumer Goods",D74="Convenience Retail",D74="Electronics",D74="Electronics &amp; Semiconductors",D74="Electronics Retail",D74="Fashion Retail",D74="Food &amp; Beverage",D74="Food Retail &amp; Consumer Goods",D74="Industrial &amp; Technology",D74="Industrial Automation",D74="Industrial Technology",D74="Postal &amp; Financial Services",D74="Postal Services",D74="Scientific Instruments",D74="Technology Hardware",D74="Trading Company",D74="IT Consulting"),1,
OR(D74="Cosmetics",D74="E-commerce &amp; Cloud Computing",D74="Electronics &amp; Entertainment",D74="Entertainment &amp; Media",D74="Luxury Goods",D74="Media &amp; Telecommunications",D74="Networking Technology",D74="Real Estate Services",D74="Technology &amp; Consumer Electronics",D74="Telecommunications",D74="Telecommunications &amp; Investment"),1,
OR(D74="Asset Management",D74="Banking",D74="Banking &amp; Asset Services",D74="Banking &amp; Financial Services",D74="Banking &amp; Wealth Management",D74="Cloud Software",D74="Enterprise Software",D74="Financial Services",D74="Information Technology Consulting",D74="Investment Banking",D74="Social Media &amp; Technology",D74="Software &amp; Cloud Computing",D74="Technology &amp; Consulting",D74="Technology &amp; Internet Services",D74="Technology &amp; Software"),1,
TRUE,"Unmapped"
)</f>
        <v>2</v>
      </c>
      <c r="H74" s="5">
        <v>2</v>
      </c>
      <c r="I74" s="5">
        <f>VLOOKUP(B74,'BIS + EDBA Final'!A:F,6,FALSE)</f>
        <v>1</v>
      </c>
      <c r="J74" s="5">
        <f>VLOOKUP(B74,'CBG Final'!A:B,2,FALSE)</f>
        <v>3</v>
      </c>
      <c r="K74" s="9">
        <f t="shared" si="1"/>
        <v>1.8000000000000003</v>
      </c>
      <c r="L74" s="5" t="s">
        <v>1256</v>
      </c>
      <c r="M74" s="5" t="s">
        <v>49</v>
      </c>
      <c r="N74" s="5" t="s">
        <v>1257</v>
      </c>
      <c r="O74" s="5" t="s">
        <v>1258</v>
      </c>
      <c r="P74" s="5" t="s">
        <v>1259</v>
      </c>
      <c r="Q74" s="5" t="s">
        <v>46</v>
      </c>
      <c r="R74" s="5" t="s">
        <v>20</v>
      </c>
      <c r="S74" s="10"/>
      <c r="T74" s="11"/>
      <c r="U74" s="11"/>
      <c r="V74" s="10"/>
      <c r="W74" s="10"/>
      <c r="X74" s="11"/>
      <c r="Y74" s="11"/>
      <c r="Z74" s="10"/>
      <c r="AA74" s="10"/>
      <c r="AB74" s="10"/>
      <c r="AC74" s="10"/>
      <c r="AD74" s="10"/>
      <c r="AE74" s="10"/>
      <c r="AF74" s="10"/>
      <c r="AG74" s="10"/>
      <c r="AH74" s="10"/>
    </row>
    <row r="75" spans="1:34" ht="15.75" customHeight="1">
      <c r="A75" s="5"/>
      <c r="B75" s="5" t="s">
        <v>584</v>
      </c>
      <c r="C75" s="6" t="s">
        <v>94</v>
      </c>
      <c r="D75" s="7" t="s">
        <v>585</v>
      </c>
      <c r="E75" s="8">
        <v>120040</v>
      </c>
      <c r="F75" s="6" cm="1">
        <f t="array" ref="F75">_xlfn.IFS(
E75&lt;=$E$245,0,
E75&lt;=$E$246,1,
E75&lt;=$E$247,2,
E75&gt;=$E$247,3)</f>
        <v>2</v>
      </c>
      <c r="G75" s="7" cm="1">
        <f t="array" ref="G75">_xlfn.IFS(
OR(D75="Aerospace",D75="Aerospace &amp; Defense",D75="Agricultural Equipment",D75="Airlines",D75="Automotive",D75="Automotive &amp; Energy",D75="Automotive Components",D75="Aviation",D75="Building Materials",D75="Chemicals",D75="Commercial Vehicles",D75="Conglomerate &amp; Defense",D75="Conglomerate &amp; Energy",D75="Construction",D75="Construction &amp; Infrastructure",D75="Construction &amp; Real Estate",D75="Construction &amp; Telecom",D75="Discount Retail",D75="Energy Management",D75="Energy Technology",D75="Engines &amp; Power Systems",D75="Environmental Services",D75="Food Distribution",D75="Food Services",D75="Grocery Retail",D75="Healthcare &amp; Pharmacy",D75="Home Improvement Retail",D75="Industrial Engineering &amp; Electronics",D75="Oilfield Services",D75="Pharmaceuticals",D75="Pharmaceuticals &amp; Chemicals",D75="Pharmaceuticals &amp; Healthcare",D75="Pharmacy Retail",D75="Postal &amp; Logistics",D75="Retail",D75="Retail &amp; Distribution",D75="Retail &amp; Grocery",D75="Retail (IKEA)",D75="Tobacco",D75="Trading &amp; Conglomerate",D75="Utilities",D75="Utilities &amp; Energy",D75="Wholesale Retail"),2,
OR(D75="Agribusiness",D75="Automotive &amp; Heavy Vehicles",D75="Chemicals",D75="Commercial Vehicles",D75="Construction",D75="Construction &amp; Infrastructure",D75="Engines &amp; Power Systems",D75="Food Processing",D75="Healthcare",D75="Healthcare &amp; Medical Devices",D75="Heavy Equipment",D75="Heavy Industry",D75="Industrial Gases",D75="Industrial Manufacturing",D75="Logistics",D75="Medical Devices",D75="Mining",D75="Mining &amp; Commodities Trading",D75="Oil &amp; Gas",D75="Oilfield Services",D75="Rail Transport",D75="Shipping &amp; Logistics",D75="Steel"),3,
OR(D75="Apparel &amp; Footwear",D75="Beverage",D75="Coffeehouse &amp; Retail",D75="Conglomerate",D75="Consumer Goods",D75="Convenience Retail",D75="Electronics",D75="Electronics &amp; Semiconductors",D75="Electronics Retail",D75="Fashion Retail",D75="Food &amp; Beverage",D75="Food Retail &amp; Consumer Goods",D75="Industrial &amp; Technology",D75="Industrial Automation",D75="Industrial Technology",D75="Postal &amp; Financial Services",D75="Postal Services",D75="Scientific Instruments",D75="Technology Hardware",D75="Trading Company",D75="IT Consulting"),1,
OR(D75="Cosmetics",D75="E-commerce &amp; Cloud Computing",D75="Electronics &amp; Entertainment",D75="Entertainment &amp; Media",D75="Luxury Goods",D75="Media &amp; Telecommunications",D75="Networking Technology",D75="Real Estate Services",D75="Technology &amp; Consumer Electronics",D75="Telecommunications",D75="Telecommunications &amp; Investment"),1,
OR(D75="Asset Management",D75="Banking",D75="Banking &amp; Asset Services",D75="Banking &amp; Financial Services",D75="Banking &amp; Wealth Management",D75="Cloud Software",D75="Enterprise Software",D75="Financial Services",D75="Information Technology Consulting",D75="Investment Banking",D75="Social Media &amp; Technology",D75="Software &amp; Cloud Computing",D75="Technology &amp; Consulting",D75="Technology &amp; Internet Services",D75="Technology &amp; Software"),1,
TRUE,"Unmapped"
)</f>
        <v>1</v>
      </c>
      <c r="H75" s="5">
        <v>2</v>
      </c>
      <c r="I75" s="5">
        <f>VLOOKUP(B75,'BIS + EDBA Final'!A:F,6,FALSE)</f>
        <v>0</v>
      </c>
      <c r="J75" s="5">
        <f>VLOOKUP(B75,'CBG Final'!A:B,2,FALSE)</f>
        <v>3</v>
      </c>
      <c r="K75" s="9">
        <f t="shared" si="1"/>
        <v>1.8000000000000003</v>
      </c>
      <c r="L75" s="5" t="s">
        <v>1412</v>
      </c>
      <c r="M75" s="5" t="s">
        <v>548</v>
      </c>
      <c r="N75" s="5" t="s">
        <v>1413</v>
      </c>
      <c r="O75" s="5" t="s">
        <v>1414</v>
      </c>
      <c r="P75" s="5" t="s">
        <v>1415</v>
      </c>
      <c r="Q75" s="5" t="s">
        <v>33</v>
      </c>
      <c r="R75" s="5" t="s">
        <v>20</v>
      </c>
      <c r="S75" s="10"/>
      <c r="T75" s="11"/>
      <c r="U75" s="11"/>
      <c r="V75" s="10"/>
      <c r="W75" s="10"/>
      <c r="X75" s="11"/>
      <c r="Y75" s="11"/>
      <c r="Z75" s="10"/>
      <c r="AA75" s="10"/>
      <c r="AB75" s="10"/>
      <c r="AC75" s="10"/>
      <c r="AD75" s="10"/>
      <c r="AE75" s="10"/>
      <c r="AF75" s="10"/>
      <c r="AG75" s="10"/>
      <c r="AH75" s="10"/>
    </row>
    <row r="76" spans="1:34" ht="15.75" customHeight="1">
      <c r="A76" s="5"/>
      <c r="B76" s="5" t="s">
        <v>951</v>
      </c>
      <c r="C76" s="6" t="s">
        <v>71</v>
      </c>
      <c r="D76" s="7" t="s">
        <v>952</v>
      </c>
      <c r="E76" s="8">
        <v>109121</v>
      </c>
      <c r="F76" s="6" cm="1">
        <f t="array" ref="F76">_xlfn.IFS(
E76&lt;=$E$245,0,
E76&lt;=$E$246,1,
E76&lt;=$E$247,2,
E76&gt;=$E$247,3)</f>
        <v>1</v>
      </c>
      <c r="G76" s="7" cm="1">
        <f t="array" ref="G76">_xlfn.IFS(
OR(D76="Aerospace",D76="Aerospace &amp; Defense",D76="Agricultural Equipment",D76="Airlines",D76="Automotive",D76="Automotive &amp; Energy",D76="Automotive Components",D76="Aviation",D76="Building Materials",D76="Chemicals",D76="Commercial Vehicles",D76="Conglomerate &amp; Defense",D76="Conglomerate &amp; Energy",D76="Construction",D76="Construction &amp; Infrastructure",D76="Construction &amp; Real Estate",D76="Construction &amp; Telecom",D76="Discount Retail",D76="Energy Management",D76="Energy Technology",D76="Engines &amp; Power Systems",D76="Environmental Services",D76="Food Distribution",D76="Food Services",D76="Grocery Retail",D76="Healthcare &amp; Pharmacy",D76="Home Improvement Retail",D76="Industrial Engineering &amp; Electronics",D76="Oilfield Services",D76="Pharmaceuticals",D76="Pharmaceuticals &amp; Chemicals",D76="Pharmaceuticals &amp; Healthcare",D76="Pharmacy Retail",D76="Postal &amp; Logistics",D76="Retail",D76="Retail &amp; Distribution",D76="Retail &amp; Grocery",D76="Retail (IKEA)",D76="Tobacco",D76="Trading &amp; Conglomerate",D76="Utilities",D76="Utilities &amp; Energy",D76="Wholesale Retail"),2,
OR(D76="Agribusiness",D76="Automotive &amp; Heavy Vehicles",D76="Chemicals",D76="Commercial Vehicles",D76="Construction",D76="Construction &amp; Infrastructure",D76="Engines &amp; Power Systems",D76="Food Processing",D76="Healthcare",D76="Healthcare &amp; Medical Devices",D76="Heavy Equipment",D76="Heavy Industry",D76="Industrial Gases",D76="Industrial Manufacturing",D76="Logistics",D76="Medical Devices",D76="Mining",D76="Mining &amp; Commodities Trading",D76="Oil &amp; Gas",D76="Oilfield Services",D76="Rail Transport",D76="Shipping &amp; Logistics",D76="Steel"),3,
OR(D76="Apparel &amp; Footwear",D76="Beverage",D76="Coffeehouse &amp; Retail",D76="Conglomerate",D76="Consumer Goods",D76="Convenience Retail",D76="Electronics",D76="Electronics &amp; Semiconductors",D76="Electronics Retail",D76="Fashion Retail",D76="Food &amp; Beverage",D76="Food Retail &amp; Consumer Goods",D76="Industrial &amp; Technology",D76="Industrial Automation",D76="Industrial Technology",D76="Postal &amp; Financial Services",D76="Postal Services",D76="Scientific Instruments",D76="Technology Hardware",D76="Trading Company",D76="IT Consulting"),1,
OR(D76="Cosmetics",D76="E-commerce &amp; Cloud Computing",D76="Electronics &amp; Entertainment",D76="Entertainment &amp; Media",D76="Luxury Goods",D76="Media &amp; Telecommunications",D76="Networking Technology",D76="Real Estate Services",D76="Technology &amp; Consumer Electronics",D76="Telecommunications",D76="Telecommunications &amp; Investment"),1,
OR(D76="Asset Management",D76="Banking",D76="Banking &amp; Asset Services",D76="Banking &amp; Financial Services",D76="Banking &amp; Wealth Management",D76="Cloud Software",D76="Enterprise Software",D76="Financial Services",D76="Information Technology Consulting",D76="Investment Banking",D76="Social Media &amp; Technology",D76="Software &amp; Cloud Computing",D76="Technology &amp; Consulting",D76="Technology &amp; Internet Services",D76="Technology &amp; Software"),1,
TRUE,"Unmapped"
)</f>
        <v>1</v>
      </c>
      <c r="H76" s="5">
        <v>3</v>
      </c>
      <c r="I76" s="5">
        <f>VLOOKUP(B76,'BIS + EDBA Final'!A:F,6,FALSE)</f>
        <v>1</v>
      </c>
      <c r="J76" s="5">
        <f>VLOOKUP(B76,'CBG Final'!A:B,2,FALSE)</f>
        <v>3</v>
      </c>
      <c r="K76" s="9">
        <f t="shared" si="1"/>
        <v>1.8000000000000003</v>
      </c>
      <c r="L76" s="5" t="s">
        <v>1288</v>
      </c>
      <c r="M76" s="5" t="s">
        <v>1289</v>
      </c>
      <c r="N76" s="5" t="s">
        <v>1290</v>
      </c>
      <c r="O76" s="5" t="s">
        <v>1291</v>
      </c>
      <c r="P76" s="5" t="s">
        <v>1292</v>
      </c>
      <c r="Q76" s="5" t="s">
        <v>167</v>
      </c>
      <c r="R76" s="5" t="s">
        <v>261</v>
      </c>
      <c r="S76" s="10"/>
      <c r="T76" s="11"/>
      <c r="U76" s="11"/>
      <c r="V76" s="10"/>
      <c r="W76" s="10"/>
      <c r="X76" s="10"/>
      <c r="Y76" s="10"/>
      <c r="Z76" s="10"/>
      <c r="AA76" s="10"/>
      <c r="AB76" s="10"/>
      <c r="AC76" s="10"/>
      <c r="AD76" s="10"/>
      <c r="AE76" s="10"/>
      <c r="AF76" s="10"/>
      <c r="AG76" s="10"/>
      <c r="AH76" s="10"/>
    </row>
    <row r="77" spans="1:34" ht="15.75" customHeight="1">
      <c r="A77" s="5"/>
      <c r="B77" s="5" t="s">
        <v>707</v>
      </c>
      <c r="C77" s="6" t="s">
        <v>36</v>
      </c>
      <c r="D77" s="7" t="s">
        <v>708</v>
      </c>
      <c r="E77" s="8">
        <v>90400</v>
      </c>
      <c r="F77" s="6" cm="1">
        <f t="array" ref="F77">_xlfn.IFS(
E77&lt;=$E$245,0,
E77&lt;=$E$246,1,
E77&lt;=$E$247,2,
E77&gt;=$E$247,3)</f>
        <v>1</v>
      </c>
      <c r="G77" s="7" cm="1">
        <f t="array" ref="G77">_xlfn.IFS(
OR(D77="Aerospace",D77="Aerospace &amp; Defense",D77="Agricultural Equipment",D77="Airlines",D77="Automotive",D77="Automotive &amp; Energy",D77="Automotive Components",D77="Aviation",D77="Building Materials",D77="Chemicals",D77="Commercial Vehicles",D77="Conglomerate &amp; Defense",D77="Conglomerate &amp; Energy",D77="Construction",D77="Construction &amp; Infrastructure",D77="Construction &amp; Real Estate",D77="Construction &amp; Telecom",D77="Discount Retail",D77="Energy Management",D77="Energy Technology",D77="Engines &amp; Power Systems",D77="Environmental Services",D77="Food Distribution",D77="Food Services",D77="Grocery Retail",D77="Healthcare &amp; Pharmacy",D77="Home Improvement Retail",D77="Industrial Engineering &amp; Electronics",D77="Oilfield Services",D77="Pharmaceuticals",D77="Pharmaceuticals &amp; Chemicals",D77="Pharmaceuticals &amp; Healthcare",D77="Pharmacy Retail",D77="Postal &amp; Logistics",D77="Retail",D77="Retail &amp; Distribution",D77="Retail &amp; Grocery",D77="Retail (IKEA)",D77="Tobacco",D77="Trading &amp; Conglomerate",D77="Utilities",D77="Utilities &amp; Energy",D77="Wholesale Retail"),2,
OR(D77="Agribusiness",D77="Automotive &amp; Heavy Vehicles",D77="Chemicals",D77="Commercial Vehicles",D77="Construction",D77="Construction &amp; Infrastructure",D77="Engines &amp; Power Systems",D77="Food Processing",D77="Healthcare",D77="Healthcare &amp; Medical Devices",D77="Heavy Equipment",D77="Heavy Industry",D77="Industrial Gases",D77="Industrial Manufacturing",D77="Logistics",D77="Medical Devices",D77="Mining",D77="Mining &amp; Commodities Trading",D77="Oil &amp; Gas",D77="Oilfield Services",D77="Rail Transport",D77="Shipping &amp; Logistics",D77="Steel"),3,
OR(D77="Apparel &amp; Footwear",D77="Beverage",D77="Coffeehouse &amp; Retail",D77="Conglomerate",D77="Consumer Goods",D77="Convenience Retail",D77="Electronics",D77="Electronics &amp; Semiconductors",D77="Electronics Retail",D77="Fashion Retail",D77="Food &amp; Beverage",D77="Food Retail &amp; Consumer Goods",D77="Industrial &amp; Technology",D77="Industrial Automation",D77="Industrial Technology",D77="Postal &amp; Financial Services",D77="Postal Services",D77="Scientific Instruments",D77="Technology Hardware",D77="Trading Company",D77="IT Consulting"),1,
OR(D77="Cosmetics",D77="E-commerce &amp; Cloud Computing",D77="Electronics &amp; Entertainment",D77="Entertainment &amp; Media",D77="Luxury Goods",D77="Media &amp; Telecommunications",D77="Networking Technology",D77="Real Estate Services",D77="Technology &amp; Consumer Electronics",D77="Telecommunications",D77="Telecommunications &amp; Investment"),1,
OR(D77="Asset Management",D77="Banking",D77="Banking &amp; Asset Services",D77="Banking &amp; Financial Services",D77="Banking &amp; Wealth Management",D77="Cloud Software",D77="Enterprise Software",D77="Financial Services",D77="Information Technology Consulting",D77="Investment Banking",D77="Social Media &amp; Technology",D77="Software &amp; Cloud Computing",D77="Technology &amp; Consulting",D77="Technology &amp; Internet Services",D77="Technology &amp; Software"),1,
TRUE,"Unmapped"
)</f>
        <v>1</v>
      </c>
      <c r="H77" s="5">
        <f>'BIS + EDBA Final'!B195</f>
        <v>3</v>
      </c>
      <c r="I77" s="5">
        <f>VLOOKUP(B77,'BIS + EDBA Final'!A:F,6,FALSE)</f>
        <v>1</v>
      </c>
      <c r="J77" s="5">
        <f>VLOOKUP(B77,'CBG Final'!A:B,2,FALSE)</f>
        <v>3</v>
      </c>
      <c r="K77" s="9">
        <f t="shared" si="1"/>
        <v>1.8000000000000003</v>
      </c>
      <c r="L77" s="5" t="s">
        <v>709</v>
      </c>
      <c r="M77" s="5" t="s">
        <v>710</v>
      </c>
      <c r="N77" s="5" t="s">
        <v>711</v>
      </c>
      <c r="O77" s="5" t="s">
        <v>577</v>
      </c>
      <c r="P77" s="5" t="s">
        <v>712</v>
      </c>
      <c r="Q77" s="5" t="s">
        <v>615</v>
      </c>
      <c r="R77" s="5" t="s">
        <v>118</v>
      </c>
      <c r="S77" s="10"/>
      <c r="T77" s="11"/>
      <c r="U77" s="11"/>
      <c r="V77" s="10"/>
      <c r="W77" s="10"/>
      <c r="X77" s="10"/>
      <c r="Y77" s="10"/>
      <c r="Z77" s="10"/>
      <c r="AA77" s="10"/>
      <c r="AB77" s="10"/>
      <c r="AC77" s="10"/>
      <c r="AD77" s="10"/>
      <c r="AE77" s="10"/>
      <c r="AF77" s="10"/>
      <c r="AG77" s="10"/>
      <c r="AH77" s="10"/>
    </row>
    <row r="78" spans="1:34" ht="15.75" customHeight="1">
      <c r="A78" s="5"/>
      <c r="B78" s="5" t="s">
        <v>490</v>
      </c>
      <c r="C78" s="6" t="s">
        <v>491</v>
      </c>
      <c r="D78" s="7" t="s">
        <v>157</v>
      </c>
      <c r="E78" s="8">
        <v>94838</v>
      </c>
      <c r="F78" s="6" cm="1">
        <f t="array" ref="F78">_xlfn.IFS(
E78&lt;=$E$245,0,
E78&lt;=$E$246,1,
E78&lt;=$E$247,2,
E78&gt;=$E$247,3)</f>
        <v>1</v>
      </c>
      <c r="G78" s="7" cm="1">
        <f t="array" ref="G78">_xlfn.IFS(
OR(D78="Aerospace",D78="Aerospace &amp; Defense",D78="Agricultural Equipment",D78="Airlines",D78="Automotive",D78="Automotive &amp; Energy",D78="Automotive Components",D78="Aviation",D78="Building Materials",D78="Chemicals",D78="Commercial Vehicles",D78="Conglomerate &amp; Defense",D78="Conglomerate &amp; Energy",D78="Construction",D78="Construction &amp; Infrastructure",D78="Construction &amp; Real Estate",D78="Construction &amp; Telecom",D78="Discount Retail",D78="Energy Management",D78="Energy Technology",D78="Engines &amp; Power Systems",D78="Environmental Services",D78="Food Distribution",D78="Food Services",D78="Grocery Retail",D78="Healthcare &amp; Pharmacy",D78="Home Improvement Retail",D78="Industrial Engineering &amp; Electronics",D78="Oilfield Services",D78="Pharmaceuticals",D78="Pharmaceuticals &amp; Chemicals",D78="Pharmaceuticals &amp; Healthcare",D78="Pharmacy Retail",D78="Postal &amp; Logistics",D78="Retail",D78="Retail &amp; Distribution",D78="Retail &amp; Grocery",D78="Retail (IKEA)",D78="Tobacco",D78="Trading &amp; Conglomerate",D78="Utilities",D78="Utilities &amp; Energy",D78="Wholesale Retail"),2,
OR(D78="Agribusiness",D78="Automotive &amp; Heavy Vehicles",D78="Chemicals",D78="Commercial Vehicles",D78="Construction",D78="Construction &amp; Infrastructure",D78="Engines &amp; Power Systems",D78="Food Processing",D78="Healthcare",D78="Healthcare &amp; Medical Devices",D78="Heavy Equipment",D78="Heavy Industry",D78="Industrial Gases",D78="Industrial Manufacturing",D78="Logistics",D78="Medical Devices",D78="Mining",D78="Mining &amp; Commodities Trading",D78="Oil &amp; Gas",D78="Oilfield Services",D78="Rail Transport",D78="Shipping &amp; Logistics",D78="Steel"),3,
OR(D78="Apparel &amp; Footwear",D78="Beverage",D78="Coffeehouse &amp; Retail",D78="Conglomerate",D78="Consumer Goods",D78="Convenience Retail",D78="Electronics",D78="Electronics &amp; Semiconductors",D78="Electronics Retail",D78="Fashion Retail",D78="Food &amp; Beverage",D78="Food Retail &amp; Consumer Goods",D78="Industrial &amp; Technology",D78="Industrial Automation",D78="Industrial Technology",D78="Postal &amp; Financial Services",D78="Postal Services",D78="Scientific Instruments",D78="Technology Hardware",D78="Trading Company",D78="IT Consulting"),1,
OR(D78="Cosmetics",D78="E-commerce &amp; Cloud Computing",D78="Electronics &amp; Entertainment",D78="Entertainment &amp; Media",D78="Luxury Goods",D78="Media &amp; Telecommunications",D78="Networking Technology",D78="Real Estate Services",D78="Technology &amp; Consumer Electronics",D78="Telecommunications",D78="Telecommunications &amp; Investment"),1,
OR(D78="Asset Management",D78="Banking",D78="Banking &amp; Asset Services",D78="Banking &amp; Financial Services",D78="Banking &amp; Wealth Management",D78="Cloud Software",D78="Enterprise Software",D78="Financial Services",D78="Information Technology Consulting",D78="Investment Banking",D78="Social Media &amp; Technology",D78="Software &amp; Cloud Computing",D78="Technology &amp; Consulting",D78="Technology &amp; Internet Services",D78="Technology &amp; Software"),1,
TRUE,"Unmapped"
)</f>
        <v>1</v>
      </c>
      <c r="H78" s="5">
        <f>'BIS + EDBA Final'!B214</f>
        <v>3</v>
      </c>
      <c r="I78" s="5">
        <f>VLOOKUP(B78,'BIS + EDBA Final'!A:F,6,FALSE)</f>
        <v>1</v>
      </c>
      <c r="J78" s="5">
        <f>VLOOKUP(B78,'CBG Final'!A:B,2,FALSE)</f>
        <v>3</v>
      </c>
      <c r="K78" s="9">
        <f t="shared" si="1"/>
        <v>1.8000000000000003</v>
      </c>
      <c r="L78" s="5" t="s">
        <v>1260</v>
      </c>
      <c r="M78" s="5" t="s">
        <v>902</v>
      </c>
      <c r="N78" s="5" t="s">
        <v>1261</v>
      </c>
      <c r="O78" s="5" t="s">
        <v>215</v>
      </c>
      <c r="P78" s="5" t="s">
        <v>1262</v>
      </c>
      <c r="Q78" s="5" t="s">
        <v>1169</v>
      </c>
      <c r="R78" s="5" t="s">
        <v>20</v>
      </c>
      <c r="S78" s="10"/>
      <c r="T78" s="11"/>
      <c r="U78" s="11"/>
      <c r="V78" s="10"/>
      <c r="W78" s="10"/>
      <c r="X78" s="11"/>
      <c r="Y78" s="11"/>
      <c r="Z78" s="10"/>
      <c r="AA78" s="10"/>
      <c r="AB78" s="10"/>
      <c r="AC78" s="10"/>
      <c r="AD78" s="10"/>
      <c r="AE78" s="10"/>
      <c r="AF78" s="10"/>
      <c r="AG78" s="10"/>
      <c r="AH78" s="10"/>
    </row>
    <row r="79" spans="1:34" ht="15.75" customHeight="1">
      <c r="A79" s="5"/>
      <c r="B79" s="5" t="s">
        <v>194</v>
      </c>
      <c r="C79" s="6" t="s">
        <v>195</v>
      </c>
      <c r="D79" s="7" t="s">
        <v>196</v>
      </c>
      <c r="E79" s="8">
        <v>156921</v>
      </c>
      <c r="F79" s="6" cm="1">
        <f t="array" ref="F79">_xlfn.IFS(
E79&lt;=$E$245,0,
E79&lt;=$E$246,1,
E79&lt;=$E$247,2,
E79&gt;=$E$247,3)</f>
        <v>2</v>
      </c>
      <c r="G79" s="7" cm="1">
        <f t="array" ref="G79">_xlfn.IFS(
OR(D79="Aerospace",D79="Aerospace &amp; Defense",D79="Agricultural Equipment",D79="Airlines",D79="Automotive",D79="Automotive &amp; Energy",D79="Automotive Components",D79="Aviation",D79="Building Materials",D79="Chemicals",D79="Commercial Vehicles",D79="Conglomerate &amp; Defense",D79="Conglomerate &amp; Energy",D79="Construction",D79="Construction &amp; Infrastructure",D79="Construction &amp; Real Estate",D79="Construction &amp; Telecom",D79="Discount Retail",D79="Energy Management",D79="Energy Technology",D79="Engines &amp; Power Systems",D79="Environmental Services",D79="Food Distribution",D79="Food Services",D79="Grocery Retail",D79="Healthcare &amp; Pharmacy",D79="Home Improvement Retail",D79="Industrial Engineering &amp; Electronics",D79="Oilfield Services",D79="Pharmaceuticals",D79="Pharmaceuticals &amp; Chemicals",D79="Pharmaceuticals &amp; Healthcare",D79="Pharmacy Retail",D79="Postal &amp; Logistics",D79="Retail",D79="Retail &amp; Distribution",D79="Retail &amp; Grocery",D79="Retail (IKEA)",D79="Tobacco",D79="Trading &amp; Conglomerate",D79="Utilities",D79="Utilities &amp; Energy",D79="Wholesale Retail"),2,
OR(D79="Agribusiness",D79="Automotive &amp; Heavy Vehicles",D79="Chemicals",D79="Commercial Vehicles",D79="Construction",D79="Construction &amp; Infrastructure",D79="Engines &amp; Power Systems",D79="Food Processing",D79="Healthcare",D79="Healthcare &amp; Medical Devices",D79="Heavy Equipment",D79="Heavy Industry",D79="Industrial Gases",D79="Industrial Manufacturing",D79="Logistics",D79="Medical Devices",D79="Mining",D79="Mining &amp; Commodities Trading",D79="Oil &amp; Gas",D79="Oilfield Services",D79="Rail Transport",D79="Shipping &amp; Logistics",D79="Steel"),3,
OR(D79="Apparel &amp; Footwear",D79="Beverage",D79="Coffeehouse &amp; Retail",D79="Conglomerate",D79="Consumer Goods",D79="Convenience Retail",D79="Electronics",D79="Electronics &amp; Semiconductors",D79="Electronics Retail",D79="Fashion Retail",D79="Food &amp; Beverage",D79="Food Retail &amp; Consumer Goods",D79="Industrial &amp; Technology",D79="Industrial Automation",D79="Industrial Technology",D79="Postal &amp; Financial Services",D79="Postal Services",D79="Scientific Instruments",D79="Technology Hardware",D79="Trading Company",D79="IT Consulting"),1,
OR(D79="Cosmetics",D79="E-commerce &amp; Cloud Computing",D79="Electronics &amp; Entertainment",D79="Entertainment &amp; Media",D79="Luxury Goods",D79="Media &amp; Telecommunications",D79="Networking Technology",D79="Real Estate Services",D79="Technology &amp; Consumer Electronics",D79="Telecommunications",D79="Telecommunications &amp; Investment"),1,
OR(D79="Asset Management",D79="Banking",D79="Banking &amp; Asset Services",D79="Banking &amp; Financial Services",D79="Banking &amp; Wealth Management",D79="Cloud Software",D79="Enterprise Software",D79="Financial Services",D79="Information Technology Consulting",D79="Investment Banking",D79="Social Media &amp; Technology",D79="Software &amp; Cloud Computing",D79="Technology &amp; Consulting",D79="Technology &amp; Internet Services",D79="Technology &amp; Software"),1,
TRUE,"Unmapped"
)</f>
        <v>2</v>
      </c>
      <c r="H79" s="5">
        <f>VLOOKUP(B79,'BIS + EDBA Final'!A:K,2,FALSE)</f>
        <v>1</v>
      </c>
      <c r="I79" s="5">
        <f>VLOOKUP(B79,'BIS + EDBA Final'!A:F,6,FALSE)</f>
        <v>0</v>
      </c>
      <c r="J79" s="5">
        <f>VLOOKUP(B79,'CBG Final'!A:B,2,FALSE)</f>
        <v>3</v>
      </c>
      <c r="K79" s="9">
        <f t="shared" si="1"/>
        <v>1.8</v>
      </c>
      <c r="L79" s="5" t="s">
        <v>197</v>
      </c>
      <c r="M79" s="5" t="s">
        <v>198</v>
      </c>
      <c r="N79" s="5" t="s">
        <v>199</v>
      </c>
      <c r="O79" s="5" t="s">
        <v>200</v>
      </c>
      <c r="P79" s="5" t="s">
        <v>201</v>
      </c>
      <c r="Q79" s="5" t="s">
        <v>46</v>
      </c>
      <c r="R79" s="5" t="s">
        <v>20</v>
      </c>
      <c r="S79" s="10"/>
      <c r="T79" s="11"/>
      <c r="U79" s="11"/>
      <c r="V79" s="10"/>
      <c r="W79" s="10"/>
      <c r="X79" s="11"/>
      <c r="Y79" s="11"/>
      <c r="Z79" s="10"/>
      <c r="AA79" s="10"/>
      <c r="AB79" s="10"/>
      <c r="AC79" s="10"/>
      <c r="AD79" s="10"/>
      <c r="AE79" s="10"/>
      <c r="AF79" s="10"/>
      <c r="AG79" s="10"/>
      <c r="AH79" s="10"/>
    </row>
    <row r="80" spans="1:34" ht="15.75" customHeight="1">
      <c r="A80" s="5"/>
      <c r="B80" s="5" t="s">
        <v>826</v>
      </c>
      <c r="C80" s="6" t="s">
        <v>71</v>
      </c>
      <c r="D80" s="7" t="s">
        <v>741</v>
      </c>
      <c r="E80" s="8">
        <v>155962</v>
      </c>
      <c r="F80" s="6" cm="1">
        <f t="array" ref="F80">_xlfn.IFS(
E80&lt;=$E$245,0,
E80&lt;=$E$246,1,
E80&lt;=$E$247,2,
E80&gt;=$E$247,3)</f>
        <v>2</v>
      </c>
      <c r="G80" s="7" cm="1">
        <f t="array" ref="G80">_xlfn.IFS(
OR(D80="Aerospace",D80="Aerospace &amp; Defense",D80="Agricultural Equipment",D80="Airlines",D80="Automotive",D80="Automotive &amp; Energy",D80="Automotive Components",D80="Aviation",D80="Building Materials",D80="Chemicals",D80="Commercial Vehicles",D80="Conglomerate &amp; Defense",D80="Conglomerate &amp; Energy",D80="Construction",D80="Construction &amp; Infrastructure",D80="Construction &amp; Real Estate",D80="Construction &amp; Telecom",D80="Discount Retail",D80="Energy Management",D80="Energy Technology",D80="Engines &amp; Power Systems",D80="Environmental Services",D80="Food Distribution",D80="Food Services",D80="Grocery Retail",D80="Healthcare &amp; Pharmacy",D80="Home Improvement Retail",D80="Industrial Engineering &amp; Electronics",D80="Oilfield Services",D80="Pharmaceuticals",D80="Pharmaceuticals &amp; Chemicals",D80="Pharmaceuticals &amp; Healthcare",D80="Pharmacy Retail",D80="Postal &amp; Logistics",D80="Retail",D80="Retail &amp; Distribution",D80="Retail &amp; Grocery",D80="Retail (IKEA)",D80="Tobacco",D80="Trading &amp; Conglomerate",D80="Utilities",D80="Utilities &amp; Energy",D80="Wholesale Retail"),2,
OR(D80="Agribusiness",D80="Automotive &amp; Heavy Vehicles",D80="Chemicals",D80="Commercial Vehicles",D80="Construction",D80="Construction &amp; Infrastructure",D80="Engines &amp; Power Systems",D80="Food Processing",D80="Healthcare",D80="Healthcare &amp; Medical Devices",D80="Heavy Equipment",D80="Heavy Industry",D80="Industrial Gases",D80="Industrial Manufacturing",D80="Logistics",D80="Medical Devices",D80="Mining",D80="Mining &amp; Commodities Trading",D80="Oil &amp; Gas",D80="Oilfield Services",D80="Rail Transport",D80="Shipping &amp; Logistics",D80="Steel"),3,
OR(D80="Apparel &amp; Footwear",D80="Beverage",D80="Coffeehouse &amp; Retail",D80="Conglomerate",D80="Consumer Goods",D80="Convenience Retail",D80="Electronics",D80="Electronics &amp; Semiconductors",D80="Electronics Retail",D80="Fashion Retail",D80="Food &amp; Beverage",D80="Food Retail &amp; Consumer Goods",D80="Industrial &amp; Technology",D80="Industrial Automation",D80="Industrial Technology",D80="Postal &amp; Financial Services",D80="Postal Services",D80="Scientific Instruments",D80="Technology Hardware",D80="Trading Company",D80="IT Consulting"),1,
OR(D80="Cosmetics",D80="E-commerce &amp; Cloud Computing",D80="Electronics &amp; Entertainment",D80="Entertainment &amp; Media",D80="Luxury Goods",D80="Media &amp; Telecommunications",D80="Networking Technology",D80="Real Estate Services",D80="Technology &amp; Consumer Electronics",D80="Telecommunications",D80="Telecommunications &amp; Investment"),1,
OR(D80="Asset Management",D80="Banking",D80="Banking &amp; Asset Services",D80="Banking &amp; Financial Services",D80="Banking &amp; Wealth Management",D80="Cloud Software",D80="Enterprise Software",D80="Financial Services",D80="Information Technology Consulting",D80="Investment Banking",D80="Social Media &amp; Technology",D80="Software &amp; Cloud Computing",D80="Technology &amp; Consulting",D80="Technology &amp; Internet Services",D80="Technology &amp; Software"),1,
TRUE,"Unmapped"
)</f>
        <v>2</v>
      </c>
      <c r="H80" s="5">
        <v>1</v>
      </c>
      <c r="I80" s="5">
        <f>VLOOKUP(B80,'BIS + EDBA Final'!A:F,6,FALSE)</f>
        <v>0</v>
      </c>
      <c r="J80" s="5">
        <f>VLOOKUP(B80,'CBG Final'!A:B,2,FALSE)</f>
        <v>3</v>
      </c>
      <c r="K80" s="9">
        <f t="shared" si="1"/>
        <v>1.8</v>
      </c>
      <c r="L80" s="5" t="s">
        <v>1455</v>
      </c>
      <c r="M80" s="5" t="s">
        <v>1456</v>
      </c>
      <c r="N80" s="5" t="s">
        <v>1457</v>
      </c>
      <c r="O80" s="5"/>
      <c r="P80" s="5" t="s">
        <v>1458</v>
      </c>
      <c r="Q80" s="5" t="s">
        <v>652</v>
      </c>
      <c r="R80" s="5" t="s">
        <v>144</v>
      </c>
      <c r="S80" s="10"/>
      <c r="T80" s="11"/>
      <c r="U80" s="11"/>
      <c r="V80" s="10"/>
      <c r="W80" s="10"/>
      <c r="X80" s="10"/>
      <c r="Y80" s="10"/>
      <c r="Z80" s="10"/>
      <c r="AA80" s="10"/>
      <c r="AB80" s="10"/>
      <c r="AC80" s="10"/>
      <c r="AD80" s="10"/>
      <c r="AE80" s="10"/>
      <c r="AF80" s="10"/>
      <c r="AG80" s="10"/>
      <c r="AH80" s="10"/>
    </row>
    <row r="81" spans="1:34" ht="15.75" customHeight="1">
      <c r="A81" s="5"/>
      <c r="B81" s="5" t="s">
        <v>426</v>
      </c>
      <c r="C81" s="6" t="s">
        <v>491</v>
      </c>
      <c r="D81" s="7" t="s">
        <v>427</v>
      </c>
      <c r="E81" s="8">
        <v>250000</v>
      </c>
      <c r="F81" s="6" cm="1">
        <f t="array" ref="F81">_xlfn.IFS(
E81&lt;=$E$245,0,
E81&lt;=$E$246,1,
E81&lt;=$E$247,2,
E81&gt;=$E$247,3)</f>
        <v>3</v>
      </c>
      <c r="G81" s="7" cm="1">
        <f t="array" ref="G81">_xlfn.IFS(
OR(D81="Aerospace",D81="Aerospace &amp; Defense",D81="Agricultural Equipment",D81="Airlines",D81="Automotive",D81="Automotive &amp; Energy",D81="Automotive Components",D81="Aviation",D81="Building Materials",D81="Chemicals",D81="Commercial Vehicles",D81="Conglomerate &amp; Defense",D81="Conglomerate &amp; Energy",D81="Construction",D81="Construction &amp; Infrastructure",D81="Construction &amp; Real Estate",D81="Construction &amp; Telecom",D81="Discount Retail",D81="Energy Management",D81="Energy Technology",D81="Engines &amp; Power Systems",D81="Environmental Services",D81="Food Distribution",D81="Food Services",D81="Grocery Retail",D81="Healthcare &amp; Pharmacy",D81="Home Improvement Retail",D81="Industrial Engineering &amp; Electronics",D81="Oilfield Services",D81="Pharmaceuticals",D81="Pharmaceuticals &amp; Chemicals",D81="Pharmaceuticals &amp; Healthcare",D81="Pharmacy Retail",D81="Postal &amp; Logistics",D81="Retail",D81="Retail &amp; Distribution",D81="Retail &amp; Grocery",D81="Retail (IKEA)",D81="Tobacco",D81="Trading &amp; Conglomerate",D81="Utilities",D81="Utilities &amp; Energy",D81="Wholesale Retail"),2,
OR(D81="Agribusiness",D81="Automotive &amp; Heavy Vehicles",D81="Chemicals",D81="Commercial Vehicles",D81="Construction",D81="Construction &amp; Infrastructure",D81="Engines &amp; Power Systems",D81="Food Processing",D81="Healthcare",D81="Healthcare &amp; Medical Devices",D81="Heavy Equipment",D81="Heavy Industry",D81="Industrial Gases",D81="Industrial Manufacturing",D81="Logistics",D81="Medical Devices",D81="Mining",D81="Mining &amp; Commodities Trading",D81="Oil &amp; Gas",D81="Oilfield Services",D81="Rail Transport",D81="Shipping &amp; Logistics",D81="Steel"),3,
OR(D81="Apparel &amp; Footwear",D81="Beverage",D81="Coffeehouse &amp; Retail",D81="Conglomerate",D81="Consumer Goods",D81="Convenience Retail",D81="Electronics",D81="Electronics &amp; Semiconductors",D81="Electronics Retail",D81="Fashion Retail",D81="Food &amp; Beverage",D81="Food Retail &amp; Consumer Goods",D81="Industrial &amp; Technology",D81="Industrial Automation",D81="Industrial Technology",D81="Postal &amp; Financial Services",D81="Postal Services",D81="Scientific Instruments",D81="Technology Hardware",D81="Trading Company",D81="IT Consulting"),1,
OR(D81="Cosmetics",D81="E-commerce &amp; Cloud Computing",D81="Electronics &amp; Entertainment",D81="Entertainment &amp; Media",D81="Luxury Goods",D81="Media &amp; Telecommunications",D81="Networking Technology",D81="Real Estate Services",D81="Technology &amp; Consumer Electronics",D81="Telecommunications",D81="Telecommunications &amp; Investment"),1,
OR(D81="Asset Management",D81="Banking",D81="Banking &amp; Asset Services",D81="Banking &amp; Financial Services",D81="Banking &amp; Wealth Management",D81="Cloud Software",D81="Enterprise Software",D81="Financial Services",D81="Information Technology Consulting",D81="Investment Banking",D81="Social Media &amp; Technology",D81="Software &amp; Cloud Computing",D81="Technology &amp; Consulting",D81="Technology &amp; Internet Services",D81="Technology &amp; Software"),1,
TRUE,"Unmapped"
)</f>
        <v>1</v>
      </c>
      <c r="H81" s="5">
        <v>2</v>
      </c>
      <c r="I81" s="5">
        <f>VLOOKUP(B81,'BIS + EDBA Final'!A:F,6,FALSE)</f>
        <v>1</v>
      </c>
      <c r="J81" s="5">
        <f>VLOOKUP(B81,'CBG Final'!A:B,2,FALSE)</f>
        <v>1</v>
      </c>
      <c r="K81" s="9">
        <f t="shared" si="1"/>
        <v>1.8</v>
      </c>
      <c r="L81" s="5" t="s">
        <v>658</v>
      </c>
      <c r="M81" s="5" t="s">
        <v>659</v>
      </c>
      <c r="N81" s="5" t="s">
        <v>660</v>
      </c>
      <c r="O81" s="5" t="s">
        <v>661</v>
      </c>
      <c r="P81" s="5" t="s">
        <v>662</v>
      </c>
      <c r="Q81" s="5" t="s">
        <v>385</v>
      </c>
      <c r="R81" s="5" t="s">
        <v>46</v>
      </c>
      <c r="S81" s="10"/>
      <c r="T81" s="11"/>
      <c r="U81" s="11"/>
      <c r="V81" s="10"/>
      <c r="W81" s="10"/>
      <c r="X81" s="11"/>
      <c r="Y81" s="11"/>
      <c r="Z81" s="10"/>
      <c r="AA81" s="10"/>
      <c r="AB81" s="10"/>
      <c r="AC81" s="10"/>
      <c r="AD81" s="10"/>
      <c r="AE81" s="10"/>
      <c r="AF81" s="10"/>
      <c r="AG81" s="10"/>
      <c r="AH81" s="10"/>
    </row>
    <row r="82" spans="1:34" ht="15.75" customHeight="1">
      <c r="A82" s="5"/>
      <c r="B82" s="5" t="s">
        <v>627</v>
      </c>
      <c r="C82" s="6" t="s">
        <v>36</v>
      </c>
      <c r="D82" s="7" t="s">
        <v>173</v>
      </c>
      <c r="E82" s="8">
        <v>103000</v>
      </c>
      <c r="F82" s="6" cm="1">
        <f t="array" ref="F82">_xlfn.IFS(
E82&lt;=$E$245,0,
E82&lt;=$E$246,1,
E82&lt;=$E$247,2,
E82&gt;=$E$247,3)</f>
        <v>1</v>
      </c>
      <c r="G82" s="7" cm="1">
        <f t="array" ref="G82">_xlfn.IFS(
OR(D82="Aerospace",D82="Aerospace &amp; Defense",D82="Agricultural Equipment",D82="Airlines",D82="Automotive",D82="Automotive &amp; Energy",D82="Automotive Components",D82="Aviation",D82="Building Materials",D82="Chemicals",D82="Commercial Vehicles",D82="Conglomerate &amp; Defense",D82="Conglomerate &amp; Energy",D82="Construction",D82="Construction &amp; Infrastructure",D82="Construction &amp; Real Estate",D82="Construction &amp; Telecom",D82="Discount Retail",D82="Energy Management",D82="Energy Technology",D82="Engines &amp; Power Systems",D82="Environmental Services",D82="Food Distribution",D82="Food Services",D82="Grocery Retail",D82="Healthcare &amp; Pharmacy",D82="Home Improvement Retail",D82="Industrial Engineering &amp; Electronics",D82="Oilfield Services",D82="Pharmaceuticals",D82="Pharmaceuticals &amp; Chemicals",D82="Pharmaceuticals &amp; Healthcare",D82="Pharmacy Retail",D82="Postal &amp; Logistics",D82="Retail",D82="Retail &amp; Distribution",D82="Retail &amp; Grocery",D82="Retail (IKEA)",D82="Tobacco",D82="Trading &amp; Conglomerate",D82="Utilities",D82="Utilities &amp; Energy",D82="Wholesale Retail"),2,
OR(D82="Agribusiness",D82="Automotive &amp; Heavy Vehicles",D82="Chemicals",D82="Commercial Vehicles",D82="Construction",D82="Construction &amp; Infrastructure",D82="Engines &amp; Power Systems",D82="Food Processing",D82="Healthcare",D82="Healthcare &amp; Medical Devices",D82="Heavy Equipment",D82="Heavy Industry",D82="Industrial Gases",D82="Industrial Manufacturing",D82="Logistics",D82="Medical Devices",D82="Mining",D82="Mining &amp; Commodities Trading",D82="Oil &amp; Gas",D82="Oilfield Services",D82="Rail Transport",D82="Shipping &amp; Logistics",D82="Steel"),3,
OR(D82="Apparel &amp; Footwear",D82="Beverage",D82="Coffeehouse &amp; Retail",D82="Conglomerate",D82="Consumer Goods",D82="Convenience Retail",D82="Electronics",D82="Electronics &amp; Semiconductors",D82="Electronics Retail",D82="Fashion Retail",D82="Food &amp; Beverage",D82="Food Retail &amp; Consumer Goods",D82="Industrial &amp; Technology",D82="Industrial Automation",D82="Industrial Technology",D82="Postal &amp; Financial Services",D82="Postal Services",D82="Scientific Instruments",D82="Technology Hardware",D82="Trading Company",D82="IT Consulting"),1,
OR(D82="Cosmetics",D82="E-commerce &amp; Cloud Computing",D82="Electronics &amp; Entertainment",D82="Entertainment &amp; Media",D82="Luxury Goods",D82="Media &amp; Telecommunications",D82="Networking Technology",D82="Real Estate Services",D82="Technology &amp; Consumer Electronics",D82="Telecommunications",D82="Telecommunications &amp; Investment"),1,
OR(D82="Asset Management",D82="Banking",D82="Banking &amp; Asset Services",D82="Banking &amp; Financial Services",D82="Banking &amp; Wealth Management",D82="Cloud Software",D82="Enterprise Software",D82="Financial Services",D82="Information Technology Consulting",D82="Investment Banking",D82="Social Media &amp; Technology",D82="Software &amp; Cloud Computing",D82="Technology &amp; Consulting",D82="Technology &amp; Internet Services",D82="Technology &amp; Software"),1,
TRUE,"Unmapped"
)</f>
        <v>2</v>
      </c>
      <c r="H82" s="5">
        <v>3</v>
      </c>
      <c r="I82" s="5">
        <f>VLOOKUP(B82,'BIS + EDBA Final'!A:F,6,FALSE)</f>
        <v>-1</v>
      </c>
      <c r="J82" s="5">
        <f>VLOOKUP(B82,'CBG Final'!A:B,2,FALSE)</f>
        <v>3</v>
      </c>
      <c r="K82" s="9">
        <f t="shared" si="1"/>
        <v>1.8</v>
      </c>
      <c r="L82" s="5" t="s">
        <v>816</v>
      </c>
      <c r="M82" s="5" t="s">
        <v>370</v>
      </c>
      <c r="N82" s="5" t="s">
        <v>817</v>
      </c>
      <c r="O82" s="5" t="s">
        <v>818</v>
      </c>
      <c r="P82" s="5" t="s">
        <v>747</v>
      </c>
      <c r="Q82" s="5" t="s">
        <v>144</v>
      </c>
      <c r="R82" s="5" t="s">
        <v>145</v>
      </c>
      <c r="S82" s="10"/>
      <c r="T82" s="11"/>
      <c r="U82" s="11"/>
      <c r="V82" s="10"/>
      <c r="W82" s="10"/>
      <c r="X82" s="11"/>
      <c r="Y82" s="11"/>
      <c r="Z82" s="10"/>
      <c r="AA82" s="10"/>
      <c r="AB82" s="10"/>
      <c r="AC82" s="10"/>
      <c r="AD82" s="10"/>
      <c r="AE82" s="10"/>
      <c r="AF82" s="10"/>
      <c r="AG82" s="10"/>
      <c r="AH82" s="10"/>
    </row>
    <row r="83" spans="1:34" ht="15.75" customHeight="1">
      <c r="A83" s="5"/>
      <c r="B83" s="5" t="s">
        <v>448</v>
      </c>
      <c r="C83" s="6" t="s">
        <v>62</v>
      </c>
      <c r="D83" s="7" t="s">
        <v>86</v>
      </c>
      <c r="E83" s="8">
        <v>140806</v>
      </c>
      <c r="F83" s="6" cm="1">
        <f t="array" ref="F83">_xlfn.IFS(
E83&lt;=$E$245,0,
E83&lt;=$E$246,1,
E83&lt;=$E$247,2,
E83&gt;=$E$247,3)</f>
        <v>2</v>
      </c>
      <c r="G83" s="7" cm="1">
        <f t="array" ref="G83">_xlfn.IFS(
OR(D83="Aerospace",D83="Aerospace &amp; Defense",D83="Agricultural Equipment",D83="Airlines",D83="Automotive",D83="Automotive &amp; Energy",D83="Automotive Components",D83="Aviation",D83="Building Materials",D83="Chemicals",D83="Commercial Vehicles",D83="Conglomerate &amp; Defense",D83="Conglomerate &amp; Energy",D83="Construction",D83="Construction &amp; Infrastructure",D83="Construction &amp; Real Estate",D83="Construction &amp; Telecom",D83="Discount Retail",D83="Energy Management",D83="Energy Technology",D83="Engines &amp; Power Systems",D83="Environmental Services",D83="Food Distribution",D83="Food Services",D83="Grocery Retail",D83="Healthcare &amp; Pharmacy",D83="Home Improvement Retail",D83="Industrial Engineering &amp; Electronics",D83="Oilfield Services",D83="Pharmaceuticals",D83="Pharmaceuticals &amp; Chemicals",D83="Pharmaceuticals &amp; Healthcare",D83="Pharmacy Retail",D83="Postal &amp; Logistics",D83="Retail",D83="Retail &amp; Distribution",D83="Retail &amp; Grocery",D83="Retail (IKEA)",D83="Tobacco",D83="Trading &amp; Conglomerate",D83="Utilities",D83="Utilities &amp; Energy",D83="Wholesale Retail"),2,
OR(D83="Agribusiness",D83="Automotive &amp; Heavy Vehicles",D83="Chemicals",D83="Commercial Vehicles",D83="Construction",D83="Construction &amp; Infrastructure",D83="Engines &amp; Power Systems",D83="Food Processing",D83="Healthcare",D83="Healthcare &amp; Medical Devices",D83="Heavy Equipment",D83="Heavy Industry",D83="Industrial Gases",D83="Industrial Manufacturing",D83="Logistics",D83="Medical Devices",D83="Mining",D83="Mining &amp; Commodities Trading",D83="Oil &amp; Gas",D83="Oilfield Services",D83="Rail Transport",D83="Shipping &amp; Logistics",D83="Steel"),3,
OR(D83="Apparel &amp; Footwear",D83="Beverage",D83="Coffeehouse &amp; Retail",D83="Conglomerate",D83="Consumer Goods",D83="Convenience Retail",D83="Electronics",D83="Electronics &amp; Semiconductors",D83="Electronics Retail",D83="Fashion Retail",D83="Food &amp; Beverage",D83="Food Retail &amp; Consumer Goods",D83="Industrial &amp; Technology",D83="Industrial Automation",D83="Industrial Technology",D83="Postal &amp; Financial Services",D83="Postal Services",D83="Scientific Instruments",D83="Technology Hardware",D83="Trading Company",D83="IT Consulting"),1,
OR(D83="Cosmetics",D83="E-commerce &amp; Cloud Computing",D83="Electronics &amp; Entertainment",D83="Entertainment &amp; Media",D83="Luxury Goods",D83="Media &amp; Telecommunications",D83="Networking Technology",D83="Real Estate Services",D83="Technology &amp; Consumer Electronics",D83="Telecommunications",D83="Telecommunications &amp; Investment"),1,
OR(D83="Asset Management",D83="Banking",D83="Banking &amp; Asset Services",D83="Banking &amp; Financial Services",D83="Banking &amp; Wealth Management",D83="Cloud Software",D83="Enterprise Software",D83="Financial Services",D83="Information Technology Consulting",D83="Investment Banking",D83="Social Media &amp; Technology",D83="Software &amp; Cloud Computing",D83="Technology &amp; Consulting",D83="Technology &amp; Internet Services",D83="Technology &amp; Software"),1,
TRUE,"Unmapped"
)</f>
        <v>2</v>
      </c>
      <c r="H83" s="5">
        <v>1</v>
      </c>
      <c r="I83" s="5">
        <f>VLOOKUP(B83,'BIS + EDBA Final'!A:F,6,FALSE)</f>
        <v>0</v>
      </c>
      <c r="J83" s="5">
        <f>VLOOKUP(B83,'CBG Final'!A:B,2,FALSE)</f>
        <v>3</v>
      </c>
      <c r="K83" s="9">
        <f t="shared" si="1"/>
        <v>1.8</v>
      </c>
      <c r="L83" s="5" t="s">
        <v>1175</v>
      </c>
      <c r="M83" s="5" t="s">
        <v>710</v>
      </c>
      <c r="N83" s="5" t="s">
        <v>1176</v>
      </c>
      <c r="O83" s="5" t="s">
        <v>1177</v>
      </c>
      <c r="P83" s="5" t="s">
        <v>1178</v>
      </c>
      <c r="Q83" s="5" t="s">
        <v>683</v>
      </c>
      <c r="R83" s="5" t="s">
        <v>20</v>
      </c>
      <c r="S83" s="10"/>
      <c r="T83" s="11"/>
      <c r="U83" s="11"/>
      <c r="V83" s="10"/>
      <c r="W83" s="10"/>
      <c r="X83" s="11"/>
      <c r="Y83" s="11"/>
      <c r="Z83" s="10"/>
      <c r="AA83" s="10"/>
      <c r="AB83" s="10"/>
      <c r="AC83" s="10"/>
      <c r="AD83" s="10"/>
      <c r="AE83" s="10"/>
      <c r="AF83" s="10"/>
      <c r="AG83" s="10"/>
      <c r="AH83" s="10"/>
    </row>
    <row r="84" spans="1:34" ht="15.75" customHeight="1">
      <c r="A84" s="5"/>
      <c r="B84" s="5" t="s">
        <v>355</v>
      </c>
      <c r="C84" s="6" t="s">
        <v>62</v>
      </c>
      <c r="D84" s="7" t="s">
        <v>356</v>
      </c>
      <c r="E84" s="8">
        <v>138129</v>
      </c>
      <c r="F84" s="6" cm="1">
        <f t="array" ref="F84">_xlfn.IFS(
E84&lt;=$E$245,0,
E84&lt;=$E$246,1,
E84&lt;=$E$247,2,
E84&gt;=$E$247,3)</f>
        <v>2</v>
      </c>
      <c r="G84" s="7" cm="1">
        <f t="array" ref="G84">_xlfn.IFS(
OR(D84="Aerospace",D84="Aerospace &amp; Defense",D84="Agricultural Equipment",D84="Airlines",D84="Automotive",D84="Automotive &amp; Energy",D84="Automotive Components",D84="Aviation",D84="Building Materials",D84="Chemicals",D84="Commercial Vehicles",D84="Conglomerate &amp; Defense",D84="Conglomerate &amp; Energy",D84="Construction",D84="Construction &amp; Infrastructure",D84="Construction &amp; Real Estate",D84="Construction &amp; Telecom",D84="Discount Retail",D84="Energy Management",D84="Energy Technology",D84="Engines &amp; Power Systems",D84="Environmental Services",D84="Food Distribution",D84="Food Services",D84="Grocery Retail",D84="Healthcare &amp; Pharmacy",D84="Home Improvement Retail",D84="Industrial Engineering &amp; Electronics",D84="Oilfield Services",D84="Pharmaceuticals",D84="Pharmaceuticals &amp; Chemicals",D84="Pharmaceuticals &amp; Healthcare",D84="Pharmacy Retail",D84="Postal &amp; Logistics",D84="Retail",D84="Retail &amp; Distribution",D84="Retail &amp; Grocery",D84="Retail (IKEA)",D84="Tobacco",D84="Trading &amp; Conglomerate",D84="Utilities",D84="Utilities &amp; Energy",D84="Wholesale Retail"),2,
OR(D84="Agribusiness",D84="Automotive &amp; Heavy Vehicles",D84="Chemicals",D84="Commercial Vehicles",D84="Construction",D84="Construction &amp; Infrastructure",D84="Engines &amp; Power Systems",D84="Food Processing",D84="Healthcare",D84="Healthcare &amp; Medical Devices",D84="Heavy Equipment",D84="Heavy Industry",D84="Industrial Gases",D84="Industrial Manufacturing",D84="Logistics",D84="Medical Devices",D84="Mining",D84="Mining &amp; Commodities Trading",D84="Oil &amp; Gas",D84="Oilfield Services",D84="Rail Transport",D84="Shipping &amp; Logistics",D84="Steel"),3,
OR(D84="Apparel &amp; Footwear",D84="Beverage",D84="Coffeehouse &amp; Retail",D84="Conglomerate",D84="Consumer Goods",D84="Convenience Retail",D84="Electronics",D84="Electronics &amp; Semiconductors",D84="Electronics Retail",D84="Fashion Retail",D84="Food &amp; Beverage",D84="Food Retail &amp; Consumer Goods",D84="Industrial &amp; Technology",D84="Industrial Automation",D84="Industrial Technology",D84="Postal &amp; Financial Services",D84="Postal Services",D84="Scientific Instruments",D84="Technology Hardware",D84="Trading Company",D84="IT Consulting"),1,
OR(D84="Cosmetics",D84="E-commerce &amp; Cloud Computing",D84="Electronics &amp; Entertainment",D84="Entertainment &amp; Media",D84="Luxury Goods",D84="Media &amp; Telecommunications",D84="Networking Technology",D84="Real Estate Services",D84="Technology &amp; Consumer Electronics",D84="Telecommunications",D84="Telecommunications &amp; Investment"),1,
OR(D84="Asset Management",D84="Banking",D84="Banking &amp; Asset Services",D84="Banking &amp; Financial Services",D84="Banking &amp; Wealth Management",D84="Cloud Software",D84="Enterprise Software",D84="Financial Services",D84="Information Technology Consulting",D84="Investment Banking",D84="Social Media &amp; Technology",D84="Software &amp; Cloud Computing",D84="Technology &amp; Consulting",D84="Technology &amp; Internet Services",D84="Technology &amp; Software"),1,
TRUE,"Unmapped"
)</f>
        <v>2</v>
      </c>
      <c r="H84" s="5">
        <v>2</v>
      </c>
      <c r="I84" s="5">
        <f>VLOOKUP(B84,'BIS + EDBA Final'!A:F,6,FALSE)</f>
        <v>0</v>
      </c>
      <c r="J84" s="5">
        <f>VLOOKUP(B84,'CBG Final'!A:B,2,FALSE)</f>
        <v>2</v>
      </c>
      <c r="K84" s="9">
        <f t="shared" si="1"/>
        <v>1.7999999999999998</v>
      </c>
      <c r="L84" s="5" t="s">
        <v>1030</v>
      </c>
      <c r="M84" s="5" t="s">
        <v>1031</v>
      </c>
      <c r="N84" s="5" t="s">
        <v>1032</v>
      </c>
      <c r="O84" s="5" t="s">
        <v>375</v>
      </c>
      <c r="P84" s="5" t="s">
        <v>1033</v>
      </c>
      <c r="Q84" s="5" t="s">
        <v>29</v>
      </c>
      <c r="R84" s="5" t="s">
        <v>20</v>
      </c>
      <c r="S84" s="10"/>
      <c r="T84" s="11"/>
      <c r="U84" s="11"/>
      <c r="V84" s="10"/>
      <c r="W84" s="10"/>
      <c r="X84" s="11"/>
      <c r="Y84" s="11"/>
      <c r="Z84" s="10"/>
      <c r="AA84" s="10"/>
      <c r="AB84" s="10"/>
      <c r="AC84" s="10"/>
      <c r="AD84" s="10"/>
      <c r="AE84" s="10"/>
      <c r="AF84" s="10"/>
      <c r="AG84" s="10"/>
      <c r="AH84" s="10"/>
    </row>
    <row r="85" spans="1:34" ht="15.75" customHeight="1">
      <c r="A85" s="5"/>
      <c r="B85" s="5" t="s">
        <v>304</v>
      </c>
      <c r="C85" s="6" t="s">
        <v>62</v>
      </c>
      <c r="D85" s="7" t="s">
        <v>204</v>
      </c>
      <c r="E85" s="8">
        <v>120739</v>
      </c>
      <c r="F85" s="6" cm="1">
        <f t="array" ref="F85">_xlfn.IFS(
E85&lt;=$E$245,0,
E85&lt;=$E$246,1,
E85&lt;=$E$247,2,
E85&gt;=$E$247,3)</f>
        <v>2</v>
      </c>
      <c r="G85" s="7" cm="1">
        <f t="array" ref="G85">_xlfn.IFS(
OR(D85="Aerospace",D85="Aerospace &amp; Defense",D85="Agricultural Equipment",D85="Airlines",D85="Automotive",D85="Automotive &amp; Energy",D85="Automotive Components",D85="Aviation",D85="Building Materials",D85="Chemicals",D85="Commercial Vehicles",D85="Conglomerate &amp; Defense",D85="Conglomerate &amp; Energy",D85="Construction",D85="Construction &amp; Infrastructure",D85="Construction &amp; Real Estate",D85="Construction &amp; Telecom",D85="Discount Retail",D85="Energy Management",D85="Energy Technology",D85="Engines &amp; Power Systems",D85="Environmental Services",D85="Food Distribution",D85="Food Services",D85="Grocery Retail",D85="Healthcare &amp; Pharmacy",D85="Home Improvement Retail",D85="Industrial Engineering &amp; Electronics",D85="Oilfield Services",D85="Pharmaceuticals",D85="Pharmaceuticals &amp; Chemicals",D85="Pharmaceuticals &amp; Healthcare",D85="Pharmacy Retail",D85="Postal &amp; Logistics",D85="Retail",D85="Retail &amp; Distribution",D85="Retail &amp; Grocery",D85="Retail (IKEA)",D85="Tobacco",D85="Trading &amp; Conglomerate",D85="Utilities",D85="Utilities &amp; Energy",D85="Wholesale Retail"),2,
OR(D85="Agribusiness",D85="Automotive &amp; Heavy Vehicles",D85="Chemicals",D85="Commercial Vehicles",D85="Construction",D85="Construction &amp; Infrastructure",D85="Engines &amp; Power Systems",D85="Food Processing",D85="Healthcare",D85="Healthcare &amp; Medical Devices",D85="Heavy Equipment",D85="Heavy Industry",D85="Industrial Gases",D85="Industrial Manufacturing",D85="Logistics",D85="Medical Devices",D85="Mining",D85="Mining &amp; Commodities Trading",D85="Oil &amp; Gas",D85="Oilfield Services",D85="Rail Transport",D85="Shipping &amp; Logistics",D85="Steel"),3,
OR(D85="Apparel &amp; Footwear",D85="Beverage",D85="Coffeehouse &amp; Retail",D85="Conglomerate",D85="Consumer Goods",D85="Convenience Retail",D85="Electronics",D85="Electronics &amp; Semiconductors",D85="Electronics Retail",D85="Fashion Retail",D85="Food &amp; Beverage",D85="Food Retail &amp; Consumer Goods",D85="Industrial &amp; Technology",D85="Industrial Automation",D85="Industrial Technology",D85="Postal &amp; Financial Services",D85="Postal Services",D85="Scientific Instruments",D85="Technology Hardware",D85="Trading Company",D85="IT Consulting"),1,
OR(D85="Cosmetics",D85="E-commerce &amp; Cloud Computing",D85="Electronics &amp; Entertainment",D85="Entertainment &amp; Media",D85="Luxury Goods",D85="Media &amp; Telecommunications",D85="Networking Technology",D85="Real Estate Services",D85="Technology &amp; Consumer Electronics",D85="Telecommunications",D85="Telecommunications &amp; Investment"),1,
OR(D85="Asset Management",D85="Banking",D85="Banking &amp; Asset Services",D85="Banking &amp; Financial Services",D85="Banking &amp; Wealth Management",D85="Cloud Software",D85="Enterprise Software",D85="Financial Services",D85="Information Technology Consulting",D85="Investment Banking",D85="Social Media &amp; Technology",D85="Software &amp; Cloud Computing",D85="Technology &amp; Consulting",D85="Technology &amp; Internet Services",D85="Technology &amp; Software"),1,
TRUE,"Unmapped"
)</f>
        <v>3</v>
      </c>
      <c r="H85" s="5">
        <f>VLOOKUP(B85,'BIS + EDBA Final'!A:K,2,FALSE)</f>
        <v>2</v>
      </c>
      <c r="I85" s="5">
        <f>VLOOKUP(B85,'BIS + EDBA Final'!A:F,6,FALSE)</f>
        <v>1</v>
      </c>
      <c r="J85" s="5">
        <f>VLOOKUP(B85,'CBG Final'!A:B,2,FALSE)</f>
        <v>0</v>
      </c>
      <c r="K85" s="9">
        <f t="shared" si="1"/>
        <v>1.7000000000000002</v>
      </c>
      <c r="L85" s="5" t="s">
        <v>305</v>
      </c>
      <c r="M85" s="5" t="s">
        <v>306</v>
      </c>
      <c r="N85" s="5" t="s">
        <v>307</v>
      </c>
      <c r="O85" s="5" t="s">
        <v>308</v>
      </c>
      <c r="P85" s="5" t="s">
        <v>309</v>
      </c>
      <c r="Q85" s="5" t="s">
        <v>310</v>
      </c>
      <c r="R85" s="5" t="s">
        <v>20</v>
      </c>
      <c r="S85" s="10"/>
      <c r="T85" s="11"/>
      <c r="U85" s="11"/>
      <c r="V85" s="10"/>
      <c r="W85" s="10"/>
      <c r="X85" s="11"/>
      <c r="Y85" s="11"/>
      <c r="Z85" s="10"/>
      <c r="AA85" s="10"/>
      <c r="AB85" s="10"/>
      <c r="AC85" s="10"/>
      <c r="AD85" s="10"/>
      <c r="AE85" s="10"/>
      <c r="AF85" s="10"/>
      <c r="AG85" s="10"/>
      <c r="AH85" s="10"/>
    </row>
    <row r="86" spans="1:34" ht="15.75" customHeight="1">
      <c r="A86" s="5"/>
      <c r="B86" s="5" t="s">
        <v>109</v>
      </c>
      <c r="C86" s="6" t="s">
        <v>110</v>
      </c>
      <c r="D86" s="7" t="s">
        <v>111</v>
      </c>
      <c r="E86" s="8">
        <v>104890</v>
      </c>
      <c r="F86" s="6" cm="1">
        <f t="array" ref="F86">_xlfn.IFS(
E86&lt;=$E$245,0,
E86&lt;=$E$246,1,
E86&lt;=$E$247,2,
E86&gt;=$E$247,3)</f>
        <v>1</v>
      </c>
      <c r="G86" s="7" cm="1">
        <f t="array" ref="G86">_xlfn.IFS(
OR(D86="Aerospace",D86="Aerospace &amp; Defense",D86="Agricultural Equipment",D86="Airlines",D86="Automotive",D86="Automotive &amp; Energy",D86="Automotive Components",D86="Aviation",D86="Building Materials",D86="Chemicals",D86="Commercial Vehicles",D86="Conglomerate &amp; Defense",D86="Conglomerate &amp; Energy",D86="Construction",D86="Construction &amp; Infrastructure",D86="Construction &amp; Real Estate",D86="Construction &amp; Telecom",D86="Discount Retail",D86="Energy Management",D86="Energy Technology",D86="Engines &amp; Power Systems",D86="Environmental Services",D86="Food Distribution",D86="Food Services",D86="Grocery Retail",D86="Healthcare &amp; Pharmacy",D86="Home Improvement Retail",D86="Industrial Engineering &amp; Electronics",D86="Oilfield Services",D86="Pharmaceuticals",D86="Pharmaceuticals &amp; Chemicals",D86="Pharmaceuticals &amp; Healthcare",D86="Pharmacy Retail",D86="Postal &amp; Logistics",D86="Retail",D86="Retail &amp; Distribution",D86="Retail &amp; Grocery",D86="Retail (IKEA)",D86="Tobacco",D86="Trading &amp; Conglomerate",D86="Utilities",D86="Utilities &amp; Energy",D86="Wholesale Retail"),2,
OR(D86="Agribusiness",D86="Automotive &amp; Heavy Vehicles",D86="Chemicals",D86="Commercial Vehicles",D86="Construction",D86="Construction &amp; Infrastructure",D86="Engines &amp; Power Systems",D86="Food Processing",D86="Healthcare",D86="Healthcare &amp; Medical Devices",D86="Heavy Equipment",D86="Heavy Industry",D86="Industrial Gases",D86="Industrial Manufacturing",D86="Logistics",D86="Medical Devices",D86="Mining",D86="Mining &amp; Commodities Trading",D86="Oil &amp; Gas",D86="Oilfield Services",D86="Rail Transport",D86="Shipping &amp; Logistics",D86="Steel"),3,
OR(D86="Apparel &amp; Footwear",D86="Beverage",D86="Coffeehouse &amp; Retail",D86="Conglomerate",D86="Consumer Goods",D86="Convenience Retail",D86="Electronics",D86="Electronics &amp; Semiconductors",D86="Electronics Retail",D86="Fashion Retail",D86="Food &amp; Beverage",D86="Food Retail &amp; Consumer Goods",D86="Industrial &amp; Technology",D86="Industrial Automation",D86="Industrial Technology",D86="Postal &amp; Financial Services",D86="Postal Services",D86="Scientific Instruments",D86="Technology Hardware",D86="Trading Company",D86="IT Consulting"),1,
OR(D86="Cosmetics",D86="E-commerce &amp; Cloud Computing",D86="Electronics &amp; Entertainment",D86="Entertainment &amp; Media",D86="Luxury Goods",D86="Media &amp; Telecommunications",D86="Networking Technology",D86="Real Estate Services",D86="Technology &amp; Consumer Electronics",D86="Telecommunications",D86="Telecommunications &amp; Investment"),1,
OR(D86="Asset Management",D86="Banking",D86="Banking &amp; Asset Services",D86="Banking &amp; Financial Services",D86="Banking &amp; Wealth Management",D86="Cloud Software",D86="Enterprise Software",D86="Financial Services",D86="Information Technology Consulting",D86="Investment Banking",D86="Social Media &amp; Technology",D86="Software &amp; Cloud Computing",D86="Technology &amp; Consulting",D86="Technology &amp; Internet Services",D86="Technology &amp; Software"),1,
TRUE,"Unmapped"
)</f>
        <v>3</v>
      </c>
      <c r="H86" s="5">
        <f>VLOOKUP(B86,'BIS + EDBA Final'!A:K,2,FALSE)</f>
        <v>1</v>
      </c>
      <c r="I86" s="5">
        <f>VLOOKUP(B86,'BIS + EDBA Final'!A:F,6,FALSE)</f>
        <v>0</v>
      </c>
      <c r="J86" s="5">
        <f>VLOOKUP(B86,'CBG Final'!A:B,2,FALSE)</f>
        <v>3</v>
      </c>
      <c r="K86" s="9">
        <f t="shared" si="1"/>
        <v>1.7000000000000002</v>
      </c>
      <c r="L86" s="5" t="s">
        <v>112</v>
      </c>
      <c r="M86" s="5" t="s">
        <v>113</v>
      </c>
      <c r="N86" s="5" t="s">
        <v>114</v>
      </c>
      <c r="O86" s="5" t="s">
        <v>115</v>
      </c>
      <c r="P86" s="5" t="s">
        <v>116</v>
      </c>
      <c r="Q86" s="5" t="s">
        <v>54</v>
      </c>
      <c r="R86" s="5" t="s">
        <v>30</v>
      </c>
      <c r="S86" s="10"/>
      <c r="T86" s="11"/>
      <c r="U86" s="11"/>
      <c r="V86" s="10"/>
      <c r="W86" s="10"/>
      <c r="X86" s="10"/>
      <c r="Y86" s="10"/>
      <c r="Z86" s="10"/>
      <c r="AA86" s="10"/>
      <c r="AB86" s="10"/>
      <c r="AC86" s="10"/>
      <c r="AD86" s="10"/>
      <c r="AE86" s="10"/>
      <c r="AF86" s="10"/>
      <c r="AG86" s="10"/>
      <c r="AH86" s="10"/>
    </row>
    <row r="87" spans="1:34" ht="15.75" customHeight="1">
      <c r="A87" s="5"/>
      <c r="B87" s="5" t="s">
        <v>1113</v>
      </c>
      <c r="C87" s="6" t="s">
        <v>71</v>
      </c>
      <c r="D87" s="7" t="s">
        <v>86</v>
      </c>
      <c r="E87" s="8">
        <v>169198</v>
      </c>
      <c r="F87" s="6" cm="1">
        <f t="array" ref="F87">_xlfn.IFS(
E87&lt;=$E$245,0,
E87&lt;=$E$246,1,
E87&lt;=$E$247,2,
E87&gt;=$E$247,3)</f>
        <v>2</v>
      </c>
      <c r="G87" s="7" cm="1">
        <f t="array" ref="G87">_xlfn.IFS(
OR(D87="Aerospace",D87="Aerospace &amp; Defense",D87="Agricultural Equipment",D87="Airlines",D87="Automotive",D87="Automotive &amp; Energy",D87="Automotive Components",D87="Aviation",D87="Building Materials",D87="Chemicals",D87="Commercial Vehicles",D87="Conglomerate &amp; Defense",D87="Conglomerate &amp; Energy",D87="Construction",D87="Construction &amp; Infrastructure",D87="Construction &amp; Real Estate",D87="Construction &amp; Telecom",D87="Discount Retail",D87="Energy Management",D87="Energy Technology",D87="Engines &amp; Power Systems",D87="Environmental Services",D87="Food Distribution",D87="Food Services",D87="Grocery Retail",D87="Healthcare &amp; Pharmacy",D87="Home Improvement Retail",D87="Industrial Engineering &amp; Electronics",D87="Oilfield Services",D87="Pharmaceuticals",D87="Pharmaceuticals &amp; Chemicals",D87="Pharmaceuticals &amp; Healthcare",D87="Pharmacy Retail",D87="Postal &amp; Logistics",D87="Retail",D87="Retail &amp; Distribution",D87="Retail &amp; Grocery",D87="Retail (IKEA)",D87="Tobacco",D87="Trading &amp; Conglomerate",D87="Utilities",D87="Utilities &amp; Energy",D87="Wholesale Retail"),2,
OR(D87="Agribusiness",D87="Automotive &amp; Heavy Vehicles",D87="Chemicals",D87="Commercial Vehicles",D87="Construction",D87="Construction &amp; Infrastructure",D87="Engines &amp; Power Systems",D87="Food Processing",D87="Healthcare",D87="Healthcare &amp; Medical Devices",D87="Heavy Equipment",D87="Heavy Industry",D87="Industrial Gases",D87="Industrial Manufacturing",D87="Logistics",D87="Medical Devices",D87="Mining",D87="Mining &amp; Commodities Trading",D87="Oil &amp; Gas",D87="Oilfield Services",D87="Rail Transport",D87="Shipping &amp; Logistics",D87="Steel"),3,
OR(D87="Apparel &amp; Footwear",D87="Beverage",D87="Coffeehouse &amp; Retail",D87="Conglomerate",D87="Consumer Goods",D87="Convenience Retail",D87="Electronics",D87="Electronics &amp; Semiconductors",D87="Electronics Retail",D87="Fashion Retail",D87="Food &amp; Beverage",D87="Food Retail &amp; Consumer Goods",D87="Industrial &amp; Technology",D87="Industrial Automation",D87="Industrial Technology",D87="Postal &amp; Financial Services",D87="Postal Services",D87="Scientific Instruments",D87="Technology Hardware",D87="Trading Company",D87="IT Consulting"),1,
OR(D87="Cosmetics",D87="E-commerce &amp; Cloud Computing",D87="Electronics &amp; Entertainment",D87="Entertainment &amp; Media",D87="Luxury Goods",D87="Media &amp; Telecommunications",D87="Networking Technology",D87="Real Estate Services",D87="Technology &amp; Consumer Electronics",D87="Telecommunications",D87="Telecommunications &amp; Investment"),1,
OR(D87="Asset Management",D87="Banking",D87="Banking &amp; Asset Services",D87="Banking &amp; Financial Services",D87="Banking &amp; Wealth Management",D87="Cloud Software",D87="Enterprise Software",D87="Financial Services",D87="Information Technology Consulting",D87="Investment Banking",D87="Social Media &amp; Technology",D87="Software &amp; Cloud Computing",D87="Technology &amp; Consulting",D87="Technology &amp; Internet Services",D87="Technology &amp; Software"),1,
TRUE,"Unmapped"
)</f>
        <v>2</v>
      </c>
      <c r="H87" s="5">
        <v>1</v>
      </c>
      <c r="I87" s="5">
        <f>VLOOKUP(B87,'BIS + EDBA Final'!A:F,6,FALSE)</f>
        <v>1</v>
      </c>
      <c r="J87" s="5">
        <f>VLOOKUP(B87,'CBG Final'!A:B,2,FALSE)</f>
        <v>2</v>
      </c>
      <c r="K87" s="9">
        <f t="shared" si="1"/>
        <v>1.7000000000000002</v>
      </c>
      <c r="L87" s="5" t="s">
        <v>1114</v>
      </c>
      <c r="M87" s="5" t="s">
        <v>1115</v>
      </c>
      <c r="N87" s="5" t="s">
        <v>1116</v>
      </c>
      <c r="O87" s="5" t="s">
        <v>971</v>
      </c>
      <c r="P87" s="5" t="s">
        <v>1117</v>
      </c>
      <c r="Q87" s="5" t="s">
        <v>425</v>
      </c>
      <c r="R87" s="5" t="s">
        <v>20</v>
      </c>
      <c r="S87" s="10"/>
      <c r="T87" s="11"/>
      <c r="U87" s="11"/>
      <c r="V87" s="10"/>
      <c r="W87" s="10"/>
      <c r="X87" s="11"/>
      <c r="Y87" s="11"/>
      <c r="Z87" s="10"/>
      <c r="AA87" s="10"/>
      <c r="AB87" s="10"/>
      <c r="AC87" s="10"/>
      <c r="AD87" s="10"/>
      <c r="AE87" s="10"/>
      <c r="AF87" s="10"/>
      <c r="AG87" s="10"/>
      <c r="AH87" s="10"/>
    </row>
    <row r="88" spans="1:34" ht="15.75" customHeight="1">
      <c r="A88" s="5"/>
      <c r="B88" s="5" t="s">
        <v>854</v>
      </c>
      <c r="C88" s="6" t="s">
        <v>36</v>
      </c>
      <c r="D88" s="7" t="s">
        <v>855</v>
      </c>
      <c r="E88" s="8">
        <v>194200</v>
      </c>
      <c r="F88" s="6" cm="1">
        <f t="array" ref="F88">_xlfn.IFS(
E88&lt;=$E$245,0,
E88&lt;=$E$246,1,
E88&lt;=$E$247,2,
E88&gt;=$E$247,3)</f>
        <v>2</v>
      </c>
      <c r="G88" s="7" cm="1">
        <f t="array" ref="G88">_xlfn.IFS(
OR(D88="Aerospace",D88="Aerospace &amp; Defense",D88="Agricultural Equipment",D88="Airlines",D88="Automotive",D88="Automotive &amp; Energy",D88="Automotive Components",D88="Aviation",D88="Building Materials",D88="Chemicals",D88="Commercial Vehicles",D88="Conglomerate &amp; Defense",D88="Conglomerate &amp; Energy",D88="Construction",D88="Construction &amp; Infrastructure",D88="Construction &amp; Real Estate",D88="Construction &amp; Telecom",D88="Discount Retail",D88="Energy Management",D88="Energy Technology",D88="Engines &amp; Power Systems",D88="Environmental Services",D88="Food Distribution",D88="Food Services",D88="Grocery Retail",D88="Healthcare &amp; Pharmacy",D88="Home Improvement Retail",D88="Industrial Engineering &amp; Electronics",D88="Oilfield Services",D88="Pharmaceuticals",D88="Pharmaceuticals &amp; Chemicals",D88="Pharmaceuticals &amp; Healthcare",D88="Pharmacy Retail",D88="Postal &amp; Logistics",D88="Retail",D88="Retail &amp; Distribution",D88="Retail &amp; Grocery",D88="Retail (IKEA)",D88="Tobacco",D88="Trading &amp; Conglomerate",D88="Utilities",D88="Utilities &amp; Energy",D88="Wholesale Retail"),2,
OR(D88="Agribusiness",D88="Automotive &amp; Heavy Vehicles",D88="Chemicals",D88="Commercial Vehicles",D88="Construction",D88="Construction &amp; Infrastructure",D88="Engines &amp; Power Systems",D88="Food Processing",D88="Healthcare",D88="Healthcare &amp; Medical Devices",D88="Heavy Equipment",D88="Heavy Industry",D88="Industrial Gases",D88="Industrial Manufacturing",D88="Logistics",D88="Medical Devices",D88="Mining",D88="Mining &amp; Commodities Trading",D88="Oil &amp; Gas",D88="Oilfield Services",D88="Rail Transport",D88="Shipping &amp; Logistics",D88="Steel"),3,
OR(D88="Apparel &amp; Footwear",D88="Beverage",D88="Coffeehouse &amp; Retail",D88="Conglomerate",D88="Consumer Goods",D88="Convenience Retail",D88="Electronics",D88="Electronics &amp; Semiconductors",D88="Electronics Retail",D88="Fashion Retail",D88="Food &amp; Beverage",D88="Food Retail &amp; Consumer Goods",D88="Industrial &amp; Technology",D88="Industrial Automation",D88="Industrial Technology",D88="Postal &amp; Financial Services",D88="Postal Services",D88="Scientific Instruments",D88="Technology Hardware",D88="Trading Company",D88="IT Consulting"),1,
OR(D88="Cosmetics",D88="E-commerce &amp; Cloud Computing",D88="Electronics &amp; Entertainment",D88="Entertainment &amp; Media",D88="Luxury Goods",D88="Media &amp; Telecommunications",D88="Networking Technology",D88="Real Estate Services",D88="Technology &amp; Consumer Electronics",D88="Telecommunications",D88="Telecommunications &amp; Investment"),1,
OR(D88="Asset Management",D88="Banking",D88="Banking &amp; Asset Services",D88="Banking &amp; Financial Services",D88="Banking &amp; Wealth Management",D88="Cloud Software",D88="Enterprise Software",D88="Financial Services",D88="Information Technology Consulting",D88="Investment Banking",D88="Social Media &amp; Technology",D88="Software &amp; Cloud Computing",D88="Technology &amp; Consulting",D88="Technology &amp; Internet Services",D88="Technology &amp; Software"),1,
TRUE,"Unmapped"
)</f>
        <v>2</v>
      </c>
      <c r="H88" s="5">
        <v>1</v>
      </c>
      <c r="I88" s="5">
        <f>VLOOKUP(B88,'BIS + EDBA Final'!A:F,6,FALSE)</f>
        <v>1</v>
      </c>
      <c r="J88" s="5">
        <f>VLOOKUP(B88,'CBG Final'!A:B,2,FALSE)</f>
        <v>2</v>
      </c>
      <c r="K88" s="9">
        <f t="shared" si="1"/>
        <v>1.7000000000000002</v>
      </c>
      <c r="L88" s="5" t="s">
        <v>856</v>
      </c>
      <c r="M88" s="5" t="s">
        <v>759</v>
      </c>
      <c r="N88" s="5" t="s">
        <v>857</v>
      </c>
      <c r="O88" s="5" t="s">
        <v>858</v>
      </c>
      <c r="P88" s="5" t="s">
        <v>859</v>
      </c>
      <c r="Q88" s="5" t="s">
        <v>180</v>
      </c>
      <c r="R88" s="5" t="s">
        <v>128</v>
      </c>
      <c r="S88" s="10"/>
      <c r="T88" s="11"/>
      <c r="U88" s="11"/>
      <c r="V88" s="10"/>
      <c r="W88" s="10"/>
      <c r="X88" s="10"/>
      <c r="Y88" s="10"/>
      <c r="Z88" s="10"/>
      <c r="AA88" s="10"/>
      <c r="AB88" s="10"/>
      <c r="AC88" s="10"/>
      <c r="AD88" s="10"/>
      <c r="AE88" s="10"/>
      <c r="AF88" s="10"/>
      <c r="AG88" s="10"/>
      <c r="AH88" s="10"/>
    </row>
    <row r="89" spans="1:34" ht="15.75" customHeight="1">
      <c r="A89" s="5"/>
      <c r="B89" s="5" t="s">
        <v>55</v>
      </c>
      <c r="C89" s="6" t="s">
        <v>36</v>
      </c>
      <c r="D89" s="7" t="s">
        <v>56</v>
      </c>
      <c r="E89" s="8">
        <v>164000</v>
      </c>
      <c r="F89" s="6" cm="1">
        <f t="array" ref="F89">_xlfn.IFS(
E89&lt;=$E$245,0,
E89&lt;=$E$246,1,
E89&lt;=$E$247,2,
E89&gt;=$E$247,3)</f>
        <v>2</v>
      </c>
      <c r="G89" s="7" cm="1">
        <f t="array" ref="G89">_xlfn.IFS(
OR(D89="Aerospace",D89="Aerospace &amp; Defense",D89="Agricultural Equipment",D89="Airlines",D89="Automotive",D89="Automotive &amp; Energy",D89="Automotive Components",D89="Aviation",D89="Building Materials",D89="Chemicals",D89="Commercial Vehicles",D89="Conglomerate &amp; Defense",D89="Conglomerate &amp; Energy",D89="Construction",D89="Construction &amp; Infrastructure",D89="Construction &amp; Real Estate",D89="Construction &amp; Telecom",D89="Discount Retail",D89="Energy Management",D89="Energy Technology",D89="Engines &amp; Power Systems",D89="Environmental Services",D89="Food Distribution",D89="Food Services",D89="Grocery Retail",D89="Healthcare &amp; Pharmacy",D89="Home Improvement Retail",D89="Industrial Engineering &amp; Electronics",D89="Oilfield Services",D89="Pharmaceuticals",D89="Pharmaceuticals &amp; Chemicals",D89="Pharmaceuticals &amp; Healthcare",D89="Pharmacy Retail",D89="Postal &amp; Logistics",D89="Retail",D89="Retail &amp; Distribution",D89="Retail &amp; Grocery",D89="Retail (IKEA)",D89="Tobacco",D89="Trading &amp; Conglomerate",D89="Utilities",D89="Utilities &amp; Energy",D89="Wholesale Retail"),2,
OR(D89="Agribusiness",D89="Automotive &amp; Heavy Vehicles",D89="Chemicals",D89="Commercial Vehicles",D89="Construction",D89="Construction &amp; Infrastructure",D89="Engines &amp; Power Systems",D89="Food Processing",D89="Healthcare",D89="Healthcare &amp; Medical Devices",D89="Heavy Equipment",D89="Heavy Industry",D89="Industrial Gases",D89="Industrial Manufacturing",D89="Logistics",D89="Medical Devices",D89="Mining",D89="Mining &amp; Commodities Trading",D89="Oil &amp; Gas",D89="Oilfield Services",D89="Rail Transport",D89="Shipping &amp; Logistics",D89="Steel"),3,
OR(D89="Apparel &amp; Footwear",D89="Beverage",D89="Coffeehouse &amp; Retail",D89="Conglomerate",D89="Consumer Goods",D89="Convenience Retail",D89="Electronics",D89="Electronics &amp; Semiconductors",D89="Electronics Retail",D89="Fashion Retail",D89="Food &amp; Beverage",D89="Food Retail &amp; Consumer Goods",D89="Industrial &amp; Technology",D89="Industrial Automation",D89="Industrial Technology",D89="Postal &amp; Financial Services",D89="Postal Services",D89="Scientific Instruments",D89="Technology Hardware",D89="Trading Company",D89="IT Consulting"),1,
OR(D89="Cosmetics",D89="E-commerce &amp; Cloud Computing",D89="Electronics &amp; Entertainment",D89="Entertainment &amp; Media",D89="Luxury Goods",D89="Media &amp; Telecommunications",D89="Networking Technology",D89="Real Estate Services",D89="Technology &amp; Consumer Electronics",D89="Telecommunications",D89="Telecommunications &amp; Investment"),1,
OR(D89="Asset Management",D89="Banking",D89="Banking &amp; Asset Services",D89="Banking &amp; Financial Services",D89="Banking &amp; Wealth Management",D89="Cloud Software",D89="Enterprise Software",D89="Financial Services",D89="Information Technology Consulting",D89="Investment Banking",D89="Social Media &amp; Technology",D89="Software &amp; Cloud Computing",D89="Technology &amp; Consulting",D89="Technology &amp; Internet Services",D89="Technology &amp; Software"),1,
TRUE,"Unmapped"
)</f>
        <v>1</v>
      </c>
      <c r="H89" s="5">
        <v>1</v>
      </c>
      <c r="I89" s="5">
        <f>VLOOKUP(B89,'BIS + EDBA Final'!A:F,6,FALSE)</f>
        <v>1</v>
      </c>
      <c r="J89" s="5">
        <f>VLOOKUP(B89,'CBG Final'!A:B,2,FALSE)</f>
        <v>3</v>
      </c>
      <c r="K89" s="9">
        <f t="shared" si="1"/>
        <v>1.7000000000000002</v>
      </c>
      <c r="L89" s="5" t="s">
        <v>547</v>
      </c>
      <c r="M89" s="5" t="s">
        <v>548</v>
      </c>
      <c r="N89" s="5" t="s">
        <v>549</v>
      </c>
      <c r="O89" s="5" t="s">
        <v>550</v>
      </c>
      <c r="P89" s="5" t="s">
        <v>551</v>
      </c>
      <c r="Q89" s="5" t="s">
        <v>19</v>
      </c>
      <c r="R89" s="5" t="s">
        <v>108</v>
      </c>
      <c r="S89" s="10"/>
      <c r="T89" s="11"/>
      <c r="U89" s="11"/>
      <c r="V89" s="10"/>
      <c r="W89" s="10"/>
      <c r="X89" s="11"/>
      <c r="Y89" s="11"/>
      <c r="Z89" s="10"/>
      <c r="AA89" s="10"/>
      <c r="AB89" s="10"/>
      <c r="AC89" s="10"/>
      <c r="AD89" s="10"/>
      <c r="AE89" s="10"/>
      <c r="AF89" s="10"/>
      <c r="AG89" s="10"/>
      <c r="AH89" s="10"/>
    </row>
    <row r="90" spans="1:34" ht="15.75" customHeight="1">
      <c r="A90" s="5"/>
      <c r="B90" s="5" t="s">
        <v>562</v>
      </c>
      <c r="C90" s="6" t="s">
        <v>36</v>
      </c>
      <c r="D90" s="7" t="s">
        <v>266</v>
      </c>
      <c r="E90" s="8">
        <v>140990</v>
      </c>
      <c r="F90" s="6" cm="1">
        <f t="array" ref="F90">_xlfn.IFS(
E90&lt;=$E$245,0,
E90&lt;=$E$246,1,
E90&lt;=$E$247,2,
E90&gt;=$E$247,3)</f>
        <v>2</v>
      </c>
      <c r="G90" s="7" cm="1">
        <f t="array" ref="G90">_xlfn.IFS(
OR(D90="Aerospace",D90="Aerospace &amp; Defense",D90="Agricultural Equipment",D90="Airlines",D90="Automotive",D90="Automotive &amp; Energy",D90="Automotive Components",D90="Aviation",D90="Building Materials",D90="Chemicals",D90="Commercial Vehicles",D90="Conglomerate &amp; Defense",D90="Conglomerate &amp; Energy",D90="Construction",D90="Construction &amp; Infrastructure",D90="Construction &amp; Real Estate",D90="Construction &amp; Telecom",D90="Discount Retail",D90="Energy Management",D90="Energy Technology",D90="Engines &amp; Power Systems",D90="Environmental Services",D90="Food Distribution",D90="Food Services",D90="Grocery Retail",D90="Healthcare &amp; Pharmacy",D90="Home Improvement Retail",D90="Industrial Engineering &amp; Electronics",D90="Oilfield Services",D90="Pharmaceuticals",D90="Pharmaceuticals &amp; Chemicals",D90="Pharmaceuticals &amp; Healthcare",D90="Pharmacy Retail",D90="Postal &amp; Logistics",D90="Retail",D90="Retail &amp; Distribution",D90="Retail &amp; Grocery",D90="Retail (IKEA)",D90="Tobacco",D90="Trading &amp; Conglomerate",D90="Utilities",D90="Utilities &amp; Energy",D90="Wholesale Retail"),2,
OR(D90="Agribusiness",D90="Automotive &amp; Heavy Vehicles",D90="Chemicals",D90="Commercial Vehicles",D90="Construction",D90="Construction &amp; Infrastructure",D90="Engines &amp; Power Systems",D90="Food Processing",D90="Healthcare",D90="Healthcare &amp; Medical Devices",D90="Heavy Equipment",D90="Heavy Industry",D90="Industrial Gases",D90="Industrial Manufacturing",D90="Logistics",D90="Medical Devices",D90="Mining",D90="Mining &amp; Commodities Trading",D90="Oil &amp; Gas",D90="Oilfield Services",D90="Rail Transport",D90="Shipping &amp; Logistics",D90="Steel"),3,
OR(D90="Apparel &amp; Footwear",D90="Beverage",D90="Coffeehouse &amp; Retail",D90="Conglomerate",D90="Consumer Goods",D90="Convenience Retail",D90="Electronics",D90="Electronics &amp; Semiconductors",D90="Electronics Retail",D90="Fashion Retail",D90="Food &amp; Beverage",D90="Food Retail &amp; Consumer Goods",D90="Industrial &amp; Technology",D90="Industrial Automation",D90="Industrial Technology",D90="Postal &amp; Financial Services",D90="Postal Services",D90="Scientific Instruments",D90="Technology Hardware",D90="Trading Company",D90="IT Consulting"),1,
OR(D90="Cosmetics",D90="E-commerce &amp; Cloud Computing",D90="Electronics &amp; Entertainment",D90="Entertainment &amp; Media",D90="Luxury Goods",D90="Media &amp; Telecommunications",D90="Networking Technology",D90="Real Estate Services",D90="Technology &amp; Consumer Electronics",D90="Telecommunications",D90="Telecommunications &amp; Investment"),1,
OR(D90="Asset Management",D90="Banking",D90="Banking &amp; Asset Services",D90="Banking &amp; Financial Services",D90="Banking &amp; Wealth Management",D90="Cloud Software",D90="Enterprise Software",D90="Financial Services",D90="Information Technology Consulting",D90="Investment Banking",D90="Social Media &amp; Technology",D90="Software &amp; Cloud Computing",D90="Technology &amp; Consulting",D90="Technology &amp; Internet Services",D90="Technology &amp; Software"),1,
TRUE,"Unmapped"
)</f>
        <v>1</v>
      </c>
      <c r="H90" s="5">
        <v>1</v>
      </c>
      <c r="I90" s="5">
        <f>VLOOKUP(B90,'BIS + EDBA Final'!A:F,6,FALSE)</f>
        <v>1</v>
      </c>
      <c r="J90" s="5">
        <f>VLOOKUP(B90,'CBG Final'!A:B,2,FALSE)</f>
        <v>3</v>
      </c>
      <c r="K90" s="9">
        <f t="shared" si="1"/>
        <v>1.7000000000000002</v>
      </c>
      <c r="L90" s="5" t="s">
        <v>563</v>
      </c>
      <c r="M90" s="5" t="s">
        <v>231</v>
      </c>
      <c r="N90" s="5" t="s">
        <v>564</v>
      </c>
      <c r="O90" s="5" t="s">
        <v>565</v>
      </c>
      <c r="P90" s="5" t="s">
        <v>566</v>
      </c>
      <c r="Q90" s="5" t="s">
        <v>69</v>
      </c>
      <c r="R90" s="5" t="s">
        <v>20</v>
      </c>
      <c r="S90" s="10"/>
      <c r="T90" s="11"/>
      <c r="U90" s="11"/>
      <c r="V90" s="10"/>
      <c r="W90" s="10"/>
      <c r="X90" s="11"/>
      <c r="Y90" s="11"/>
      <c r="Z90" s="10"/>
      <c r="AA90" s="10"/>
      <c r="AB90" s="10"/>
      <c r="AC90" s="10"/>
      <c r="AD90" s="10"/>
      <c r="AE90" s="10"/>
      <c r="AF90" s="10"/>
      <c r="AG90" s="10"/>
      <c r="AH90" s="10"/>
    </row>
    <row r="91" spans="1:34" ht="15.75" customHeight="1">
      <c r="A91" s="5"/>
      <c r="B91" s="5" t="s">
        <v>738</v>
      </c>
      <c r="C91" s="6" t="s">
        <v>36</v>
      </c>
      <c r="D91" s="7" t="s">
        <v>739</v>
      </c>
      <c r="E91" s="8">
        <v>159000</v>
      </c>
      <c r="F91" s="6" cm="1">
        <f t="array" ref="F91">_xlfn.IFS(
E91&lt;=$E$245,0,
E91&lt;=$E$246,1,
E91&lt;=$E$247,2,
E91&gt;=$E$247,3)</f>
        <v>2</v>
      </c>
      <c r="G91" s="7" cm="1">
        <f t="array" ref="G91">_xlfn.IFS(
OR(D91="Aerospace",D91="Aerospace &amp; Defense",D91="Agricultural Equipment",D91="Airlines",D91="Automotive",D91="Automotive &amp; Energy",D91="Automotive Components",D91="Aviation",D91="Building Materials",D91="Chemicals",D91="Commercial Vehicles",D91="Conglomerate &amp; Defense",D91="Conglomerate &amp; Energy",D91="Construction",D91="Construction &amp; Infrastructure",D91="Construction &amp; Real Estate",D91="Construction &amp; Telecom",D91="Discount Retail",D91="Energy Management",D91="Energy Technology",D91="Engines &amp; Power Systems",D91="Environmental Services",D91="Food Distribution",D91="Food Services",D91="Grocery Retail",D91="Healthcare &amp; Pharmacy",D91="Home Improvement Retail",D91="Industrial Engineering &amp; Electronics",D91="Oilfield Services",D91="Pharmaceuticals",D91="Pharmaceuticals &amp; Chemicals",D91="Pharmaceuticals &amp; Healthcare",D91="Pharmacy Retail",D91="Postal &amp; Logistics",D91="Retail",D91="Retail &amp; Distribution",D91="Retail &amp; Grocery",D91="Retail (IKEA)",D91="Tobacco",D91="Trading &amp; Conglomerate",D91="Utilities",D91="Utilities &amp; Energy",D91="Wholesale Retail"),2,
OR(D91="Agribusiness",D91="Automotive &amp; Heavy Vehicles",D91="Chemicals",D91="Commercial Vehicles",D91="Construction",D91="Construction &amp; Infrastructure",D91="Engines &amp; Power Systems",D91="Food Processing",D91="Healthcare",D91="Healthcare &amp; Medical Devices",D91="Heavy Equipment",D91="Heavy Industry",D91="Industrial Gases",D91="Industrial Manufacturing",D91="Logistics",D91="Medical Devices",D91="Mining",D91="Mining &amp; Commodities Trading",D91="Oil &amp; Gas",D91="Oilfield Services",D91="Rail Transport",D91="Shipping &amp; Logistics",D91="Steel"),3,
OR(D91="Apparel &amp; Footwear",D91="Beverage",D91="Coffeehouse &amp; Retail",D91="Conglomerate",D91="Consumer Goods",D91="Convenience Retail",D91="Electronics",D91="Electronics &amp; Semiconductors",D91="Electronics Retail",D91="Fashion Retail",D91="Food &amp; Beverage",D91="Food Retail &amp; Consumer Goods",D91="Industrial &amp; Technology",D91="Industrial Automation",D91="Industrial Technology",D91="Postal &amp; Financial Services",D91="Postal Services",D91="Scientific Instruments",D91="Technology Hardware",D91="Trading Company",D91="IT Consulting"),1,
OR(D91="Cosmetics",D91="E-commerce &amp; Cloud Computing",D91="Electronics &amp; Entertainment",D91="Entertainment &amp; Media",D91="Luxury Goods",D91="Media &amp; Telecommunications",D91="Networking Technology",D91="Real Estate Services",D91="Technology &amp; Consumer Electronics",D91="Telecommunications",D91="Telecommunications &amp; Investment"),1,
OR(D91="Asset Management",D91="Banking",D91="Banking &amp; Asset Services",D91="Banking &amp; Financial Services",D91="Banking &amp; Wealth Management",D91="Cloud Software",D91="Enterprise Software",D91="Financial Services",D91="Information Technology Consulting",D91="Investment Banking",D91="Social Media &amp; Technology",D91="Software &amp; Cloud Computing",D91="Technology &amp; Consulting",D91="Technology &amp; Internet Services",D91="Technology &amp; Software"),1,
TRUE,"Unmapped"
)</f>
        <v>1</v>
      </c>
      <c r="H91" s="5">
        <v>1</v>
      </c>
      <c r="I91" s="5">
        <f>VLOOKUP(B91,'BIS + EDBA Final'!A:F,6,FALSE)</f>
        <v>1</v>
      </c>
      <c r="J91" s="5">
        <f>VLOOKUP(B91,'CBG Final'!A:B,2,FALSE)</f>
        <v>3</v>
      </c>
      <c r="K91" s="9">
        <f t="shared" si="1"/>
        <v>1.7000000000000002</v>
      </c>
      <c r="L91" s="5" t="s">
        <v>1196</v>
      </c>
      <c r="M91" s="5" t="s">
        <v>923</v>
      </c>
      <c r="N91" s="5" t="s">
        <v>1197</v>
      </c>
      <c r="O91" s="5" t="s">
        <v>1198</v>
      </c>
      <c r="P91" s="5" t="s">
        <v>1199</v>
      </c>
      <c r="Q91" s="5" t="s">
        <v>136</v>
      </c>
      <c r="R91" s="5" t="s">
        <v>353</v>
      </c>
      <c r="S91" s="10"/>
      <c r="T91" s="11"/>
      <c r="U91" s="11"/>
      <c r="V91" s="10"/>
      <c r="W91" s="10"/>
      <c r="X91" s="10"/>
      <c r="Y91" s="10"/>
      <c r="Z91" s="10"/>
      <c r="AA91" s="10"/>
      <c r="AB91" s="10"/>
      <c r="AC91" s="10"/>
      <c r="AD91" s="10"/>
      <c r="AE91" s="10"/>
      <c r="AF91" s="10"/>
      <c r="AG91" s="10"/>
      <c r="AH91" s="10"/>
    </row>
    <row r="92" spans="1:34" ht="15.75" customHeight="1">
      <c r="A92" s="5"/>
      <c r="B92" s="5" t="s">
        <v>920</v>
      </c>
      <c r="C92" s="6" t="s">
        <v>12</v>
      </c>
      <c r="D92" s="7" t="s">
        <v>921</v>
      </c>
      <c r="E92" s="8">
        <v>84146</v>
      </c>
      <c r="F92" s="6" cm="1">
        <f t="array" ref="F92">_xlfn.IFS(
E92&lt;=$E$245,0,
E92&lt;=$E$246,1,
E92&lt;=$E$247,2,
E92&gt;=$E$247,3)</f>
        <v>1</v>
      </c>
      <c r="G92" s="7" cm="1">
        <f t="array" ref="G92">_xlfn.IFS(
OR(D92="Aerospace",D92="Aerospace &amp; Defense",D92="Agricultural Equipment",D92="Airlines",D92="Automotive",D92="Automotive &amp; Energy",D92="Automotive Components",D92="Aviation",D92="Building Materials",D92="Chemicals",D92="Commercial Vehicles",D92="Conglomerate &amp; Defense",D92="Conglomerate &amp; Energy",D92="Construction",D92="Construction &amp; Infrastructure",D92="Construction &amp; Real Estate",D92="Construction &amp; Telecom",D92="Discount Retail",D92="Energy Management",D92="Energy Technology",D92="Engines &amp; Power Systems",D92="Environmental Services",D92="Food Distribution",D92="Food Services",D92="Grocery Retail",D92="Healthcare &amp; Pharmacy",D92="Home Improvement Retail",D92="Industrial Engineering &amp; Electronics",D92="Oilfield Services",D92="Pharmaceuticals",D92="Pharmaceuticals &amp; Chemicals",D92="Pharmaceuticals &amp; Healthcare",D92="Pharmacy Retail",D92="Postal &amp; Logistics",D92="Retail",D92="Retail &amp; Distribution",D92="Retail &amp; Grocery",D92="Retail (IKEA)",D92="Tobacco",D92="Trading &amp; Conglomerate",D92="Utilities",D92="Utilities &amp; Energy",D92="Wholesale Retail"),2,
OR(D92="Agribusiness",D92="Automotive &amp; Heavy Vehicles",D92="Chemicals",D92="Commercial Vehicles",D92="Construction",D92="Construction &amp; Infrastructure",D92="Engines &amp; Power Systems",D92="Food Processing",D92="Healthcare",D92="Healthcare &amp; Medical Devices",D92="Heavy Equipment",D92="Heavy Industry",D92="Industrial Gases",D92="Industrial Manufacturing",D92="Logistics",D92="Medical Devices",D92="Mining",D92="Mining &amp; Commodities Trading",D92="Oil &amp; Gas",D92="Oilfield Services",D92="Rail Transport",D92="Shipping &amp; Logistics",D92="Steel"),3,
OR(D92="Apparel &amp; Footwear",D92="Beverage",D92="Coffeehouse &amp; Retail",D92="Conglomerate",D92="Consumer Goods",D92="Convenience Retail",D92="Electronics",D92="Electronics &amp; Semiconductors",D92="Electronics Retail",D92="Fashion Retail",D92="Food &amp; Beverage",D92="Food Retail &amp; Consumer Goods",D92="Industrial &amp; Technology",D92="Industrial Automation",D92="Industrial Technology",D92="Postal &amp; Financial Services",D92="Postal Services",D92="Scientific Instruments",D92="Technology Hardware",D92="Trading Company",D92="IT Consulting"),1,
OR(D92="Cosmetics",D92="E-commerce &amp; Cloud Computing",D92="Electronics &amp; Entertainment",D92="Entertainment &amp; Media",D92="Luxury Goods",D92="Media &amp; Telecommunications",D92="Networking Technology",D92="Real Estate Services",D92="Technology &amp; Consumer Electronics",D92="Telecommunications",D92="Telecommunications &amp; Investment"),1,
OR(D92="Asset Management",D92="Banking",D92="Banking &amp; Asset Services",D92="Banking &amp; Financial Services",D92="Banking &amp; Wealth Management",D92="Cloud Software",D92="Enterprise Software",D92="Financial Services",D92="Information Technology Consulting",D92="Investment Banking",D92="Social Media &amp; Technology",D92="Software &amp; Cloud Computing",D92="Technology &amp; Consulting",D92="Technology &amp; Internet Services",D92="Technology &amp; Software"),1,
TRUE,"Unmapped"
)</f>
        <v>3</v>
      </c>
      <c r="H92" s="5">
        <v>1</v>
      </c>
      <c r="I92" s="5">
        <f>VLOOKUP(B92,'BIS + EDBA Final'!A:F,6,FALSE)</f>
        <v>0</v>
      </c>
      <c r="J92" s="5">
        <f>VLOOKUP(B92,'CBG Final'!A:B,2,FALSE)</f>
        <v>3</v>
      </c>
      <c r="K92" s="9">
        <f t="shared" si="1"/>
        <v>1.7000000000000002</v>
      </c>
      <c r="L92" s="5" t="s">
        <v>922</v>
      </c>
      <c r="M92" s="5" t="s">
        <v>923</v>
      </c>
      <c r="N92" s="5" t="s">
        <v>924</v>
      </c>
      <c r="O92" s="5" t="s">
        <v>925</v>
      </c>
      <c r="P92" s="5" t="s">
        <v>926</v>
      </c>
      <c r="Q92" s="5" t="s">
        <v>33</v>
      </c>
      <c r="R92" s="5" t="s">
        <v>431</v>
      </c>
      <c r="S92" s="10"/>
      <c r="T92" s="11"/>
      <c r="U92" s="11"/>
      <c r="V92" s="10"/>
      <c r="W92" s="10"/>
      <c r="X92" s="11"/>
      <c r="Y92" s="11"/>
      <c r="Z92" s="10"/>
      <c r="AA92" s="10"/>
      <c r="AB92" s="10"/>
      <c r="AC92" s="10"/>
      <c r="AD92" s="10"/>
      <c r="AE92" s="10"/>
      <c r="AF92" s="10"/>
      <c r="AG92" s="10"/>
      <c r="AH92" s="10"/>
    </row>
    <row r="93" spans="1:34" ht="15.75" customHeight="1">
      <c r="A93" s="5"/>
      <c r="B93" s="5" t="s">
        <v>1303</v>
      </c>
      <c r="C93" s="6" t="s">
        <v>71</v>
      </c>
      <c r="D93" s="7" t="s">
        <v>1304</v>
      </c>
      <c r="E93" s="8">
        <v>98000</v>
      </c>
      <c r="F93" s="6" cm="1">
        <f t="array" ref="F93">_xlfn.IFS(
E93&lt;=$E$245,0,
E93&lt;=$E$246,1,
E93&lt;=$E$247,2,
E93&gt;=$E$247,3)</f>
        <v>1</v>
      </c>
      <c r="G93" s="7" cm="1">
        <f t="array" ref="G93">_xlfn.IFS(
OR(D93="Aerospace",D93="Aerospace &amp; Defense",D93="Agricultural Equipment",D93="Airlines",D93="Automotive",D93="Automotive &amp; Energy",D93="Automotive Components",D93="Aviation",D93="Building Materials",D93="Chemicals",D93="Commercial Vehicles",D93="Conglomerate &amp; Defense",D93="Conglomerate &amp; Energy",D93="Construction",D93="Construction &amp; Infrastructure",D93="Construction &amp; Real Estate",D93="Construction &amp; Telecom",D93="Discount Retail",D93="Energy Management",D93="Energy Technology",D93="Engines &amp; Power Systems",D93="Environmental Services",D93="Food Distribution",D93="Food Services",D93="Grocery Retail",D93="Healthcare &amp; Pharmacy",D93="Home Improvement Retail",D93="Industrial Engineering &amp; Electronics",D93="Oilfield Services",D93="Pharmaceuticals",D93="Pharmaceuticals &amp; Chemicals",D93="Pharmaceuticals &amp; Healthcare",D93="Pharmacy Retail",D93="Postal &amp; Logistics",D93="Retail",D93="Retail &amp; Distribution",D93="Retail &amp; Grocery",D93="Retail (IKEA)",D93="Tobacco",D93="Trading &amp; Conglomerate",D93="Utilities",D93="Utilities &amp; Energy",D93="Wholesale Retail"),2,
OR(D93="Agribusiness",D93="Automotive &amp; Heavy Vehicles",D93="Chemicals",D93="Commercial Vehicles",D93="Construction",D93="Construction &amp; Infrastructure",D93="Engines &amp; Power Systems",D93="Food Processing",D93="Healthcare",D93="Healthcare &amp; Medical Devices",D93="Heavy Equipment",D93="Heavy Industry",D93="Industrial Gases",D93="Industrial Manufacturing",D93="Logistics",D93="Medical Devices",D93="Mining",D93="Mining &amp; Commodities Trading",D93="Oil &amp; Gas",D93="Oilfield Services",D93="Rail Transport",D93="Shipping &amp; Logistics",D93="Steel"),3,
OR(D93="Apparel &amp; Footwear",D93="Beverage",D93="Coffeehouse &amp; Retail",D93="Conglomerate",D93="Consumer Goods",D93="Convenience Retail",D93="Electronics",D93="Electronics &amp; Semiconductors",D93="Electronics Retail",D93="Fashion Retail",D93="Food &amp; Beverage",D93="Food Retail &amp; Consumer Goods",D93="Industrial &amp; Technology",D93="Industrial Automation",D93="Industrial Technology",D93="Postal &amp; Financial Services",D93="Postal Services",D93="Scientific Instruments",D93="Technology Hardware",D93="Trading Company",D93="IT Consulting"),1,
OR(D93="Cosmetics",D93="E-commerce &amp; Cloud Computing",D93="Electronics &amp; Entertainment",D93="Entertainment &amp; Media",D93="Luxury Goods",D93="Media &amp; Telecommunications",D93="Networking Technology",D93="Real Estate Services",D93="Technology &amp; Consumer Electronics",D93="Telecommunications",D93="Telecommunications &amp; Investment"),1,
OR(D93="Asset Management",D93="Banking",D93="Banking &amp; Asset Services",D93="Banking &amp; Financial Services",D93="Banking &amp; Wealth Management",D93="Cloud Software",D93="Enterprise Software",D93="Financial Services",D93="Information Technology Consulting",D93="Investment Banking",D93="Social Media &amp; Technology",D93="Software &amp; Cloud Computing",D93="Technology &amp; Consulting",D93="Technology &amp; Internet Services",D93="Technology &amp; Software"),1,
TRUE,"Unmapped"
)</f>
        <v>2</v>
      </c>
      <c r="H93" s="5">
        <v>2</v>
      </c>
      <c r="I93" s="5">
        <f>VLOOKUP(B93,'BIS + EDBA Final'!A:F,6,FALSE)</f>
        <v>0</v>
      </c>
      <c r="J93" s="5">
        <f>VLOOKUP(B93,'CBG Final'!A:B,2,FALSE)</f>
        <v>3</v>
      </c>
      <c r="K93" s="9">
        <f t="shared" si="1"/>
        <v>1.7000000000000002</v>
      </c>
      <c r="L93" s="5" t="s">
        <v>1305</v>
      </c>
      <c r="M93" s="5" t="s">
        <v>1306</v>
      </c>
      <c r="N93" s="5" t="s">
        <v>1307</v>
      </c>
      <c r="O93" s="5"/>
      <c r="P93" s="5" t="s">
        <v>1308</v>
      </c>
      <c r="Q93" s="5" t="s">
        <v>319</v>
      </c>
      <c r="R93" s="5" t="s">
        <v>82</v>
      </c>
      <c r="S93" s="10"/>
      <c r="T93" s="11"/>
      <c r="U93" s="11"/>
      <c r="V93" s="10"/>
      <c r="W93" s="10"/>
      <c r="X93" s="10"/>
      <c r="Y93" s="10"/>
      <c r="Z93" s="10"/>
      <c r="AA93" s="10"/>
      <c r="AB93" s="10"/>
      <c r="AC93" s="10"/>
      <c r="AD93" s="10"/>
      <c r="AE93" s="10"/>
      <c r="AF93" s="10"/>
      <c r="AG93" s="10"/>
      <c r="AH93" s="10"/>
    </row>
    <row r="94" spans="1:34" ht="15.75" customHeight="1">
      <c r="A94" s="5"/>
      <c r="B94" s="5" t="s">
        <v>553</v>
      </c>
      <c r="C94" s="6" t="s">
        <v>94</v>
      </c>
      <c r="D94" s="7" t="s">
        <v>483</v>
      </c>
      <c r="E94" s="8">
        <v>94300</v>
      </c>
      <c r="F94" s="6" cm="1">
        <f t="array" ref="F94">_xlfn.IFS(
E94&lt;=$E$245,0,
E94&lt;=$E$246,1,
E94&lt;=$E$247,2,
E94&gt;=$E$247,3)</f>
        <v>1</v>
      </c>
      <c r="G94" s="7" cm="1">
        <f t="array" ref="G94">_xlfn.IFS(
OR(D94="Aerospace",D94="Aerospace &amp; Defense",D94="Agricultural Equipment",D94="Airlines",D94="Automotive",D94="Automotive &amp; Energy",D94="Automotive Components",D94="Aviation",D94="Building Materials",D94="Chemicals",D94="Commercial Vehicles",D94="Conglomerate &amp; Defense",D94="Conglomerate &amp; Energy",D94="Construction",D94="Construction &amp; Infrastructure",D94="Construction &amp; Real Estate",D94="Construction &amp; Telecom",D94="Discount Retail",D94="Energy Management",D94="Energy Technology",D94="Engines &amp; Power Systems",D94="Environmental Services",D94="Food Distribution",D94="Food Services",D94="Grocery Retail",D94="Healthcare &amp; Pharmacy",D94="Home Improvement Retail",D94="Industrial Engineering &amp; Electronics",D94="Oilfield Services",D94="Pharmaceuticals",D94="Pharmaceuticals &amp; Chemicals",D94="Pharmaceuticals &amp; Healthcare",D94="Pharmacy Retail",D94="Postal &amp; Logistics",D94="Retail",D94="Retail &amp; Distribution",D94="Retail &amp; Grocery",D94="Retail (IKEA)",D94="Tobacco",D94="Trading &amp; Conglomerate",D94="Utilities",D94="Utilities &amp; Energy",D94="Wholesale Retail"),2,
OR(D94="Agribusiness",D94="Automotive &amp; Heavy Vehicles",D94="Chemicals",D94="Commercial Vehicles",D94="Construction",D94="Construction &amp; Infrastructure",D94="Engines &amp; Power Systems",D94="Food Processing",D94="Healthcare",D94="Healthcare &amp; Medical Devices",D94="Heavy Equipment",D94="Heavy Industry",D94="Industrial Gases",D94="Industrial Manufacturing",D94="Logistics",D94="Medical Devices",D94="Mining",D94="Mining &amp; Commodities Trading",D94="Oil &amp; Gas",D94="Oilfield Services",D94="Rail Transport",D94="Shipping &amp; Logistics",D94="Steel"),3,
OR(D94="Apparel &amp; Footwear",D94="Beverage",D94="Coffeehouse &amp; Retail",D94="Conglomerate",D94="Consumer Goods",D94="Convenience Retail",D94="Electronics",D94="Electronics &amp; Semiconductors",D94="Electronics Retail",D94="Fashion Retail",D94="Food &amp; Beverage",D94="Food Retail &amp; Consumer Goods",D94="Industrial &amp; Technology",D94="Industrial Automation",D94="Industrial Technology",D94="Postal &amp; Financial Services",D94="Postal Services",D94="Scientific Instruments",D94="Technology Hardware",D94="Trading Company",D94="IT Consulting"),1,
OR(D94="Cosmetics",D94="E-commerce &amp; Cloud Computing",D94="Electronics &amp; Entertainment",D94="Entertainment &amp; Media",D94="Luxury Goods",D94="Media &amp; Telecommunications",D94="Networking Technology",D94="Real Estate Services",D94="Technology &amp; Consumer Electronics",D94="Telecommunications",D94="Telecommunications &amp; Investment"),1,
OR(D94="Asset Management",D94="Banking",D94="Banking &amp; Asset Services",D94="Banking &amp; Financial Services",D94="Banking &amp; Wealth Management",D94="Cloud Software",D94="Enterprise Software",D94="Financial Services",D94="Information Technology Consulting",D94="Investment Banking",D94="Social Media &amp; Technology",D94="Software &amp; Cloud Computing",D94="Technology &amp; Consulting",D94="Technology &amp; Internet Services",D94="Technology &amp; Software"),1,
TRUE,"Unmapped"
)</f>
        <v>2</v>
      </c>
      <c r="H94" s="5">
        <v>2</v>
      </c>
      <c r="I94" s="5">
        <f>VLOOKUP(B94,'BIS + EDBA Final'!A:F,6,FALSE)</f>
        <v>0</v>
      </c>
      <c r="J94" s="5">
        <f>VLOOKUP(B94,'CBG Final'!A:B,2,FALSE)</f>
        <v>3</v>
      </c>
      <c r="K94" s="9">
        <f t="shared" si="1"/>
        <v>1.7000000000000002</v>
      </c>
      <c r="L94" s="5" t="s">
        <v>554</v>
      </c>
      <c r="M94" s="5" t="s">
        <v>400</v>
      </c>
      <c r="N94" s="5" t="s">
        <v>555</v>
      </c>
      <c r="O94" s="5" t="s">
        <v>556</v>
      </c>
      <c r="P94" s="5" t="s">
        <v>557</v>
      </c>
      <c r="Q94" s="5" t="s">
        <v>558</v>
      </c>
      <c r="R94" s="5" t="s">
        <v>47</v>
      </c>
      <c r="S94" s="10"/>
      <c r="T94" s="11"/>
      <c r="U94" s="11"/>
      <c r="V94" s="10"/>
      <c r="W94" s="10"/>
      <c r="X94" s="10"/>
      <c r="Y94" s="10"/>
      <c r="Z94" s="10"/>
      <c r="AA94" s="10"/>
      <c r="AB94" s="10"/>
      <c r="AC94" s="10"/>
      <c r="AD94" s="10"/>
      <c r="AE94" s="10"/>
      <c r="AF94" s="10"/>
      <c r="AG94" s="10"/>
      <c r="AH94" s="10"/>
    </row>
    <row r="95" spans="1:34" ht="15.75" customHeight="1">
      <c r="A95" s="5"/>
      <c r="B95" s="5" t="s">
        <v>685</v>
      </c>
      <c r="C95" s="6" t="s">
        <v>36</v>
      </c>
      <c r="D95" s="7" t="s">
        <v>686</v>
      </c>
      <c r="E95" s="8">
        <v>140000</v>
      </c>
      <c r="F95" s="6" cm="1">
        <f t="array" ref="F95">_xlfn.IFS(
E95&lt;=$E$245,0,
E95&lt;=$E$246,1,
E95&lt;=$E$247,2,
E95&gt;=$E$247,3)</f>
        <v>2</v>
      </c>
      <c r="G95" s="7" cm="1">
        <f t="array" ref="G95">_xlfn.IFS(
OR(D95="Aerospace",D95="Aerospace &amp; Defense",D95="Agricultural Equipment",D95="Airlines",D95="Automotive",D95="Automotive &amp; Energy",D95="Automotive Components",D95="Aviation",D95="Building Materials",D95="Chemicals",D95="Commercial Vehicles",D95="Conglomerate &amp; Defense",D95="Conglomerate &amp; Energy",D95="Construction",D95="Construction &amp; Infrastructure",D95="Construction &amp; Real Estate",D95="Construction &amp; Telecom",D95="Discount Retail",D95="Energy Management",D95="Energy Technology",D95="Engines &amp; Power Systems",D95="Environmental Services",D95="Food Distribution",D95="Food Services",D95="Grocery Retail",D95="Healthcare &amp; Pharmacy",D95="Home Improvement Retail",D95="Industrial Engineering &amp; Electronics",D95="Oilfield Services",D95="Pharmaceuticals",D95="Pharmaceuticals &amp; Chemicals",D95="Pharmaceuticals &amp; Healthcare",D95="Pharmacy Retail",D95="Postal &amp; Logistics",D95="Retail",D95="Retail &amp; Distribution",D95="Retail &amp; Grocery",D95="Retail (IKEA)",D95="Tobacco",D95="Trading &amp; Conglomerate",D95="Utilities",D95="Utilities &amp; Energy",D95="Wholesale Retail"),2,
OR(D95="Agribusiness",D95="Automotive &amp; Heavy Vehicles",D95="Chemicals",D95="Commercial Vehicles",D95="Construction",D95="Construction &amp; Infrastructure",D95="Engines &amp; Power Systems",D95="Food Processing",D95="Healthcare",D95="Healthcare &amp; Medical Devices",D95="Heavy Equipment",D95="Heavy Industry",D95="Industrial Gases",D95="Industrial Manufacturing",D95="Logistics",D95="Medical Devices",D95="Mining",D95="Mining &amp; Commodities Trading",D95="Oil &amp; Gas",D95="Oilfield Services",D95="Rail Transport",D95="Shipping &amp; Logistics",D95="Steel"),3,
OR(D95="Apparel &amp; Footwear",D95="Beverage",D95="Coffeehouse &amp; Retail",D95="Conglomerate",D95="Consumer Goods",D95="Convenience Retail",D95="Electronics",D95="Electronics &amp; Semiconductors",D95="Electronics Retail",D95="Fashion Retail",D95="Food &amp; Beverage",D95="Food Retail &amp; Consumer Goods",D95="Industrial &amp; Technology",D95="Industrial Automation",D95="Industrial Technology",D95="Postal &amp; Financial Services",D95="Postal Services",D95="Scientific Instruments",D95="Technology Hardware",D95="Trading Company",D95="IT Consulting"),1,
OR(D95="Cosmetics",D95="E-commerce &amp; Cloud Computing",D95="Electronics &amp; Entertainment",D95="Entertainment &amp; Media",D95="Luxury Goods",D95="Media &amp; Telecommunications",D95="Networking Technology",D95="Real Estate Services",D95="Technology &amp; Consumer Electronics",D95="Telecommunications",D95="Telecommunications &amp; Investment"),1,
OR(D95="Asset Management",D95="Banking",D95="Banking &amp; Asset Services",D95="Banking &amp; Financial Services",D95="Banking &amp; Wealth Management",D95="Cloud Software",D95="Enterprise Software",D95="Financial Services",D95="Information Technology Consulting",D95="Investment Banking",D95="Social Media &amp; Technology",D95="Software &amp; Cloud Computing",D95="Technology &amp; Consulting",D95="Technology &amp; Internet Services",D95="Technology &amp; Software"),1,
TRUE,"Unmapped"
)</f>
        <v>1</v>
      </c>
      <c r="H95" s="5">
        <v>1</v>
      </c>
      <c r="I95" s="5">
        <f>VLOOKUP(B95,'BIS + EDBA Final'!A:F,6,FALSE)</f>
        <v>1</v>
      </c>
      <c r="J95" s="5">
        <f>VLOOKUP(B95,'CBG Final'!A:B,2,FALSE)</f>
        <v>3</v>
      </c>
      <c r="K95" s="9">
        <f t="shared" si="1"/>
        <v>1.7000000000000002</v>
      </c>
      <c r="L95" s="5" t="s">
        <v>687</v>
      </c>
      <c r="M95" s="5" t="s">
        <v>688</v>
      </c>
      <c r="N95" s="5" t="s">
        <v>689</v>
      </c>
      <c r="O95" s="5" t="s">
        <v>253</v>
      </c>
      <c r="P95" s="5" t="s">
        <v>690</v>
      </c>
      <c r="Q95" s="5" t="s">
        <v>33</v>
      </c>
      <c r="R95" s="5" t="s">
        <v>50</v>
      </c>
      <c r="S95" s="10"/>
      <c r="T95" s="11"/>
      <c r="U95" s="11"/>
      <c r="V95" s="10"/>
      <c r="W95" s="10"/>
      <c r="X95" s="10"/>
      <c r="Y95" s="10"/>
      <c r="Z95" s="10"/>
      <c r="AA95" s="10"/>
      <c r="AB95" s="10"/>
      <c r="AC95" s="10"/>
      <c r="AD95" s="10"/>
      <c r="AE95" s="10"/>
      <c r="AF95" s="10"/>
      <c r="AG95" s="10"/>
      <c r="AH95" s="10"/>
    </row>
    <row r="96" spans="1:34" ht="15.75" customHeight="1">
      <c r="A96" s="5"/>
      <c r="B96" s="5" t="s">
        <v>825</v>
      </c>
      <c r="C96" s="6" t="s">
        <v>39</v>
      </c>
      <c r="D96" s="7" t="s">
        <v>266</v>
      </c>
      <c r="E96" s="8">
        <v>119270</v>
      </c>
      <c r="F96" s="6" cm="1">
        <f t="array" ref="F96">_xlfn.IFS(
E96&lt;=$E$245,0,
E96&lt;=$E$246,1,
E96&lt;=$E$247,2,
E96&gt;=$E$247,3)</f>
        <v>2</v>
      </c>
      <c r="G96" s="7" cm="1">
        <f t="array" ref="G96">_xlfn.IFS(
OR(D96="Aerospace",D96="Aerospace &amp; Defense",D96="Agricultural Equipment",D96="Airlines",D96="Automotive",D96="Automotive &amp; Energy",D96="Automotive Components",D96="Aviation",D96="Building Materials",D96="Chemicals",D96="Commercial Vehicles",D96="Conglomerate &amp; Defense",D96="Conglomerate &amp; Energy",D96="Construction",D96="Construction &amp; Infrastructure",D96="Construction &amp; Real Estate",D96="Construction &amp; Telecom",D96="Discount Retail",D96="Energy Management",D96="Energy Technology",D96="Engines &amp; Power Systems",D96="Environmental Services",D96="Food Distribution",D96="Food Services",D96="Grocery Retail",D96="Healthcare &amp; Pharmacy",D96="Home Improvement Retail",D96="Industrial Engineering &amp; Electronics",D96="Oilfield Services",D96="Pharmaceuticals",D96="Pharmaceuticals &amp; Chemicals",D96="Pharmaceuticals &amp; Healthcare",D96="Pharmacy Retail",D96="Postal &amp; Logistics",D96="Retail",D96="Retail &amp; Distribution",D96="Retail &amp; Grocery",D96="Retail (IKEA)",D96="Tobacco",D96="Trading &amp; Conglomerate",D96="Utilities",D96="Utilities &amp; Energy",D96="Wholesale Retail"),2,
OR(D96="Agribusiness",D96="Automotive &amp; Heavy Vehicles",D96="Chemicals",D96="Commercial Vehicles",D96="Construction",D96="Construction &amp; Infrastructure",D96="Engines &amp; Power Systems",D96="Food Processing",D96="Healthcare",D96="Healthcare &amp; Medical Devices",D96="Heavy Equipment",D96="Heavy Industry",D96="Industrial Gases",D96="Industrial Manufacturing",D96="Logistics",D96="Medical Devices",D96="Mining",D96="Mining &amp; Commodities Trading",D96="Oil &amp; Gas",D96="Oilfield Services",D96="Rail Transport",D96="Shipping &amp; Logistics",D96="Steel"),3,
OR(D96="Apparel &amp; Footwear",D96="Beverage",D96="Coffeehouse &amp; Retail",D96="Conglomerate",D96="Consumer Goods",D96="Convenience Retail",D96="Electronics",D96="Electronics &amp; Semiconductors",D96="Electronics Retail",D96="Fashion Retail",D96="Food &amp; Beverage",D96="Food Retail &amp; Consumer Goods",D96="Industrial &amp; Technology",D96="Industrial Automation",D96="Industrial Technology",D96="Postal &amp; Financial Services",D96="Postal Services",D96="Scientific Instruments",D96="Technology Hardware",D96="Trading Company",D96="IT Consulting"),1,
OR(D96="Cosmetics",D96="E-commerce &amp; Cloud Computing",D96="Electronics &amp; Entertainment",D96="Entertainment &amp; Media",D96="Luxury Goods",D96="Media &amp; Telecommunications",D96="Networking Technology",D96="Real Estate Services",D96="Technology &amp; Consumer Electronics",D96="Telecommunications",D96="Telecommunications &amp; Investment"),1,
OR(D96="Asset Management",D96="Banking",D96="Banking &amp; Asset Services",D96="Banking &amp; Financial Services",D96="Banking &amp; Wealth Management",D96="Cloud Software",D96="Enterprise Software",D96="Financial Services",D96="Information Technology Consulting",D96="Investment Banking",D96="Social Media &amp; Technology",D96="Software &amp; Cloud Computing",D96="Technology &amp; Consulting",D96="Technology &amp; Internet Services",D96="Technology &amp; Software"),1,
TRUE,"Unmapped"
)</f>
        <v>1</v>
      </c>
      <c r="H96" s="5">
        <v>1</v>
      </c>
      <c r="I96" s="5">
        <f>VLOOKUP(B96,'BIS + EDBA Final'!A:F,6,FALSE)</f>
        <v>1</v>
      </c>
      <c r="J96" s="5">
        <f>VLOOKUP(B96,'CBG Final'!A:B,2,FALSE)</f>
        <v>3</v>
      </c>
      <c r="K96" s="9">
        <f t="shared" si="1"/>
        <v>1.7000000000000002</v>
      </c>
      <c r="L96" s="5" t="s">
        <v>1200</v>
      </c>
      <c r="M96" s="5" t="s">
        <v>1201</v>
      </c>
      <c r="N96" s="5" t="s">
        <v>1202</v>
      </c>
      <c r="O96" s="5" t="s">
        <v>746</v>
      </c>
      <c r="P96" s="5" t="s">
        <v>1203</v>
      </c>
      <c r="Q96" s="5" t="s">
        <v>561</v>
      </c>
      <c r="R96" s="5" t="s">
        <v>20</v>
      </c>
      <c r="S96" s="10"/>
      <c r="T96" s="11"/>
      <c r="U96" s="11"/>
      <c r="V96" s="10"/>
      <c r="W96" s="10"/>
      <c r="X96" s="10"/>
      <c r="Y96" s="10"/>
      <c r="Z96" s="10"/>
      <c r="AA96" s="10"/>
      <c r="AB96" s="10"/>
      <c r="AC96" s="10"/>
      <c r="AD96" s="10"/>
      <c r="AE96" s="10"/>
      <c r="AF96" s="10"/>
      <c r="AG96" s="10"/>
      <c r="AH96" s="10"/>
    </row>
    <row r="97" spans="1:34" ht="15.75" customHeight="1">
      <c r="A97" s="5"/>
      <c r="B97" s="5" t="s">
        <v>61</v>
      </c>
      <c r="C97" s="6" t="s">
        <v>62</v>
      </c>
      <c r="D97" s="7" t="s">
        <v>63</v>
      </c>
      <c r="E97" s="8">
        <v>392001</v>
      </c>
      <c r="F97" s="6" cm="1">
        <f t="array" ref="F97">_xlfn.IFS(
E97&lt;=$E$245,0,
E97&lt;=$E$246,1,
E97&lt;=$E$247,2,
E97&gt;=$E$247,3)</f>
        <v>3</v>
      </c>
      <c r="G97" s="7" cm="1">
        <f t="array" ref="G97">_xlfn.IFS(
OR(D97="Aerospace",D97="Aerospace &amp; Defense",D97="Agricultural Equipment",D97="Airlines",D97="Automotive",D97="Automotive &amp; Energy",D97="Automotive Components",D97="Aviation",D97="Building Materials",D97="Chemicals",D97="Commercial Vehicles",D97="Conglomerate &amp; Defense",D97="Conglomerate &amp; Energy",D97="Construction",D97="Construction &amp; Infrastructure",D97="Construction &amp; Real Estate",D97="Construction &amp; Telecom",D97="Discount Retail",D97="Energy Management",D97="Energy Technology",D97="Engines &amp; Power Systems",D97="Environmental Services",D97="Food Distribution",D97="Food Services",D97="Grocery Retail",D97="Healthcare &amp; Pharmacy",D97="Home Improvement Retail",D97="Industrial Engineering &amp; Electronics",D97="Oilfield Services",D97="Pharmaceuticals",D97="Pharmaceuticals &amp; Chemicals",D97="Pharmaceuticals &amp; Healthcare",D97="Pharmacy Retail",D97="Postal &amp; Logistics",D97="Retail",D97="Retail &amp; Distribution",D97="Retail &amp; Grocery",D97="Retail (IKEA)",D97="Tobacco",D97="Trading &amp; Conglomerate",D97="Utilities",D97="Utilities &amp; Energy",D97="Wholesale Retail"),2,
OR(D97="Agribusiness",D97="Automotive &amp; Heavy Vehicles",D97="Chemicals",D97="Commercial Vehicles",D97="Construction",D97="Construction &amp; Infrastructure",D97="Engines &amp; Power Systems",D97="Food Processing",D97="Healthcare",D97="Healthcare &amp; Medical Devices",D97="Heavy Equipment",D97="Heavy Industry",D97="Industrial Gases",D97="Industrial Manufacturing",D97="Logistics",D97="Medical Devices",D97="Mining",D97="Mining &amp; Commodities Trading",D97="Oil &amp; Gas",D97="Oilfield Services",D97="Rail Transport",D97="Shipping &amp; Logistics",D97="Steel"),3,
OR(D97="Apparel &amp; Footwear",D97="Beverage",D97="Coffeehouse &amp; Retail",D97="Conglomerate",D97="Consumer Goods",D97="Convenience Retail",D97="Electronics",D97="Electronics &amp; Semiconductors",D97="Electronics Retail",D97="Fashion Retail",D97="Food &amp; Beverage",D97="Food Retail &amp; Consumer Goods",D97="Industrial &amp; Technology",D97="Industrial Automation",D97="Industrial Technology",D97="Postal &amp; Financial Services",D97="Postal Services",D97="Scientific Instruments",D97="Technology Hardware",D97="Trading Company",D97="IT Consulting"),1,
OR(D97="Cosmetics",D97="E-commerce &amp; Cloud Computing",D97="Electronics &amp; Entertainment",D97="Entertainment &amp; Media",D97="Luxury Goods",D97="Media &amp; Telecommunications",D97="Networking Technology",D97="Real Estate Services",D97="Technology &amp; Consumer Electronics",D97="Telecommunications",D97="Telecommunications &amp; Investment"),1,
OR(D97="Asset Management",D97="Banking",D97="Banking &amp; Asset Services",D97="Banking &amp; Financial Services",D97="Banking &amp; Wealth Management",D97="Cloud Software",D97="Enterprise Software",D97="Financial Services",D97="Information Technology Consulting",D97="Investment Banking",D97="Social Media &amp; Technology",D97="Software &amp; Cloud Computing",D97="Technology &amp; Consulting",D97="Technology &amp; Internet Services",D97="Technology &amp; Software"),1,
TRUE,"Unmapped"
)</f>
        <v>2</v>
      </c>
      <c r="H97" s="5">
        <f>VLOOKUP(B97,'BIS + EDBA Final'!A:K,2,FALSE)</f>
        <v>2</v>
      </c>
      <c r="I97" s="5">
        <f>VLOOKUP(B97,'BIS + EDBA Final'!A:F,6,FALSE)</f>
        <v>0</v>
      </c>
      <c r="J97" s="5">
        <f>VLOOKUP(B97,'CBG Final'!A:B,2,FALSE)</f>
        <v>0</v>
      </c>
      <c r="K97" s="9">
        <f t="shared" si="1"/>
        <v>1.6999999999999997</v>
      </c>
      <c r="L97" s="5" t="s">
        <v>64</v>
      </c>
      <c r="M97" s="5" t="s">
        <v>65</v>
      </c>
      <c r="N97" s="5" t="s">
        <v>66</v>
      </c>
      <c r="O97" s="5" t="s">
        <v>67</v>
      </c>
      <c r="P97" s="5" t="s">
        <v>68</v>
      </c>
      <c r="Q97" s="5" t="s">
        <v>69</v>
      </c>
      <c r="R97" s="5" t="s">
        <v>20</v>
      </c>
      <c r="S97" s="10"/>
      <c r="T97" s="11"/>
      <c r="U97" s="11"/>
      <c r="V97" s="10"/>
      <c r="W97" s="10"/>
      <c r="X97" s="11"/>
      <c r="Y97" s="11"/>
      <c r="Z97" s="10"/>
      <c r="AA97" s="10"/>
      <c r="AB97" s="10"/>
      <c r="AC97" s="10"/>
      <c r="AD97" s="10"/>
      <c r="AE97" s="10"/>
      <c r="AF97" s="10"/>
      <c r="AG97" s="10"/>
      <c r="AH97" s="10"/>
    </row>
    <row r="98" spans="1:34" ht="15.75" customHeight="1">
      <c r="A98" s="5"/>
      <c r="B98" s="5" t="s">
        <v>341</v>
      </c>
      <c r="C98" s="6" t="s">
        <v>62</v>
      </c>
      <c r="D98" s="7" t="s">
        <v>86</v>
      </c>
      <c r="E98" s="8">
        <v>194173</v>
      </c>
      <c r="F98" s="6" cm="1">
        <f t="array" ref="F98">_xlfn.IFS(
E98&lt;=$E$245,0,
E98&lt;=$E$246,1,
E98&lt;=$E$247,2,
E98&gt;=$E$247,3)</f>
        <v>2</v>
      </c>
      <c r="G98" s="7" cm="1">
        <f t="array" ref="G98">_xlfn.IFS(
OR(D98="Aerospace",D98="Aerospace &amp; Defense",D98="Agricultural Equipment",D98="Airlines",D98="Automotive",D98="Automotive &amp; Energy",D98="Automotive Components",D98="Aviation",D98="Building Materials",D98="Chemicals",D98="Commercial Vehicles",D98="Conglomerate &amp; Defense",D98="Conglomerate &amp; Energy",D98="Construction",D98="Construction &amp; Infrastructure",D98="Construction &amp; Real Estate",D98="Construction &amp; Telecom",D98="Discount Retail",D98="Energy Management",D98="Energy Technology",D98="Engines &amp; Power Systems",D98="Environmental Services",D98="Food Distribution",D98="Food Services",D98="Grocery Retail",D98="Healthcare &amp; Pharmacy",D98="Home Improvement Retail",D98="Industrial Engineering &amp; Electronics",D98="Oilfield Services",D98="Pharmaceuticals",D98="Pharmaceuticals &amp; Chemicals",D98="Pharmaceuticals &amp; Healthcare",D98="Pharmacy Retail",D98="Postal &amp; Logistics",D98="Retail",D98="Retail &amp; Distribution",D98="Retail &amp; Grocery",D98="Retail (IKEA)",D98="Tobacco",D98="Trading &amp; Conglomerate",D98="Utilities",D98="Utilities &amp; Energy",D98="Wholesale Retail"),2,
OR(D98="Agribusiness",D98="Automotive &amp; Heavy Vehicles",D98="Chemicals",D98="Commercial Vehicles",D98="Construction",D98="Construction &amp; Infrastructure",D98="Engines &amp; Power Systems",D98="Food Processing",D98="Healthcare",D98="Healthcare &amp; Medical Devices",D98="Heavy Equipment",D98="Heavy Industry",D98="Industrial Gases",D98="Industrial Manufacturing",D98="Logistics",D98="Medical Devices",D98="Mining",D98="Mining &amp; Commodities Trading",D98="Oil &amp; Gas",D98="Oilfield Services",D98="Rail Transport",D98="Shipping &amp; Logistics",D98="Steel"),3,
OR(D98="Apparel &amp; Footwear",D98="Beverage",D98="Coffeehouse &amp; Retail",D98="Conglomerate",D98="Consumer Goods",D98="Convenience Retail",D98="Electronics",D98="Electronics &amp; Semiconductors",D98="Electronics Retail",D98="Fashion Retail",D98="Food &amp; Beverage",D98="Food Retail &amp; Consumer Goods",D98="Industrial &amp; Technology",D98="Industrial Automation",D98="Industrial Technology",D98="Postal &amp; Financial Services",D98="Postal Services",D98="Scientific Instruments",D98="Technology Hardware",D98="Trading Company",D98="IT Consulting"),1,
OR(D98="Cosmetics",D98="E-commerce &amp; Cloud Computing",D98="Electronics &amp; Entertainment",D98="Entertainment &amp; Media",D98="Luxury Goods",D98="Media &amp; Telecommunications",D98="Networking Technology",D98="Real Estate Services",D98="Technology &amp; Consumer Electronics",D98="Telecommunications",D98="Telecommunications &amp; Investment"),1,
OR(D98="Asset Management",D98="Banking",D98="Banking &amp; Asset Services",D98="Banking &amp; Financial Services",D98="Banking &amp; Wealth Management",D98="Cloud Software",D98="Enterprise Software",D98="Financial Services",D98="Information Technology Consulting",D98="Investment Banking",D98="Social Media &amp; Technology",D98="Software &amp; Cloud Computing",D98="Technology &amp; Consulting",D98="Technology &amp; Internet Services",D98="Technology &amp; Software"),1,
TRUE,"Unmapped"
)</f>
        <v>2</v>
      </c>
      <c r="H98" s="5">
        <v>2</v>
      </c>
      <c r="I98" s="5">
        <f>VLOOKUP(B98,'BIS + EDBA Final'!A:F,6,FALSE)</f>
        <v>-1</v>
      </c>
      <c r="J98" s="5">
        <f>VLOOKUP(B98,'CBG Final'!A:B,2,FALSE)</f>
        <v>2</v>
      </c>
      <c r="K98" s="9">
        <f t="shared" si="1"/>
        <v>1.6999999999999997</v>
      </c>
      <c r="L98" s="5" t="s">
        <v>969</v>
      </c>
      <c r="M98" s="5" t="s">
        <v>543</v>
      </c>
      <c r="N98" s="5" t="s">
        <v>970</v>
      </c>
      <c r="O98" s="5" t="s">
        <v>971</v>
      </c>
      <c r="P98" s="5" t="s">
        <v>972</v>
      </c>
      <c r="Q98" s="5" t="s">
        <v>29</v>
      </c>
      <c r="R98" s="5" t="s">
        <v>20</v>
      </c>
      <c r="S98" s="10"/>
      <c r="T98" s="11"/>
      <c r="U98" s="11"/>
      <c r="V98" s="10"/>
      <c r="W98" s="10"/>
      <c r="X98" s="11"/>
      <c r="Y98" s="11"/>
      <c r="Z98" s="10"/>
      <c r="AA98" s="10"/>
      <c r="AB98" s="10"/>
      <c r="AC98" s="10"/>
      <c r="AD98" s="10"/>
      <c r="AE98" s="10"/>
      <c r="AF98" s="10"/>
      <c r="AG98" s="10"/>
      <c r="AH98" s="10"/>
    </row>
    <row r="99" spans="1:34" ht="15.75" customHeight="1">
      <c r="A99" s="5"/>
      <c r="B99" s="5" t="s">
        <v>401</v>
      </c>
      <c r="C99" s="6" t="s">
        <v>62</v>
      </c>
      <c r="D99" s="7" t="s">
        <v>266</v>
      </c>
      <c r="E99" s="8">
        <v>341321</v>
      </c>
      <c r="F99" s="6" cm="1">
        <f t="array" ref="F99">_xlfn.IFS(
E99&lt;=$E$245,0,
E99&lt;=$E$246,1,
E99&lt;=$E$247,2,
E99&gt;=$E$247,3)</f>
        <v>3</v>
      </c>
      <c r="G99" s="7" cm="1">
        <f t="array" ref="G99">_xlfn.IFS(
OR(D99="Aerospace",D99="Aerospace &amp; Defense",D99="Agricultural Equipment",D99="Airlines",D99="Automotive",D99="Automotive &amp; Energy",D99="Automotive Components",D99="Aviation",D99="Building Materials",D99="Chemicals",D99="Commercial Vehicles",D99="Conglomerate &amp; Defense",D99="Conglomerate &amp; Energy",D99="Construction",D99="Construction &amp; Infrastructure",D99="Construction &amp; Real Estate",D99="Construction &amp; Telecom",D99="Discount Retail",D99="Energy Management",D99="Energy Technology",D99="Engines &amp; Power Systems",D99="Environmental Services",D99="Food Distribution",D99="Food Services",D99="Grocery Retail",D99="Healthcare &amp; Pharmacy",D99="Home Improvement Retail",D99="Industrial Engineering &amp; Electronics",D99="Oilfield Services",D99="Pharmaceuticals",D99="Pharmaceuticals &amp; Chemicals",D99="Pharmaceuticals &amp; Healthcare",D99="Pharmacy Retail",D99="Postal &amp; Logistics",D99="Retail",D99="Retail &amp; Distribution",D99="Retail &amp; Grocery",D99="Retail (IKEA)",D99="Tobacco",D99="Trading &amp; Conglomerate",D99="Utilities",D99="Utilities &amp; Energy",D99="Wholesale Retail"),2,
OR(D99="Agribusiness",D99="Automotive &amp; Heavy Vehicles",D99="Chemicals",D99="Commercial Vehicles",D99="Construction",D99="Construction &amp; Infrastructure",D99="Engines &amp; Power Systems",D99="Food Processing",D99="Healthcare",D99="Healthcare &amp; Medical Devices",D99="Heavy Equipment",D99="Heavy Industry",D99="Industrial Gases",D99="Industrial Manufacturing",D99="Logistics",D99="Medical Devices",D99="Mining",D99="Mining &amp; Commodities Trading",D99="Oil &amp; Gas",D99="Oilfield Services",D99="Rail Transport",D99="Shipping &amp; Logistics",D99="Steel"),3,
OR(D99="Apparel &amp; Footwear",D99="Beverage",D99="Coffeehouse &amp; Retail",D99="Conglomerate",D99="Consumer Goods",D99="Convenience Retail",D99="Electronics",D99="Electronics &amp; Semiconductors",D99="Electronics Retail",D99="Fashion Retail",D99="Food &amp; Beverage",D99="Food Retail &amp; Consumer Goods",D99="Industrial &amp; Technology",D99="Industrial Automation",D99="Industrial Technology",D99="Postal &amp; Financial Services",D99="Postal Services",D99="Scientific Instruments",D99="Technology Hardware",D99="Trading Company",D99="IT Consulting"),1,
OR(D99="Cosmetics",D99="E-commerce &amp; Cloud Computing",D99="Electronics &amp; Entertainment",D99="Entertainment &amp; Media",D99="Luxury Goods",D99="Media &amp; Telecommunications",D99="Networking Technology",D99="Real Estate Services",D99="Technology &amp; Consumer Electronics",D99="Telecommunications",D99="Telecommunications &amp; Investment"),1,
OR(D99="Asset Management",D99="Banking",D99="Banking &amp; Asset Services",D99="Banking &amp; Financial Services",D99="Banking &amp; Wealth Management",D99="Cloud Software",D99="Enterprise Software",D99="Financial Services",D99="Information Technology Consulting",D99="Investment Banking",D99="Social Media &amp; Technology",D99="Software &amp; Cloud Computing",D99="Technology &amp; Consulting",D99="Technology &amp; Internet Services",D99="Technology &amp; Software"),1,
TRUE,"Unmapped"
)</f>
        <v>1</v>
      </c>
      <c r="H99" s="5">
        <v>1</v>
      </c>
      <c r="I99" s="5">
        <f>VLOOKUP(B99,'BIS + EDBA Final'!A:F,6,FALSE)</f>
        <v>0</v>
      </c>
      <c r="J99" s="5">
        <f>VLOOKUP(B99,'CBG Final'!A:B,2,FALSE)</f>
        <v>2</v>
      </c>
      <c r="K99" s="9">
        <f t="shared" si="1"/>
        <v>1.6999999999999997</v>
      </c>
      <c r="L99" s="5" t="s">
        <v>1193</v>
      </c>
      <c r="M99" s="5" t="s">
        <v>328</v>
      </c>
      <c r="N99" s="5" t="s">
        <v>1194</v>
      </c>
      <c r="O99" s="5" t="s">
        <v>467</v>
      </c>
      <c r="P99" s="5" t="s">
        <v>1195</v>
      </c>
      <c r="Q99" s="5" t="s">
        <v>92</v>
      </c>
      <c r="R99" s="5" t="s">
        <v>20</v>
      </c>
      <c r="S99" s="10"/>
      <c r="T99" s="11"/>
      <c r="U99" s="11"/>
      <c r="V99" s="10"/>
      <c r="W99" s="10"/>
      <c r="X99" s="11"/>
      <c r="Y99" s="11"/>
      <c r="Z99" s="10"/>
      <c r="AA99" s="10"/>
      <c r="AB99" s="10"/>
      <c r="AC99" s="10"/>
      <c r="AD99" s="10"/>
      <c r="AE99" s="10"/>
      <c r="AF99" s="10"/>
      <c r="AG99" s="10"/>
      <c r="AH99" s="10"/>
    </row>
    <row r="100" spans="1:34" ht="15.75" customHeight="1">
      <c r="A100" s="5"/>
      <c r="B100" s="5" t="s">
        <v>217</v>
      </c>
      <c r="C100" s="6" t="s">
        <v>39</v>
      </c>
      <c r="D100" s="7" t="s">
        <v>218</v>
      </c>
      <c r="E100" s="8">
        <v>200234</v>
      </c>
      <c r="F100" s="6" cm="1">
        <f t="array" ref="F100">_xlfn.IFS(
E100&lt;=$E$245,0,
E100&lt;=$E$246,1,
E100&lt;=$E$247,2,
E100&gt;=$E$247,3)</f>
        <v>2</v>
      </c>
      <c r="G100" s="7" cm="1">
        <f t="array" ref="G100">_xlfn.IFS(
OR(D100="Aerospace",D100="Aerospace &amp; Defense",D100="Agricultural Equipment",D100="Airlines",D100="Automotive",D100="Automotive &amp; Energy",D100="Automotive Components",D100="Aviation",D100="Building Materials",D100="Chemicals",D100="Commercial Vehicles",D100="Conglomerate &amp; Defense",D100="Conglomerate &amp; Energy",D100="Construction",D100="Construction &amp; Infrastructure",D100="Construction &amp; Real Estate",D100="Construction &amp; Telecom",D100="Discount Retail",D100="Energy Management",D100="Energy Technology",D100="Engines &amp; Power Systems",D100="Environmental Services",D100="Food Distribution",D100="Food Services",D100="Grocery Retail",D100="Healthcare &amp; Pharmacy",D100="Home Improvement Retail",D100="Industrial Engineering &amp; Electronics",D100="Oilfield Services",D100="Pharmaceuticals",D100="Pharmaceuticals &amp; Chemicals",D100="Pharmaceuticals &amp; Healthcare",D100="Pharmacy Retail",D100="Postal &amp; Logistics",D100="Retail",D100="Retail &amp; Distribution",D100="Retail &amp; Grocery",D100="Retail (IKEA)",D100="Tobacco",D100="Trading &amp; Conglomerate",D100="Utilities",D100="Utilities &amp; Energy",D100="Wholesale Retail"),2,
OR(D100="Agribusiness",D100="Automotive &amp; Heavy Vehicles",D100="Chemicals",D100="Commercial Vehicles",D100="Construction",D100="Construction &amp; Infrastructure",D100="Engines &amp; Power Systems",D100="Food Processing",D100="Healthcare",D100="Healthcare &amp; Medical Devices",D100="Heavy Equipment",D100="Heavy Industry",D100="Industrial Gases",D100="Industrial Manufacturing",D100="Logistics",D100="Medical Devices",D100="Mining",D100="Mining &amp; Commodities Trading",D100="Oil &amp; Gas",D100="Oilfield Services",D100="Rail Transport",D100="Shipping &amp; Logistics",D100="Steel"),3,
OR(D100="Apparel &amp; Footwear",D100="Beverage",D100="Coffeehouse &amp; Retail",D100="Conglomerate",D100="Consumer Goods",D100="Convenience Retail",D100="Electronics",D100="Electronics &amp; Semiconductors",D100="Electronics Retail",D100="Fashion Retail",D100="Food &amp; Beverage",D100="Food Retail &amp; Consumer Goods",D100="Industrial &amp; Technology",D100="Industrial Automation",D100="Industrial Technology",D100="Postal &amp; Financial Services",D100="Postal Services",D100="Scientific Instruments",D100="Technology Hardware",D100="Trading Company",D100="IT Consulting"),1,
OR(D100="Cosmetics",D100="E-commerce &amp; Cloud Computing",D100="Electronics &amp; Entertainment",D100="Entertainment &amp; Media",D100="Luxury Goods",D100="Media &amp; Telecommunications",D100="Networking Technology",D100="Real Estate Services",D100="Technology &amp; Consumer Electronics",D100="Telecommunications",D100="Telecommunications &amp; Investment"),1,
OR(D100="Asset Management",D100="Banking",D100="Banking &amp; Asset Services",D100="Banking &amp; Financial Services",D100="Banking &amp; Wealth Management",D100="Cloud Software",D100="Enterprise Software",D100="Financial Services",D100="Information Technology Consulting",D100="Investment Banking",D100="Social Media &amp; Technology",D100="Software &amp; Cloud Computing",D100="Technology &amp; Consulting",D100="Technology &amp; Internet Services",D100="Technology &amp; Software"),1,
TRUE,"Unmapped"
)</f>
        <v>2</v>
      </c>
      <c r="H100" s="5">
        <f>VLOOKUP(B100,'BIS + EDBA Final'!A:K,2,FALSE)</f>
        <v>1</v>
      </c>
      <c r="I100" s="5">
        <f>VLOOKUP(B100,'BIS + EDBA Final'!A:F,6,FALSE)</f>
        <v>0</v>
      </c>
      <c r="J100" s="5">
        <f>VLOOKUP(B100,'CBG Final'!A:B,2,FALSE)</f>
        <v>2</v>
      </c>
      <c r="K100" s="9">
        <f t="shared" si="1"/>
        <v>1.6</v>
      </c>
      <c r="L100" s="5" t="s">
        <v>219</v>
      </c>
      <c r="M100" s="5" t="s">
        <v>220</v>
      </c>
      <c r="N100" s="5" t="s">
        <v>221</v>
      </c>
      <c r="O100" s="5" t="s">
        <v>222</v>
      </c>
      <c r="P100" s="5" t="s">
        <v>223</v>
      </c>
      <c r="Q100" s="5" t="s">
        <v>29</v>
      </c>
      <c r="R100" s="5" t="s">
        <v>20</v>
      </c>
      <c r="S100" s="10"/>
      <c r="T100" s="11"/>
      <c r="U100" s="11"/>
      <c r="V100" s="10"/>
      <c r="W100" s="10"/>
      <c r="X100" s="11"/>
      <c r="Y100" s="11"/>
      <c r="Z100" s="10"/>
      <c r="AA100" s="10"/>
      <c r="AB100" s="10"/>
      <c r="AC100" s="10"/>
      <c r="AD100" s="10"/>
      <c r="AE100" s="10"/>
      <c r="AF100" s="10"/>
      <c r="AG100" s="10"/>
      <c r="AH100" s="10"/>
    </row>
    <row r="101" spans="1:34" ht="15.75" customHeight="1">
      <c r="A101" s="5"/>
      <c r="B101" s="5" t="s">
        <v>298</v>
      </c>
      <c r="C101" s="6" t="s">
        <v>71</v>
      </c>
      <c r="D101" s="7" t="s">
        <v>173</v>
      </c>
      <c r="E101" s="8">
        <v>83893</v>
      </c>
      <c r="F101" s="6" cm="1">
        <f t="array" ref="F101">_xlfn.IFS(
E101&lt;=$E$245,0,
E101&lt;=$E$246,1,
E101&lt;=$E$247,2,
E101&gt;=$E$247,3)</f>
        <v>1</v>
      </c>
      <c r="G101" s="7" cm="1">
        <f t="array" ref="G101">_xlfn.IFS(
OR(D101="Aerospace",D101="Aerospace &amp; Defense",D101="Agricultural Equipment",D101="Airlines",D101="Automotive",D101="Automotive &amp; Energy",D101="Automotive Components",D101="Aviation",D101="Building Materials",D101="Chemicals",D101="Commercial Vehicles",D101="Conglomerate &amp; Defense",D101="Conglomerate &amp; Energy",D101="Construction",D101="Construction &amp; Infrastructure",D101="Construction &amp; Real Estate",D101="Construction &amp; Telecom",D101="Discount Retail",D101="Energy Management",D101="Energy Technology",D101="Engines &amp; Power Systems",D101="Environmental Services",D101="Food Distribution",D101="Food Services",D101="Grocery Retail",D101="Healthcare &amp; Pharmacy",D101="Home Improvement Retail",D101="Industrial Engineering &amp; Electronics",D101="Oilfield Services",D101="Pharmaceuticals",D101="Pharmaceuticals &amp; Chemicals",D101="Pharmaceuticals &amp; Healthcare",D101="Pharmacy Retail",D101="Postal &amp; Logistics",D101="Retail",D101="Retail &amp; Distribution",D101="Retail &amp; Grocery",D101="Retail (IKEA)",D101="Tobacco",D101="Trading &amp; Conglomerate",D101="Utilities",D101="Utilities &amp; Energy",D101="Wholesale Retail"),2,
OR(D101="Agribusiness",D101="Automotive &amp; Heavy Vehicles",D101="Chemicals",D101="Commercial Vehicles",D101="Construction",D101="Construction &amp; Infrastructure",D101="Engines &amp; Power Systems",D101="Food Processing",D101="Healthcare",D101="Healthcare &amp; Medical Devices",D101="Heavy Equipment",D101="Heavy Industry",D101="Industrial Gases",D101="Industrial Manufacturing",D101="Logistics",D101="Medical Devices",D101="Mining",D101="Mining &amp; Commodities Trading",D101="Oil &amp; Gas",D101="Oilfield Services",D101="Rail Transport",D101="Shipping &amp; Logistics",D101="Steel"),3,
OR(D101="Apparel &amp; Footwear",D101="Beverage",D101="Coffeehouse &amp; Retail",D101="Conglomerate",D101="Consumer Goods",D101="Convenience Retail",D101="Electronics",D101="Electronics &amp; Semiconductors",D101="Electronics Retail",D101="Fashion Retail",D101="Food &amp; Beverage",D101="Food Retail &amp; Consumer Goods",D101="Industrial &amp; Technology",D101="Industrial Automation",D101="Industrial Technology",D101="Postal &amp; Financial Services",D101="Postal Services",D101="Scientific Instruments",D101="Technology Hardware",D101="Trading Company",D101="IT Consulting"),1,
OR(D101="Cosmetics",D101="E-commerce &amp; Cloud Computing",D101="Electronics &amp; Entertainment",D101="Entertainment &amp; Media",D101="Luxury Goods",D101="Media &amp; Telecommunications",D101="Networking Technology",D101="Real Estate Services",D101="Technology &amp; Consumer Electronics",D101="Telecommunications",D101="Telecommunications &amp; Investment"),1,
OR(D101="Asset Management",D101="Banking",D101="Banking &amp; Asset Services",D101="Banking &amp; Financial Services",D101="Banking &amp; Wealth Management",D101="Cloud Software",D101="Enterprise Software",D101="Financial Services",D101="Information Technology Consulting",D101="Investment Banking",D101="Social Media &amp; Technology",D101="Software &amp; Cloud Computing",D101="Technology &amp; Consulting",D101="Technology &amp; Internet Services",D101="Technology &amp; Software"),1,
TRUE,"Unmapped"
)</f>
        <v>2</v>
      </c>
      <c r="H101" s="5">
        <f>VLOOKUP(B101,'BIS + EDBA Final'!A:K,2,FALSE)</f>
        <v>1</v>
      </c>
      <c r="I101" s="5">
        <f>VLOOKUP(B101,'BIS + EDBA Final'!A:F,6,FALSE)</f>
        <v>1</v>
      </c>
      <c r="J101" s="5">
        <f>VLOOKUP(B101,'CBG Final'!A:B,2,FALSE)</f>
        <v>3</v>
      </c>
      <c r="K101" s="9">
        <f t="shared" si="1"/>
        <v>1.6</v>
      </c>
      <c r="L101" s="5" t="s">
        <v>299</v>
      </c>
      <c r="M101" s="5" t="s">
        <v>31</v>
      </c>
      <c r="N101" s="5" t="s">
        <v>300</v>
      </c>
      <c r="O101" s="5" t="s">
        <v>301</v>
      </c>
      <c r="P101" s="5" t="s">
        <v>302</v>
      </c>
      <c r="Q101" s="5" t="s">
        <v>303</v>
      </c>
      <c r="R101" s="5" t="s">
        <v>58</v>
      </c>
      <c r="S101" s="10"/>
      <c r="T101" s="11"/>
      <c r="U101" s="11"/>
      <c r="V101" s="10"/>
      <c r="W101" s="10"/>
      <c r="X101" s="10"/>
      <c r="Y101" s="10"/>
      <c r="Z101" s="10"/>
      <c r="AA101" s="10"/>
      <c r="AB101" s="10"/>
      <c r="AC101" s="10"/>
      <c r="AD101" s="10"/>
      <c r="AE101" s="10"/>
      <c r="AF101" s="10"/>
      <c r="AG101" s="10"/>
      <c r="AH101" s="10"/>
    </row>
    <row r="102" spans="1:34" ht="15.75" customHeight="1">
      <c r="A102" s="5"/>
      <c r="B102" s="5" t="s">
        <v>250</v>
      </c>
      <c r="C102" s="6" t="s">
        <v>195</v>
      </c>
      <c r="D102" s="7" t="s">
        <v>251</v>
      </c>
      <c r="E102" s="8">
        <v>88497</v>
      </c>
      <c r="F102" s="6" cm="1">
        <f t="array" ref="F102">_xlfn.IFS(
E102&lt;=$E$245,0,
E102&lt;=$E$246,1,
E102&lt;=$E$247,2,
E102&gt;=$E$247,3)</f>
        <v>1</v>
      </c>
      <c r="G102" s="7" cm="1">
        <f t="array" ref="G102">_xlfn.IFS(
OR(D102="Aerospace",D102="Aerospace &amp; Defense",D102="Agricultural Equipment",D102="Airlines",D102="Automotive",D102="Automotive &amp; Energy",D102="Automotive Components",D102="Aviation",D102="Building Materials",D102="Chemicals",D102="Commercial Vehicles",D102="Conglomerate &amp; Defense",D102="Conglomerate &amp; Energy",D102="Construction",D102="Construction &amp; Infrastructure",D102="Construction &amp; Real Estate",D102="Construction &amp; Telecom",D102="Discount Retail",D102="Energy Management",D102="Energy Technology",D102="Engines &amp; Power Systems",D102="Environmental Services",D102="Food Distribution",D102="Food Services",D102="Grocery Retail",D102="Healthcare &amp; Pharmacy",D102="Home Improvement Retail",D102="Industrial Engineering &amp; Electronics",D102="Oilfield Services",D102="Pharmaceuticals",D102="Pharmaceuticals &amp; Chemicals",D102="Pharmaceuticals &amp; Healthcare",D102="Pharmacy Retail",D102="Postal &amp; Logistics",D102="Retail",D102="Retail &amp; Distribution",D102="Retail &amp; Grocery",D102="Retail (IKEA)",D102="Tobacco",D102="Trading &amp; Conglomerate",D102="Utilities",D102="Utilities &amp; Energy",D102="Wholesale Retail"),2,
OR(D102="Agribusiness",D102="Automotive &amp; Heavy Vehicles",D102="Chemicals",D102="Commercial Vehicles",D102="Construction",D102="Construction &amp; Infrastructure",D102="Engines &amp; Power Systems",D102="Food Processing",D102="Healthcare",D102="Healthcare &amp; Medical Devices",D102="Heavy Equipment",D102="Heavy Industry",D102="Industrial Gases",D102="Industrial Manufacturing",D102="Logistics",D102="Medical Devices",D102="Mining",D102="Mining &amp; Commodities Trading",D102="Oil &amp; Gas",D102="Oilfield Services",D102="Rail Transport",D102="Shipping &amp; Logistics",D102="Steel"),3,
OR(D102="Apparel &amp; Footwear",D102="Beverage",D102="Coffeehouse &amp; Retail",D102="Conglomerate",D102="Consumer Goods",D102="Convenience Retail",D102="Electronics",D102="Electronics &amp; Semiconductors",D102="Electronics Retail",D102="Fashion Retail",D102="Food &amp; Beverage",D102="Food Retail &amp; Consumer Goods",D102="Industrial &amp; Technology",D102="Industrial Automation",D102="Industrial Technology",D102="Postal &amp; Financial Services",D102="Postal Services",D102="Scientific Instruments",D102="Technology Hardware",D102="Trading Company",D102="IT Consulting"),1,
OR(D102="Cosmetics",D102="E-commerce &amp; Cloud Computing",D102="Electronics &amp; Entertainment",D102="Entertainment &amp; Media",D102="Luxury Goods",D102="Media &amp; Telecommunications",D102="Networking Technology",D102="Real Estate Services",D102="Technology &amp; Consumer Electronics",D102="Telecommunications",D102="Telecommunications &amp; Investment"),1,
OR(D102="Asset Management",D102="Banking",D102="Banking &amp; Asset Services",D102="Banking &amp; Financial Services",D102="Banking &amp; Wealth Management",D102="Cloud Software",D102="Enterprise Software",D102="Financial Services",D102="Information Technology Consulting",D102="Investment Banking",D102="Social Media &amp; Technology",D102="Software &amp; Cloud Computing",D102="Technology &amp; Consulting",D102="Technology &amp; Internet Services",D102="Technology &amp; Software"),1,
TRUE,"Unmapped"
)</f>
        <v>1</v>
      </c>
      <c r="H102" s="5">
        <f>VLOOKUP(B102,'BIS + EDBA Final'!A:K,2,FALSE)</f>
        <v>2</v>
      </c>
      <c r="I102" s="5">
        <f>VLOOKUP(B102,'BIS + EDBA Final'!A:F,6,FALSE)</f>
        <v>1</v>
      </c>
      <c r="J102" s="5">
        <f>VLOOKUP(B102,'CBG Final'!A:B,2,FALSE)</f>
        <v>3</v>
      </c>
      <c r="K102" s="9">
        <f t="shared" si="1"/>
        <v>1.6</v>
      </c>
      <c r="L102" s="5" t="s">
        <v>252</v>
      </c>
      <c r="M102" s="5" t="s">
        <v>253</v>
      </c>
      <c r="N102" s="5" t="s">
        <v>254</v>
      </c>
      <c r="O102" s="5" t="s">
        <v>255</v>
      </c>
      <c r="P102" s="5" t="s">
        <v>256</v>
      </c>
      <c r="Q102" s="5" t="s">
        <v>257</v>
      </c>
      <c r="R102" s="5" t="s">
        <v>258</v>
      </c>
      <c r="S102" s="10"/>
      <c r="T102" s="11"/>
      <c r="U102" s="11"/>
      <c r="V102" s="10"/>
      <c r="W102" s="10"/>
      <c r="X102" s="10"/>
      <c r="Y102" s="10"/>
      <c r="Z102" s="10"/>
      <c r="AA102" s="10"/>
      <c r="AB102" s="10"/>
      <c r="AC102" s="10"/>
      <c r="AD102" s="10"/>
      <c r="AE102" s="10"/>
      <c r="AF102" s="10"/>
      <c r="AG102" s="10"/>
      <c r="AH102" s="10"/>
    </row>
    <row r="103" spans="1:34" ht="15.75" customHeight="1">
      <c r="A103" s="5"/>
      <c r="B103" s="5" t="s">
        <v>451</v>
      </c>
      <c r="C103" s="6" t="s">
        <v>36</v>
      </c>
      <c r="D103" s="7" t="s">
        <v>212</v>
      </c>
      <c r="E103" s="8">
        <v>186000</v>
      </c>
      <c r="F103" s="6" cm="1">
        <f t="array" ref="F103">_xlfn.IFS(
E103&lt;=$E$245,0,
E103&lt;=$E$246,1,
E103&lt;=$E$247,2,
E103&gt;=$E$247,3)</f>
        <v>2</v>
      </c>
      <c r="G103" s="7" cm="1">
        <f t="array" ref="G103">_xlfn.IFS(
OR(D103="Aerospace",D103="Aerospace &amp; Defense",D103="Agricultural Equipment",D103="Airlines",D103="Automotive",D103="Automotive &amp; Energy",D103="Automotive Components",D103="Aviation",D103="Building Materials",D103="Chemicals",D103="Commercial Vehicles",D103="Conglomerate &amp; Defense",D103="Conglomerate &amp; Energy",D103="Construction",D103="Construction &amp; Infrastructure",D103="Construction &amp; Real Estate",D103="Construction &amp; Telecom",D103="Discount Retail",D103="Energy Management",D103="Energy Technology",D103="Engines &amp; Power Systems",D103="Environmental Services",D103="Food Distribution",D103="Food Services",D103="Grocery Retail",D103="Healthcare &amp; Pharmacy",D103="Home Improvement Retail",D103="Industrial Engineering &amp; Electronics",D103="Oilfield Services",D103="Pharmaceuticals",D103="Pharmaceuticals &amp; Chemicals",D103="Pharmaceuticals &amp; Healthcare",D103="Pharmacy Retail",D103="Postal &amp; Logistics",D103="Retail",D103="Retail &amp; Distribution",D103="Retail &amp; Grocery",D103="Retail (IKEA)",D103="Tobacco",D103="Trading &amp; Conglomerate",D103="Utilities",D103="Utilities &amp; Energy",D103="Wholesale Retail"),2,
OR(D103="Agribusiness",D103="Automotive &amp; Heavy Vehicles",D103="Chemicals",D103="Commercial Vehicles",D103="Construction",D103="Construction &amp; Infrastructure",D103="Engines &amp; Power Systems",D103="Food Processing",D103="Healthcare",D103="Healthcare &amp; Medical Devices",D103="Heavy Equipment",D103="Heavy Industry",D103="Industrial Gases",D103="Industrial Manufacturing",D103="Logistics",D103="Medical Devices",D103="Mining",D103="Mining &amp; Commodities Trading",D103="Oil &amp; Gas",D103="Oilfield Services",D103="Rail Transport",D103="Shipping &amp; Logistics",D103="Steel"),3,
OR(D103="Apparel &amp; Footwear",D103="Beverage",D103="Coffeehouse &amp; Retail",D103="Conglomerate",D103="Consumer Goods",D103="Convenience Retail",D103="Electronics",D103="Electronics &amp; Semiconductors",D103="Electronics Retail",D103="Fashion Retail",D103="Food &amp; Beverage",D103="Food Retail &amp; Consumer Goods",D103="Industrial &amp; Technology",D103="Industrial Automation",D103="Industrial Technology",D103="Postal &amp; Financial Services",D103="Postal Services",D103="Scientific Instruments",D103="Technology Hardware",D103="Trading Company",D103="IT Consulting"),1,
OR(D103="Cosmetics",D103="E-commerce &amp; Cloud Computing",D103="Electronics &amp; Entertainment",D103="Entertainment &amp; Media",D103="Luxury Goods",D103="Media &amp; Telecommunications",D103="Networking Technology",D103="Real Estate Services",D103="Technology &amp; Consumer Electronics",D103="Telecommunications",D103="Telecommunications &amp; Investment"),1,
OR(D103="Asset Management",D103="Banking",D103="Banking &amp; Asset Services",D103="Banking &amp; Financial Services",D103="Banking &amp; Wealth Management",D103="Cloud Software",D103="Enterprise Software",D103="Financial Services",D103="Information Technology Consulting",D103="Investment Banking",D103="Social Media &amp; Technology",D103="Software &amp; Cloud Computing",D103="Technology &amp; Consulting",D103="Technology &amp; Internet Services",D103="Technology &amp; Software"),1,
TRUE,"Unmapped"
)</f>
        <v>2</v>
      </c>
      <c r="H103" s="5">
        <v>1</v>
      </c>
      <c r="I103" s="5">
        <f>VLOOKUP(B103,'BIS + EDBA Final'!A:F,6,FALSE)</f>
        <v>0</v>
      </c>
      <c r="J103" s="5">
        <f>VLOOKUP(B103,'CBG Final'!A:B,2,FALSE)</f>
        <v>2</v>
      </c>
      <c r="K103" s="9">
        <f t="shared" si="1"/>
        <v>1.6</v>
      </c>
      <c r="L103" s="5" t="s">
        <v>1263</v>
      </c>
      <c r="M103" s="5" t="s">
        <v>152</v>
      </c>
      <c r="N103" s="5" t="s">
        <v>1264</v>
      </c>
      <c r="O103" s="5" t="s">
        <v>1265</v>
      </c>
      <c r="P103" s="5" t="s">
        <v>1266</v>
      </c>
      <c r="Q103" s="5" t="s">
        <v>1267</v>
      </c>
      <c r="R103" s="5" t="s">
        <v>20</v>
      </c>
      <c r="S103" s="10"/>
      <c r="T103" s="11"/>
      <c r="U103" s="11"/>
      <c r="V103" s="10"/>
      <c r="W103" s="10"/>
      <c r="X103" s="11"/>
      <c r="Y103" s="11"/>
      <c r="Z103" s="10"/>
      <c r="AA103" s="10"/>
      <c r="AB103" s="10"/>
      <c r="AC103" s="10"/>
      <c r="AD103" s="10"/>
      <c r="AE103" s="10"/>
      <c r="AF103" s="10"/>
      <c r="AG103" s="10"/>
      <c r="AH103" s="10"/>
    </row>
    <row r="104" spans="1:34" ht="15.75" customHeight="1">
      <c r="A104" s="5"/>
      <c r="B104" s="5" t="s">
        <v>740</v>
      </c>
      <c r="C104" s="6" t="s">
        <v>71</v>
      </c>
      <c r="D104" s="7" t="s">
        <v>741</v>
      </c>
      <c r="E104" s="8">
        <v>190159</v>
      </c>
      <c r="F104" s="6" cm="1">
        <f t="array" ref="F104">_xlfn.IFS(
E104&lt;=$E$245,0,
E104&lt;=$E$246,1,
E104&lt;=$E$247,2,
E104&gt;=$E$247,3)</f>
        <v>2</v>
      </c>
      <c r="G104" s="7" cm="1">
        <f t="array" ref="G104">_xlfn.IFS(
OR(D104="Aerospace",D104="Aerospace &amp; Defense",D104="Agricultural Equipment",D104="Airlines",D104="Automotive",D104="Automotive &amp; Energy",D104="Automotive Components",D104="Aviation",D104="Building Materials",D104="Chemicals",D104="Commercial Vehicles",D104="Conglomerate &amp; Defense",D104="Conglomerate &amp; Energy",D104="Construction",D104="Construction &amp; Infrastructure",D104="Construction &amp; Real Estate",D104="Construction &amp; Telecom",D104="Discount Retail",D104="Energy Management",D104="Energy Technology",D104="Engines &amp; Power Systems",D104="Environmental Services",D104="Food Distribution",D104="Food Services",D104="Grocery Retail",D104="Healthcare &amp; Pharmacy",D104="Home Improvement Retail",D104="Industrial Engineering &amp; Electronics",D104="Oilfield Services",D104="Pharmaceuticals",D104="Pharmaceuticals &amp; Chemicals",D104="Pharmaceuticals &amp; Healthcare",D104="Pharmacy Retail",D104="Postal &amp; Logistics",D104="Retail",D104="Retail &amp; Distribution",D104="Retail &amp; Grocery",D104="Retail (IKEA)",D104="Tobacco",D104="Trading &amp; Conglomerate",D104="Utilities",D104="Utilities &amp; Energy",D104="Wholesale Retail"),2,
OR(D104="Agribusiness",D104="Automotive &amp; Heavy Vehicles",D104="Chemicals",D104="Commercial Vehicles",D104="Construction",D104="Construction &amp; Infrastructure",D104="Engines &amp; Power Systems",D104="Food Processing",D104="Healthcare",D104="Healthcare &amp; Medical Devices",D104="Heavy Equipment",D104="Heavy Industry",D104="Industrial Gases",D104="Industrial Manufacturing",D104="Logistics",D104="Medical Devices",D104="Mining",D104="Mining &amp; Commodities Trading",D104="Oil &amp; Gas",D104="Oilfield Services",D104="Rail Transport",D104="Shipping &amp; Logistics",D104="Steel"),3,
OR(D104="Apparel &amp; Footwear",D104="Beverage",D104="Coffeehouse &amp; Retail",D104="Conglomerate",D104="Consumer Goods",D104="Convenience Retail",D104="Electronics",D104="Electronics &amp; Semiconductors",D104="Electronics Retail",D104="Fashion Retail",D104="Food &amp; Beverage",D104="Food Retail &amp; Consumer Goods",D104="Industrial &amp; Technology",D104="Industrial Automation",D104="Industrial Technology",D104="Postal &amp; Financial Services",D104="Postal Services",D104="Scientific Instruments",D104="Technology Hardware",D104="Trading Company",D104="IT Consulting"),1,
OR(D104="Cosmetics",D104="E-commerce &amp; Cloud Computing",D104="Electronics &amp; Entertainment",D104="Entertainment &amp; Media",D104="Luxury Goods",D104="Media &amp; Telecommunications",D104="Networking Technology",D104="Real Estate Services",D104="Technology &amp; Consumer Electronics",D104="Telecommunications",D104="Telecommunications &amp; Investment"),1,
OR(D104="Asset Management",D104="Banking",D104="Banking &amp; Asset Services",D104="Banking &amp; Financial Services",D104="Banking &amp; Wealth Management",D104="Cloud Software",D104="Enterprise Software",D104="Financial Services",D104="Information Technology Consulting",D104="Investment Banking",D104="Social Media &amp; Technology",D104="Software &amp; Cloud Computing",D104="Technology &amp; Consulting",D104="Technology &amp; Internet Services",D104="Technology &amp; Software"),1,
TRUE,"Unmapped"
)</f>
        <v>2</v>
      </c>
      <c r="H104" s="5">
        <v>1</v>
      </c>
      <c r="I104" s="5">
        <f>VLOOKUP(B104,'BIS + EDBA Final'!A:F,6,FALSE)</f>
        <v>0</v>
      </c>
      <c r="J104" s="5">
        <f>VLOOKUP(B104,'CBG Final'!A:B,2,FALSE)</f>
        <v>2</v>
      </c>
      <c r="K104" s="9">
        <f t="shared" si="1"/>
        <v>1.6</v>
      </c>
      <c r="L104" s="5" t="s">
        <v>742</v>
      </c>
      <c r="M104" s="5" t="s">
        <v>743</v>
      </c>
      <c r="N104" s="5" t="s">
        <v>744</v>
      </c>
      <c r="O104" s="5" t="s">
        <v>693</v>
      </c>
      <c r="P104" s="5" t="s">
        <v>745</v>
      </c>
      <c r="Q104" s="5" t="s">
        <v>257</v>
      </c>
      <c r="R104" s="5" t="s">
        <v>108</v>
      </c>
      <c r="S104" s="10"/>
      <c r="T104" s="11"/>
      <c r="U104" s="11"/>
      <c r="V104" s="10"/>
      <c r="W104" s="10"/>
      <c r="X104" s="10"/>
      <c r="Y104" s="10"/>
      <c r="Z104" s="10"/>
      <c r="AA104" s="10"/>
      <c r="AB104" s="10"/>
      <c r="AC104" s="10"/>
      <c r="AD104" s="10"/>
      <c r="AE104" s="10"/>
      <c r="AF104" s="10"/>
      <c r="AG104" s="10"/>
      <c r="AH104" s="10"/>
    </row>
    <row r="105" spans="1:34" ht="15.75" customHeight="1">
      <c r="A105" s="5"/>
      <c r="B105" s="5" t="s">
        <v>805</v>
      </c>
      <c r="C105" s="6" t="s">
        <v>62</v>
      </c>
      <c r="D105" s="7" t="s">
        <v>741</v>
      </c>
      <c r="E105" s="8">
        <v>158056</v>
      </c>
      <c r="F105" s="6" cm="1">
        <f t="array" ref="F105">_xlfn.IFS(
E105&lt;=$E$245,0,
E105&lt;=$E$246,1,
E105&lt;=$E$247,2,
E105&gt;=$E$247,3)</f>
        <v>2</v>
      </c>
      <c r="G105" s="7" cm="1">
        <f t="array" ref="G105">_xlfn.IFS(
OR(D105="Aerospace",D105="Aerospace &amp; Defense",D105="Agricultural Equipment",D105="Airlines",D105="Automotive",D105="Automotive &amp; Energy",D105="Automotive Components",D105="Aviation",D105="Building Materials",D105="Chemicals",D105="Commercial Vehicles",D105="Conglomerate &amp; Defense",D105="Conglomerate &amp; Energy",D105="Construction",D105="Construction &amp; Infrastructure",D105="Construction &amp; Real Estate",D105="Construction &amp; Telecom",D105="Discount Retail",D105="Energy Management",D105="Energy Technology",D105="Engines &amp; Power Systems",D105="Environmental Services",D105="Food Distribution",D105="Food Services",D105="Grocery Retail",D105="Healthcare &amp; Pharmacy",D105="Home Improvement Retail",D105="Industrial Engineering &amp; Electronics",D105="Oilfield Services",D105="Pharmaceuticals",D105="Pharmaceuticals &amp; Chemicals",D105="Pharmaceuticals &amp; Healthcare",D105="Pharmacy Retail",D105="Postal &amp; Logistics",D105="Retail",D105="Retail &amp; Distribution",D105="Retail &amp; Grocery",D105="Retail (IKEA)",D105="Tobacco",D105="Trading &amp; Conglomerate",D105="Utilities",D105="Utilities &amp; Energy",D105="Wholesale Retail"),2,
OR(D105="Agribusiness",D105="Automotive &amp; Heavy Vehicles",D105="Chemicals",D105="Commercial Vehicles",D105="Construction",D105="Construction &amp; Infrastructure",D105="Engines &amp; Power Systems",D105="Food Processing",D105="Healthcare",D105="Healthcare &amp; Medical Devices",D105="Heavy Equipment",D105="Heavy Industry",D105="Industrial Gases",D105="Industrial Manufacturing",D105="Logistics",D105="Medical Devices",D105="Mining",D105="Mining &amp; Commodities Trading",D105="Oil &amp; Gas",D105="Oilfield Services",D105="Rail Transport",D105="Shipping &amp; Logistics",D105="Steel"),3,
OR(D105="Apparel &amp; Footwear",D105="Beverage",D105="Coffeehouse &amp; Retail",D105="Conglomerate",D105="Consumer Goods",D105="Convenience Retail",D105="Electronics",D105="Electronics &amp; Semiconductors",D105="Electronics Retail",D105="Fashion Retail",D105="Food &amp; Beverage",D105="Food Retail &amp; Consumer Goods",D105="Industrial &amp; Technology",D105="Industrial Automation",D105="Industrial Technology",D105="Postal &amp; Financial Services",D105="Postal Services",D105="Scientific Instruments",D105="Technology Hardware",D105="Trading Company",D105="IT Consulting"),1,
OR(D105="Cosmetics",D105="E-commerce &amp; Cloud Computing",D105="Electronics &amp; Entertainment",D105="Entertainment &amp; Media",D105="Luxury Goods",D105="Media &amp; Telecommunications",D105="Networking Technology",D105="Real Estate Services",D105="Technology &amp; Consumer Electronics",D105="Telecommunications",D105="Telecommunications &amp; Investment"),1,
OR(D105="Asset Management",D105="Banking",D105="Banking &amp; Asset Services",D105="Banking &amp; Financial Services",D105="Banking &amp; Wealth Management",D105="Cloud Software",D105="Enterprise Software",D105="Financial Services",D105="Information Technology Consulting",D105="Investment Banking",D105="Social Media &amp; Technology",D105="Software &amp; Cloud Computing",D105="Technology &amp; Consulting",D105="Technology &amp; Internet Services",D105="Technology &amp; Software"),1,
TRUE,"Unmapped"
)</f>
        <v>2</v>
      </c>
      <c r="H105" s="5">
        <v>1</v>
      </c>
      <c r="I105" s="5">
        <f>VLOOKUP(B105,'BIS + EDBA Final'!A:F,6,FALSE)</f>
        <v>0</v>
      </c>
      <c r="J105" s="5">
        <f>VLOOKUP(B105,'CBG Final'!A:B,2,FALSE)</f>
        <v>2</v>
      </c>
      <c r="K105" s="9">
        <f t="shared" si="1"/>
        <v>1.6</v>
      </c>
      <c r="L105" s="5" t="s">
        <v>819</v>
      </c>
      <c r="M105" s="5" t="s">
        <v>820</v>
      </c>
      <c r="N105" s="5" t="s">
        <v>821</v>
      </c>
      <c r="O105" s="5" t="s">
        <v>822</v>
      </c>
      <c r="P105" s="5" t="s">
        <v>823</v>
      </c>
      <c r="Q105" s="5" t="s">
        <v>824</v>
      </c>
      <c r="R105" s="5" t="s">
        <v>20</v>
      </c>
      <c r="S105" s="10"/>
      <c r="T105" s="11"/>
      <c r="U105" s="11"/>
      <c r="V105" s="10"/>
      <c r="W105" s="10"/>
      <c r="X105" s="10"/>
      <c r="Y105" s="10"/>
      <c r="Z105" s="10"/>
      <c r="AA105" s="10"/>
      <c r="AB105" s="10"/>
      <c r="AC105" s="10"/>
      <c r="AD105" s="10"/>
      <c r="AE105" s="10"/>
      <c r="AF105" s="10"/>
      <c r="AG105" s="10"/>
      <c r="AH105" s="10"/>
    </row>
    <row r="106" spans="1:34" ht="15.75" customHeight="1">
      <c r="A106" s="5"/>
      <c r="B106" s="5" t="s">
        <v>1103</v>
      </c>
      <c r="C106" s="6" t="s">
        <v>491</v>
      </c>
      <c r="D106" s="7" t="s">
        <v>741</v>
      </c>
      <c r="E106" s="8">
        <v>170000</v>
      </c>
      <c r="F106" s="6" cm="1">
        <f t="array" ref="F106">_xlfn.IFS(
E106&lt;=$E$245,0,
E106&lt;=$E$246,1,
E106&lt;=$E$247,2,
E106&gt;=$E$247,3)</f>
        <v>2</v>
      </c>
      <c r="G106" s="7" cm="1">
        <f t="array" ref="G106">_xlfn.IFS(
OR(D106="Aerospace",D106="Aerospace &amp; Defense",D106="Agricultural Equipment",D106="Airlines",D106="Automotive",D106="Automotive &amp; Energy",D106="Automotive Components",D106="Aviation",D106="Building Materials",D106="Chemicals",D106="Commercial Vehicles",D106="Conglomerate &amp; Defense",D106="Conglomerate &amp; Energy",D106="Construction",D106="Construction &amp; Infrastructure",D106="Construction &amp; Real Estate",D106="Construction &amp; Telecom",D106="Discount Retail",D106="Energy Management",D106="Energy Technology",D106="Engines &amp; Power Systems",D106="Environmental Services",D106="Food Distribution",D106="Food Services",D106="Grocery Retail",D106="Healthcare &amp; Pharmacy",D106="Home Improvement Retail",D106="Industrial Engineering &amp; Electronics",D106="Oilfield Services",D106="Pharmaceuticals",D106="Pharmaceuticals &amp; Chemicals",D106="Pharmaceuticals &amp; Healthcare",D106="Pharmacy Retail",D106="Postal &amp; Logistics",D106="Retail",D106="Retail &amp; Distribution",D106="Retail &amp; Grocery",D106="Retail (IKEA)",D106="Tobacco",D106="Trading &amp; Conglomerate",D106="Utilities",D106="Utilities &amp; Energy",D106="Wholesale Retail"),2,
OR(D106="Agribusiness",D106="Automotive &amp; Heavy Vehicles",D106="Chemicals",D106="Commercial Vehicles",D106="Construction",D106="Construction &amp; Infrastructure",D106="Engines &amp; Power Systems",D106="Food Processing",D106="Healthcare",D106="Healthcare &amp; Medical Devices",D106="Heavy Equipment",D106="Heavy Industry",D106="Industrial Gases",D106="Industrial Manufacturing",D106="Logistics",D106="Medical Devices",D106="Mining",D106="Mining &amp; Commodities Trading",D106="Oil &amp; Gas",D106="Oilfield Services",D106="Rail Transport",D106="Shipping &amp; Logistics",D106="Steel"),3,
OR(D106="Apparel &amp; Footwear",D106="Beverage",D106="Coffeehouse &amp; Retail",D106="Conglomerate",D106="Consumer Goods",D106="Convenience Retail",D106="Electronics",D106="Electronics &amp; Semiconductors",D106="Electronics Retail",D106="Fashion Retail",D106="Food &amp; Beverage",D106="Food Retail &amp; Consumer Goods",D106="Industrial &amp; Technology",D106="Industrial Automation",D106="Industrial Technology",D106="Postal &amp; Financial Services",D106="Postal Services",D106="Scientific Instruments",D106="Technology Hardware",D106="Trading Company",D106="IT Consulting"),1,
OR(D106="Cosmetics",D106="E-commerce &amp; Cloud Computing",D106="Electronics &amp; Entertainment",D106="Entertainment &amp; Media",D106="Luxury Goods",D106="Media &amp; Telecommunications",D106="Networking Technology",D106="Real Estate Services",D106="Technology &amp; Consumer Electronics",D106="Telecommunications",D106="Telecommunications &amp; Investment"),1,
OR(D106="Asset Management",D106="Banking",D106="Banking &amp; Asset Services",D106="Banking &amp; Financial Services",D106="Banking &amp; Wealth Management",D106="Cloud Software",D106="Enterprise Software",D106="Financial Services",D106="Information Technology Consulting",D106="Investment Banking",D106="Social Media &amp; Technology",D106="Software &amp; Cloud Computing",D106="Technology &amp; Consulting",D106="Technology &amp; Internet Services",D106="Technology &amp; Software"),1,
TRUE,"Unmapped"
)</f>
        <v>2</v>
      </c>
      <c r="H106" s="5">
        <v>1</v>
      </c>
      <c r="I106" s="5">
        <f>VLOOKUP(B106,'BIS + EDBA Final'!A:F,6,FALSE)</f>
        <v>0</v>
      </c>
      <c r="J106" s="5">
        <f>VLOOKUP(B106,'CBG Final'!A:B,2,FALSE)</f>
        <v>2</v>
      </c>
      <c r="K106" s="9">
        <f t="shared" si="1"/>
        <v>1.6</v>
      </c>
      <c r="L106" s="5" t="s">
        <v>1104</v>
      </c>
      <c r="M106" s="5" t="s">
        <v>384</v>
      </c>
      <c r="N106" s="5" t="s">
        <v>1105</v>
      </c>
      <c r="O106" s="5" t="s">
        <v>1091</v>
      </c>
      <c r="P106" s="5" t="s">
        <v>1106</v>
      </c>
      <c r="Q106" s="5" t="s">
        <v>330</v>
      </c>
      <c r="R106" s="5" t="s">
        <v>34</v>
      </c>
      <c r="S106" s="10"/>
      <c r="T106" s="11"/>
      <c r="U106" s="11"/>
      <c r="V106" s="10"/>
      <c r="W106" s="10"/>
      <c r="X106" s="10"/>
      <c r="Y106" s="10"/>
      <c r="Z106" s="10"/>
      <c r="AA106" s="10"/>
      <c r="AB106" s="10"/>
      <c r="AC106" s="10"/>
      <c r="AD106" s="10"/>
      <c r="AE106" s="10"/>
      <c r="AF106" s="10"/>
      <c r="AG106" s="10"/>
      <c r="AH106" s="10"/>
    </row>
    <row r="107" spans="1:34" ht="15.75" customHeight="1">
      <c r="A107" s="5"/>
      <c r="B107" s="5" t="s">
        <v>503</v>
      </c>
      <c r="C107" s="6" t="s">
        <v>36</v>
      </c>
      <c r="D107" s="7" t="s">
        <v>333</v>
      </c>
      <c r="E107" s="8">
        <v>196650</v>
      </c>
      <c r="F107" s="6" cm="1">
        <f t="array" ref="F107">_xlfn.IFS(
E107&lt;=$E$245,0,
E107&lt;=$E$246,1,
E107&lt;=$E$247,2,
E107&gt;=$E$247,3)</f>
        <v>2</v>
      </c>
      <c r="G107" s="7" cm="1">
        <f t="array" ref="G107">_xlfn.IFS(
OR(D107="Aerospace",D107="Aerospace &amp; Defense",D107="Agricultural Equipment",D107="Airlines",D107="Automotive",D107="Automotive &amp; Energy",D107="Automotive Components",D107="Aviation",D107="Building Materials",D107="Chemicals",D107="Commercial Vehicles",D107="Conglomerate &amp; Defense",D107="Conglomerate &amp; Energy",D107="Construction",D107="Construction &amp; Infrastructure",D107="Construction &amp; Real Estate",D107="Construction &amp; Telecom",D107="Discount Retail",D107="Energy Management",D107="Energy Technology",D107="Engines &amp; Power Systems",D107="Environmental Services",D107="Food Distribution",D107="Food Services",D107="Grocery Retail",D107="Healthcare &amp; Pharmacy",D107="Home Improvement Retail",D107="Industrial Engineering &amp; Electronics",D107="Oilfield Services",D107="Pharmaceuticals",D107="Pharmaceuticals &amp; Chemicals",D107="Pharmaceuticals &amp; Healthcare",D107="Pharmacy Retail",D107="Postal &amp; Logistics",D107="Retail",D107="Retail &amp; Distribution",D107="Retail &amp; Grocery",D107="Retail (IKEA)",D107="Tobacco",D107="Trading &amp; Conglomerate",D107="Utilities",D107="Utilities &amp; Energy",D107="Wholesale Retail"),2,
OR(D107="Agribusiness",D107="Automotive &amp; Heavy Vehicles",D107="Chemicals",D107="Commercial Vehicles",D107="Construction",D107="Construction &amp; Infrastructure",D107="Engines &amp; Power Systems",D107="Food Processing",D107="Healthcare",D107="Healthcare &amp; Medical Devices",D107="Heavy Equipment",D107="Heavy Industry",D107="Industrial Gases",D107="Industrial Manufacturing",D107="Logistics",D107="Medical Devices",D107="Mining",D107="Mining &amp; Commodities Trading",D107="Oil &amp; Gas",D107="Oilfield Services",D107="Rail Transport",D107="Shipping &amp; Logistics",D107="Steel"),3,
OR(D107="Apparel &amp; Footwear",D107="Beverage",D107="Coffeehouse &amp; Retail",D107="Conglomerate",D107="Consumer Goods",D107="Convenience Retail",D107="Electronics",D107="Electronics &amp; Semiconductors",D107="Electronics Retail",D107="Fashion Retail",D107="Food &amp; Beverage",D107="Food Retail &amp; Consumer Goods",D107="Industrial &amp; Technology",D107="Industrial Automation",D107="Industrial Technology",D107="Postal &amp; Financial Services",D107="Postal Services",D107="Scientific Instruments",D107="Technology Hardware",D107="Trading Company",D107="IT Consulting"),1,
OR(D107="Cosmetics",D107="E-commerce &amp; Cloud Computing",D107="Electronics &amp; Entertainment",D107="Entertainment &amp; Media",D107="Luxury Goods",D107="Media &amp; Telecommunications",D107="Networking Technology",D107="Real Estate Services",D107="Technology &amp; Consumer Electronics",D107="Telecommunications",D107="Telecommunications &amp; Investment"),1,
OR(D107="Asset Management",D107="Banking",D107="Banking &amp; Asset Services",D107="Banking &amp; Financial Services",D107="Banking &amp; Wealth Management",D107="Cloud Software",D107="Enterprise Software",D107="Financial Services",D107="Information Technology Consulting",D107="Investment Banking",D107="Social Media &amp; Technology",D107="Software &amp; Cloud Computing",D107="Technology &amp; Consulting",D107="Technology &amp; Internet Services",D107="Technology &amp; Software"),1,
TRUE,"Unmapped"
)</f>
        <v>2</v>
      </c>
      <c r="H107" s="5">
        <v>1</v>
      </c>
      <c r="I107" s="5">
        <f>VLOOKUP(B107,'BIS + EDBA Final'!A:F,6,FALSE)</f>
        <v>0</v>
      </c>
      <c r="J107" s="5">
        <f>VLOOKUP(B107,'CBG Final'!A:B,2,FALSE)</f>
        <v>2</v>
      </c>
      <c r="K107" s="9">
        <f t="shared" si="1"/>
        <v>1.6</v>
      </c>
      <c r="L107" s="5" t="s">
        <v>504</v>
      </c>
      <c r="M107" s="5" t="s">
        <v>352</v>
      </c>
      <c r="N107" s="5" t="s">
        <v>505</v>
      </c>
      <c r="O107" s="5" t="s">
        <v>506</v>
      </c>
      <c r="P107" s="5" t="s">
        <v>507</v>
      </c>
      <c r="Q107" s="5" t="s">
        <v>29</v>
      </c>
      <c r="R107" s="5" t="s">
        <v>167</v>
      </c>
      <c r="S107" s="10"/>
      <c r="T107" s="11"/>
      <c r="U107" s="11"/>
      <c r="V107" s="10"/>
      <c r="W107" s="10"/>
      <c r="X107" s="11"/>
      <c r="Y107" s="11"/>
      <c r="Z107" s="10"/>
      <c r="AA107" s="10"/>
      <c r="AB107" s="10"/>
      <c r="AC107" s="10"/>
      <c r="AD107" s="10"/>
      <c r="AE107" s="10"/>
      <c r="AF107" s="10"/>
      <c r="AG107" s="10"/>
      <c r="AH107" s="10"/>
    </row>
    <row r="108" spans="1:34" ht="15.75" customHeight="1">
      <c r="A108" s="5"/>
      <c r="B108" s="5" t="s">
        <v>262</v>
      </c>
      <c r="C108" s="6" t="s">
        <v>39</v>
      </c>
      <c r="D108" s="7" t="s">
        <v>243</v>
      </c>
      <c r="E108" s="8">
        <v>181850</v>
      </c>
      <c r="F108" s="6" cm="1">
        <f t="array" ref="F108">_xlfn.IFS(
E108&lt;=$E$245,0,
E108&lt;=$E$246,1,
E108&lt;=$E$247,2,
E108&gt;=$E$247,3)</f>
        <v>2</v>
      </c>
      <c r="G108" s="7" cm="1">
        <f t="array" ref="G108">_xlfn.IFS(
OR(D108="Aerospace",D108="Aerospace &amp; Defense",D108="Agricultural Equipment",D108="Airlines",D108="Automotive",D108="Automotive &amp; Energy",D108="Automotive Components",D108="Aviation",D108="Building Materials",D108="Chemicals",D108="Commercial Vehicles",D108="Conglomerate &amp; Defense",D108="Conglomerate &amp; Energy",D108="Construction",D108="Construction &amp; Infrastructure",D108="Construction &amp; Real Estate",D108="Construction &amp; Telecom",D108="Discount Retail",D108="Energy Management",D108="Energy Technology",D108="Engines &amp; Power Systems",D108="Environmental Services",D108="Food Distribution",D108="Food Services",D108="Grocery Retail",D108="Healthcare &amp; Pharmacy",D108="Home Improvement Retail",D108="Industrial Engineering &amp; Electronics",D108="Oilfield Services",D108="Pharmaceuticals",D108="Pharmaceuticals &amp; Chemicals",D108="Pharmaceuticals &amp; Healthcare",D108="Pharmacy Retail",D108="Postal &amp; Logistics",D108="Retail",D108="Retail &amp; Distribution",D108="Retail &amp; Grocery",D108="Retail (IKEA)",D108="Tobacco",D108="Trading &amp; Conglomerate",D108="Utilities",D108="Utilities &amp; Energy",D108="Wholesale Retail"),2,
OR(D108="Agribusiness",D108="Automotive &amp; Heavy Vehicles",D108="Chemicals",D108="Commercial Vehicles",D108="Construction",D108="Construction &amp; Infrastructure",D108="Engines &amp; Power Systems",D108="Food Processing",D108="Healthcare",D108="Healthcare &amp; Medical Devices",D108="Heavy Equipment",D108="Heavy Industry",D108="Industrial Gases",D108="Industrial Manufacturing",D108="Logistics",D108="Medical Devices",D108="Mining",D108="Mining &amp; Commodities Trading",D108="Oil &amp; Gas",D108="Oilfield Services",D108="Rail Transport",D108="Shipping &amp; Logistics",D108="Steel"),3,
OR(D108="Apparel &amp; Footwear",D108="Beverage",D108="Coffeehouse &amp; Retail",D108="Conglomerate",D108="Consumer Goods",D108="Convenience Retail",D108="Electronics",D108="Electronics &amp; Semiconductors",D108="Electronics Retail",D108="Fashion Retail",D108="Food &amp; Beverage",D108="Food Retail &amp; Consumer Goods",D108="Industrial &amp; Technology",D108="Industrial Automation",D108="Industrial Technology",D108="Postal &amp; Financial Services",D108="Postal Services",D108="Scientific Instruments",D108="Technology Hardware",D108="Trading Company",D108="IT Consulting"),1,
OR(D108="Cosmetics",D108="E-commerce &amp; Cloud Computing",D108="Electronics &amp; Entertainment",D108="Entertainment &amp; Media",D108="Luxury Goods",D108="Media &amp; Telecommunications",D108="Networking Technology",D108="Real Estate Services",D108="Technology &amp; Consumer Electronics",D108="Telecommunications",D108="Telecommunications &amp; Investment"),1,
OR(D108="Asset Management",D108="Banking",D108="Banking &amp; Asset Services",D108="Banking &amp; Financial Services",D108="Banking &amp; Wealth Management",D108="Cloud Software",D108="Enterprise Software",D108="Financial Services",D108="Information Technology Consulting",D108="Investment Banking",D108="Social Media &amp; Technology",D108="Software &amp; Cloud Computing",D108="Technology &amp; Consulting",D108="Technology &amp; Internet Services",D108="Technology &amp; Software"),1,
TRUE,"Unmapped"
)</f>
        <v>2</v>
      </c>
      <c r="H108" s="5">
        <v>1</v>
      </c>
      <c r="I108" s="5">
        <f>VLOOKUP(B108,'BIS + EDBA Final'!A:F,6,FALSE)</f>
        <v>0</v>
      </c>
      <c r="J108" s="5">
        <f>VLOOKUP(B108,'CBG Final'!A:B,2,FALSE)</f>
        <v>2</v>
      </c>
      <c r="K108" s="9">
        <f t="shared" si="1"/>
        <v>1.6</v>
      </c>
      <c r="L108" s="5" t="s">
        <v>865</v>
      </c>
      <c r="M108" s="5" t="s">
        <v>866</v>
      </c>
      <c r="N108" s="5" t="s">
        <v>867</v>
      </c>
      <c r="O108" s="5" t="s">
        <v>516</v>
      </c>
      <c r="P108" s="5" t="s">
        <v>868</v>
      </c>
      <c r="Q108" s="5" t="s">
        <v>824</v>
      </c>
      <c r="R108" s="5" t="s">
        <v>20</v>
      </c>
      <c r="S108" s="10"/>
      <c r="T108" s="11"/>
      <c r="U108" s="11"/>
      <c r="V108" s="10"/>
      <c r="W108" s="10"/>
      <c r="X108" s="11"/>
      <c r="Y108" s="11"/>
      <c r="Z108" s="10"/>
      <c r="AA108" s="10"/>
      <c r="AB108" s="10"/>
      <c r="AC108" s="10"/>
      <c r="AD108" s="10"/>
      <c r="AE108" s="10"/>
      <c r="AF108" s="10"/>
      <c r="AG108" s="10"/>
      <c r="AH108" s="10"/>
    </row>
    <row r="109" spans="1:34" ht="15.75" customHeight="1">
      <c r="A109" s="5"/>
      <c r="B109" s="5" t="s">
        <v>509</v>
      </c>
      <c r="C109" s="6" t="s">
        <v>491</v>
      </c>
      <c r="D109" s="7" t="s">
        <v>510</v>
      </c>
      <c r="E109" s="8">
        <v>149000</v>
      </c>
      <c r="F109" s="6" cm="1">
        <f t="array" ref="F109">_xlfn.IFS(
E109&lt;=$E$245,0,
E109&lt;=$E$246,1,
E109&lt;=$E$247,2,
E109&gt;=$E$247,3)</f>
        <v>2</v>
      </c>
      <c r="G109" s="7" cm="1">
        <f t="array" ref="G109">_xlfn.IFS(
OR(D109="Aerospace",D109="Aerospace &amp; Defense",D109="Agricultural Equipment",D109="Airlines",D109="Automotive",D109="Automotive &amp; Energy",D109="Automotive Components",D109="Aviation",D109="Building Materials",D109="Chemicals",D109="Commercial Vehicles",D109="Conglomerate &amp; Defense",D109="Conglomerate &amp; Energy",D109="Construction",D109="Construction &amp; Infrastructure",D109="Construction &amp; Real Estate",D109="Construction &amp; Telecom",D109="Discount Retail",D109="Energy Management",D109="Energy Technology",D109="Engines &amp; Power Systems",D109="Environmental Services",D109="Food Distribution",D109="Food Services",D109="Grocery Retail",D109="Healthcare &amp; Pharmacy",D109="Home Improvement Retail",D109="Industrial Engineering &amp; Electronics",D109="Oilfield Services",D109="Pharmaceuticals",D109="Pharmaceuticals &amp; Chemicals",D109="Pharmaceuticals &amp; Healthcare",D109="Pharmacy Retail",D109="Postal &amp; Logistics",D109="Retail",D109="Retail &amp; Distribution",D109="Retail &amp; Grocery",D109="Retail (IKEA)",D109="Tobacco",D109="Trading &amp; Conglomerate",D109="Utilities",D109="Utilities &amp; Energy",D109="Wholesale Retail"),2,
OR(D109="Agribusiness",D109="Automotive &amp; Heavy Vehicles",D109="Chemicals",D109="Commercial Vehicles",D109="Construction",D109="Construction &amp; Infrastructure",D109="Engines &amp; Power Systems",D109="Food Processing",D109="Healthcare",D109="Healthcare &amp; Medical Devices",D109="Heavy Equipment",D109="Heavy Industry",D109="Industrial Gases",D109="Industrial Manufacturing",D109="Logistics",D109="Medical Devices",D109="Mining",D109="Mining &amp; Commodities Trading",D109="Oil &amp; Gas",D109="Oilfield Services",D109="Rail Transport",D109="Shipping &amp; Logistics",D109="Steel"),3,
OR(D109="Apparel &amp; Footwear",D109="Beverage",D109="Coffeehouse &amp; Retail",D109="Conglomerate",D109="Consumer Goods",D109="Convenience Retail",D109="Electronics",D109="Electronics &amp; Semiconductors",D109="Electronics Retail",D109="Fashion Retail",D109="Food &amp; Beverage",D109="Food Retail &amp; Consumer Goods",D109="Industrial &amp; Technology",D109="Industrial Automation",D109="Industrial Technology",D109="Postal &amp; Financial Services",D109="Postal Services",D109="Scientific Instruments",D109="Technology Hardware",D109="Trading Company",D109="IT Consulting"),1,
OR(D109="Cosmetics",D109="E-commerce &amp; Cloud Computing",D109="Electronics &amp; Entertainment",D109="Entertainment &amp; Media",D109="Luxury Goods",D109="Media &amp; Telecommunications",D109="Networking Technology",D109="Real Estate Services",D109="Technology &amp; Consumer Electronics",D109="Telecommunications",D109="Telecommunications &amp; Investment"),1,
OR(D109="Asset Management",D109="Banking",D109="Banking &amp; Asset Services",D109="Banking &amp; Financial Services",D109="Banking &amp; Wealth Management",D109="Cloud Software",D109="Enterprise Software",D109="Financial Services",D109="Information Technology Consulting",D109="Investment Banking",D109="Social Media &amp; Technology",D109="Software &amp; Cloud Computing",D109="Technology &amp; Consulting",D109="Technology &amp; Internet Services",D109="Technology &amp; Software"),1,
TRUE,"Unmapped"
)</f>
        <v>1</v>
      </c>
      <c r="H109" s="5">
        <v>1</v>
      </c>
      <c r="I109" s="5">
        <f>VLOOKUP(B109,'BIS + EDBA Final'!A:F,6,FALSE)</f>
        <v>0</v>
      </c>
      <c r="J109" s="5">
        <f>VLOOKUP(B109,'CBG Final'!A:B,2,FALSE)</f>
        <v>3</v>
      </c>
      <c r="K109" s="9">
        <f t="shared" si="1"/>
        <v>1.6</v>
      </c>
      <c r="L109" s="5" t="s">
        <v>511</v>
      </c>
      <c r="M109" s="5" t="s">
        <v>331</v>
      </c>
      <c r="N109" s="5" t="s">
        <v>512</v>
      </c>
      <c r="O109" s="5" t="s">
        <v>513</v>
      </c>
      <c r="P109" s="5" t="s">
        <v>514</v>
      </c>
      <c r="Q109" s="5" t="s">
        <v>78</v>
      </c>
      <c r="R109" s="5" t="s">
        <v>144</v>
      </c>
      <c r="S109" s="10"/>
      <c r="T109" s="11"/>
      <c r="U109" s="11"/>
      <c r="V109" s="10"/>
      <c r="W109" s="10"/>
      <c r="X109" s="11"/>
      <c r="Y109" s="11"/>
      <c r="Z109" s="10"/>
      <c r="AA109" s="10"/>
      <c r="AB109" s="10"/>
      <c r="AC109" s="10"/>
      <c r="AD109" s="10"/>
      <c r="AE109" s="10"/>
      <c r="AF109" s="10"/>
      <c r="AG109" s="10"/>
      <c r="AH109" s="10"/>
    </row>
    <row r="110" spans="1:34" ht="15.75" customHeight="1">
      <c r="A110" s="5"/>
      <c r="B110" s="5" t="s">
        <v>559</v>
      </c>
      <c r="C110" s="6" t="s">
        <v>39</v>
      </c>
      <c r="D110" s="7" t="s">
        <v>702</v>
      </c>
      <c r="E110" s="8">
        <v>200518</v>
      </c>
      <c r="F110" s="6" cm="1">
        <f t="array" ref="F110">_xlfn.IFS(
E110&lt;=$E$245,0,
E110&lt;=$E$246,1,
E110&lt;=$E$247,2,
E110&gt;=$E$247,3)</f>
        <v>2</v>
      </c>
      <c r="G110" s="7" cm="1">
        <f t="array" ref="G110">_xlfn.IFS(
OR(D110="Aerospace",D110="Aerospace &amp; Defense",D110="Agricultural Equipment",D110="Airlines",D110="Automotive",D110="Automotive &amp; Energy",D110="Automotive Components",D110="Aviation",D110="Building Materials",D110="Chemicals",D110="Commercial Vehicles",D110="Conglomerate &amp; Defense",D110="Conglomerate &amp; Energy",D110="Construction",D110="Construction &amp; Infrastructure",D110="Construction &amp; Real Estate",D110="Construction &amp; Telecom",D110="Discount Retail",D110="Energy Management",D110="Energy Technology",D110="Engines &amp; Power Systems",D110="Environmental Services",D110="Food Distribution",D110="Food Services",D110="Grocery Retail",D110="Healthcare &amp; Pharmacy",D110="Home Improvement Retail",D110="Industrial Engineering &amp; Electronics",D110="Oilfield Services",D110="Pharmaceuticals",D110="Pharmaceuticals &amp; Chemicals",D110="Pharmaceuticals &amp; Healthcare",D110="Pharmacy Retail",D110="Postal &amp; Logistics",D110="Retail",D110="Retail &amp; Distribution",D110="Retail &amp; Grocery",D110="Retail (IKEA)",D110="Tobacco",D110="Trading &amp; Conglomerate",D110="Utilities",D110="Utilities &amp; Energy",D110="Wholesale Retail"),2,
OR(D110="Agribusiness",D110="Automotive &amp; Heavy Vehicles",D110="Chemicals",D110="Commercial Vehicles",D110="Construction",D110="Construction &amp; Infrastructure",D110="Engines &amp; Power Systems",D110="Food Processing",D110="Healthcare",D110="Healthcare &amp; Medical Devices",D110="Heavy Equipment",D110="Heavy Industry",D110="Industrial Gases",D110="Industrial Manufacturing",D110="Logistics",D110="Medical Devices",D110="Mining",D110="Mining &amp; Commodities Trading",D110="Oil &amp; Gas",D110="Oilfield Services",D110="Rail Transport",D110="Shipping &amp; Logistics",D110="Steel"),3,
OR(D110="Apparel &amp; Footwear",D110="Beverage",D110="Coffeehouse &amp; Retail",D110="Conglomerate",D110="Consumer Goods",D110="Convenience Retail",D110="Electronics",D110="Electronics &amp; Semiconductors",D110="Electronics Retail",D110="Fashion Retail",D110="Food &amp; Beverage",D110="Food Retail &amp; Consumer Goods",D110="Industrial &amp; Technology",D110="Industrial Automation",D110="Industrial Technology",D110="Postal &amp; Financial Services",D110="Postal Services",D110="Scientific Instruments",D110="Technology Hardware",D110="Trading Company",D110="IT Consulting"),1,
OR(D110="Cosmetics",D110="E-commerce &amp; Cloud Computing",D110="Electronics &amp; Entertainment",D110="Entertainment &amp; Media",D110="Luxury Goods",D110="Media &amp; Telecommunications",D110="Networking Technology",D110="Real Estate Services",D110="Technology &amp; Consumer Electronics",D110="Telecommunications",D110="Telecommunications &amp; Investment"),1,
OR(D110="Asset Management",D110="Banking",D110="Banking &amp; Asset Services",D110="Banking &amp; Financial Services",D110="Banking &amp; Wealth Management",D110="Cloud Software",D110="Enterprise Software",D110="Financial Services",D110="Information Technology Consulting",D110="Investment Banking",D110="Social Media &amp; Technology",D110="Software &amp; Cloud Computing",D110="Technology &amp; Consulting",D110="Technology &amp; Internet Services",D110="Technology &amp; Software"),1,
TRUE,"Unmapped"
)</f>
        <v>1</v>
      </c>
      <c r="H110" s="5">
        <v>1</v>
      </c>
      <c r="I110" s="5">
        <f>VLOOKUP(B110,'BIS + EDBA Final'!A:F,6,FALSE)</f>
        <v>0</v>
      </c>
      <c r="J110" s="5">
        <f>VLOOKUP(B110,'CBG Final'!A:B,2,FALSE)</f>
        <v>3</v>
      </c>
      <c r="K110" s="9">
        <f t="shared" si="1"/>
        <v>1.6</v>
      </c>
      <c r="L110" s="5" t="s">
        <v>703</v>
      </c>
      <c r="M110" s="5" t="s">
        <v>704</v>
      </c>
      <c r="N110" s="5" t="s">
        <v>705</v>
      </c>
      <c r="O110" s="5" t="s">
        <v>185</v>
      </c>
      <c r="P110" s="5" t="s">
        <v>706</v>
      </c>
      <c r="Q110" s="5" t="s">
        <v>169</v>
      </c>
      <c r="R110" s="5" t="s">
        <v>34</v>
      </c>
      <c r="S110" s="10"/>
      <c r="T110" s="11"/>
      <c r="U110" s="11"/>
      <c r="V110" s="10"/>
      <c r="W110" s="10"/>
      <c r="X110" s="11"/>
      <c r="Y110" s="11"/>
      <c r="Z110" s="10"/>
      <c r="AA110" s="10"/>
      <c r="AB110" s="10"/>
      <c r="AC110" s="10"/>
      <c r="AD110" s="10"/>
      <c r="AE110" s="10"/>
      <c r="AF110" s="10"/>
      <c r="AG110" s="10"/>
      <c r="AH110" s="10"/>
    </row>
    <row r="111" spans="1:34" ht="15.75" customHeight="1">
      <c r="A111" s="5"/>
      <c r="B111" s="5" t="s">
        <v>641</v>
      </c>
      <c r="C111" s="6" t="s">
        <v>39</v>
      </c>
      <c r="D111" s="7" t="s">
        <v>157</v>
      </c>
      <c r="E111" s="8">
        <v>175853</v>
      </c>
      <c r="F111" s="6" cm="1">
        <f t="array" ref="F111">_xlfn.IFS(
E111&lt;=$E$245,0,
E111&lt;=$E$246,1,
E111&lt;=$E$247,2,
E111&gt;=$E$247,3)</f>
        <v>2</v>
      </c>
      <c r="G111" s="7" cm="1">
        <f t="array" ref="G111">_xlfn.IFS(
OR(D111="Aerospace",D111="Aerospace &amp; Defense",D111="Agricultural Equipment",D111="Airlines",D111="Automotive",D111="Automotive &amp; Energy",D111="Automotive Components",D111="Aviation",D111="Building Materials",D111="Chemicals",D111="Commercial Vehicles",D111="Conglomerate &amp; Defense",D111="Conglomerate &amp; Energy",D111="Construction",D111="Construction &amp; Infrastructure",D111="Construction &amp; Real Estate",D111="Construction &amp; Telecom",D111="Discount Retail",D111="Energy Management",D111="Energy Technology",D111="Engines &amp; Power Systems",D111="Environmental Services",D111="Food Distribution",D111="Food Services",D111="Grocery Retail",D111="Healthcare &amp; Pharmacy",D111="Home Improvement Retail",D111="Industrial Engineering &amp; Electronics",D111="Oilfield Services",D111="Pharmaceuticals",D111="Pharmaceuticals &amp; Chemicals",D111="Pharmaceuticals &amp; Healthcare",D111="Pharmacy Retail",D111="Postal &amp; Logistics",D111="Retail",D111="Retail &amp; Distribution",D111="Retail &amp; Grocery",D111="Retail (IKEA)",D111="Tobacco",D111="Trading &amp; Conglomerate",D111="Utilities",D111="Utilities &amp; Energy",D111="Wholesale Retail"),2,
OR(D111="Agribusiness",D111="Automotive &amp; Heavy Vehicles",D111="Chemicals",D111="Commercial Vehicles",D111="Construction",D111="Construction &amp; Infrastructure",D111="Engines &amp; Power Systems",D111="Food Processing",D111="Healthcare",D111="Healthcare &amp; Medical Devices",D111="Heavy Equipment",D111="Heavy Industry",D111="Industrial Gases",D111="Industrial Manufacturing",D111="Logistics",D111="Medical Devices",D111="Mining",D111="Mining &amp; Commodities Trading",D111="Oil &amp; Gas",D111="Oilfield Services",D111="Rail Transport",D111="Shipping &amp; Logistics",D111="Steel"),3,
OR(D111="Apparel &amp; Footwear",D111="Beverage",D111="Coffeehouse &amp; Retail",D111="Conglomerate",D111="Consumer Goods",D111="Convenience Retail",D111="Electronics",D111="Electronics &amp; Semiconductors",D111="Electronics Retail",D111="Fashion Retail",D111="Food &amp; Beverage",D111="Food Retail &amp; Consumer Goods",D111="Industrial &amp; Technology",D111="Industrial Automation",D111="Industrial Technology",D111="Postal &amp; Financial Services",D111="Postal Services",D111="Scientific Instruments",D111="Technology Hardware",D111="Trading Company",D111="IT Consulting"),1,
OR(D111="Cosmetics",D111="E-commerce &amp; Cloud Computing",D111="Electronics &amp; Entertainment",D111="Entertainment &amp; Media",D111="Luxury Goods",D111="Media &amp; Telecommunications",D111="Networking Technology",D111="Real Estate Services",D111="Technology &amp; Consumer Electronics",D111="Telecommunications",D111="Telecommunications &amp; Investment"),1,
OR(D111="Asset Management",D111="Banking",D111="Banking &amp; Asset Services",D111="Banking &amp; Financial Services",D111="Banking &amp; Wealth Management",D111="Cloud Software",D111="Enterprise Software",D111="Financial Services",D111="Information Technology Consulting",D111="Investment Banking",D111="Social Media &amp; Technology",D111="Software &amp; Cloud Computing",D111="Technology &amp; Consulting",D111="Technology &amp; Internet Services",D111="Technology &amp; Software"),1,
TRUE,"Unmapped"
)</f>
        <v>1</v>
      </c>
      <c r="H111" s="5">
        <v>2</v>
      </c>
      <c r="I111" s="5">
        <f>VLOOKUP(B111,'BIS + EDBA Final'!A:F,6,FALSE)</f>
        <v>0</v>
      </c>
      <c r="J111" s="5">
        <f>VLOOKUP(B111,'CBG Final'!A:B,2,FALSE)</f>
        <v>2</v>
      </c>
      <c r="K111" s="9">
        <f t="shared" si="1"/>
        <v>1.6</v>
      </c>
      <c r="L111" s="5" t="s">
        <v>642</v>
      </c>
      <c r="M111" s="5" t="s">
        <v>643</v>
      </c>
      <c r="N111" s="5" t="s">
        <v>644</v>
      </c>
      <c r="O111" s="5" t="s">
        <v>645</v>
      </c>
      <c r="P111" s="5" t="s">
        <v>646</v>
      </c>
      <c r="Q111" s="5" t="s">
        <v>261</v>
      </c>
      <c r="R111" s="5" t="s">
        <v>20</v>
      </c>
      <c r="S111" s="10"/>
      <c r="T111" s="11"/>
      <c r="U111" s="11"/>
      <c r="V111" s="10"/>
      <c r="W111" s="10"/>
      <c r="X111" s="11"/>
      <c r="Y111" s="11"/>
      <c r="Z111" s="10"/>
      <c r="AA111" s="10"/>
      <c r="AB111" s="10"/>
      <c r="AC111" s="10"/>
      <c r="AD111" s="10"/>
      <c r="AE111" s="10"/>
      <c r="AF111" s="10"/>
      <c r="AG111" s="10"/>
      <c r="AH111" s="10"/>
    </row>
    <row r="112" spans="1:34" ht="15.75" customHeight="1">
      <c r="A112" s="5"/>
      <c r="B112" s="5" t="s">
        <v>844</v>
      </c>
      <c r="C112" s="6" t="s">
        <v>36</v>
      </c>
      <c r="D112" s="7" t="s">
        <v>845</v>
      </c>
      <c r="E112" s="8">
        <v>125000</v>
      </c>
      <c r="F112" s="6" cm="1">
        <f t="array" ref="F112">_xlfn.IFS(
E112&lt;=$E$245,0,
E112&lt;=$E$246,1,
E112&lt;=$E$247,2,
E112&gt;=$E$247,3)</f>
        <v>2</v>
      </c>
      <c r="G112" s="7" cm="1">
        <f t="array" ref="G112">_xlfn.IFS(
OR(D112="Aerospace",D112="Aerospace &amp; Defense",D112="Agricultural Equipment",D112="Airlines",D112="Automotive",D112="Automotive &amp; Energy",D112="Automotive Components",D112="Aviation",D112="Building Materials",D112="Chemicals",D112="Commercial Vehicles",D112="Conglomerate &amp; Defense",D112="Conglomerate &amp; Energy",D112="Construction",D112="Construction &amp; Infrastructure",D112="Construction &amp; Real Estate",D112="Construction &amp; Telecom",D112="Discount Retail",D112="Energy Management",D112="Energy Technology",D112="Engines &amp; Power Systems",D112="Environmental Services",D112="Food Distribution",D112="Food Services",D112="Grocery Retail",D112="Healthcare &amp; Pharmacy",D112="Home Improvement Retail",D112="Industrial Engineering &amp; Electronics",D112="Oilfield Services",D112="Pharmaceuticals",D112="Pharmaceuticals &amp; Chemicals",D112="Pharmaceuticals &amp; Healthcare",D112="Pharmacy Retail",D112="Postal &amp; Logistics",D112="Retail",D112="Retail &amp; Distribution",D112="Retail &amp; Grocery",D112="Retail (IKEA)",D112="Tobacco",D112="Trading &amp; Conglomerate",D112="Utilities",D112="Utilities &amp; Energy",D112="Wholesale Retail"),2,
OR(D112="Agribusiness",D112="Automotive &amp; Heavy Vehicles",D112="Chemicals",D112="Commercial Vehicles",D112="Construction",D112="Construction &amp; Infrastructure",D112="Engines &amp; Power Systems",D112="Food Processing",D112="Healthcare",D112="Healthcare &amp; Medical Devices",D112="Heavy Equipment",D112="Heavy Industry",D112="Industrial Gases",D112="Industrial Manufacturing",D112="Logistics",D112="Medical Devices",D112="Mining",D112="Mining &amp; Commodities Trading",D112="Oil &amp; Gas",D112="Oilfield Services",D112="Rail Transport",D112="Shipping &amp; Logistics",D112="Steel"),3,
OR(D112="Apparel &amp; Footwear",D112="Beverage",D112="Coffeehouse &amp; Retail",D112="Conglomerate",D112="Consumer Goods",D112="Convenience Retail",D112="Electronics",D112="Electronics &amp; Semiconductors",D112="Electronics Retail",D112="Fashion Retail",D112="Food &amp; Beverage",D112="Food Retail &amp; Consumer Goods",D112="Industrial &amp; Technology",D112="Industrial Automation",D112="Industrial Technology",D112="Postal &amp; Financial Services",D112="Postal Services",D112="Scientific Instruments",D112="Technology Hardware",D112="Trading Company",D112="IT Consulting"),1,
OR(D112="Cosmetics",D112="E-commerce &amp; Cloud Computing",D112="Electronics &amp; Entertainment",D112="Entertainment &amp; Media",D112="Luxury Goods",D112="Media &amp; Telecommunications",D112="Networking Technology",D112="Real Estate Services",D112="Technology &amp; Consumer Electronics",D112="Telecommunications",D112="Telecommunications &amp; Investment"),1,
OR(D112="Asset Management",D112="Banking",D112="Banking &amp; Asset Services",D112="Banking &amp; Financial Services",D112="Banking &amp; Wealth Management",D112="Cloud Software",D112="Enterprise Software",D112="Financial Services",D112="Information Technology Consulting",D112="Investment Banking",D112="Social Media &amp; Technology",D112="Software &amp; Cloud Computing",D112="Technology &amp; Consulting",D112="Technology &amp; Internet Services",D112="Technology &amp; Software"),1,
TRUE,"Unmapped"
)</f>
        <v>1</v>
      </c>
      <c r="H112" s="5">
        <v>1</v>
      </c>
      <c r="I112" s="5">
        <f>VLOOKUP(B112,'BIS + EDBA Final'!A:F,6,FALSE)</f>
        <v>0</v>
      </c>
      <c r="J112" s="5">
        <f>VLOOKUP(B112,'CBG Final'!A:B,2,FALSE)</f>
        <v>3</v>
      </c>
      <c r="K112" s="9">
        <f t="shared" si="1"/>
        <v>1.6</v>
      </c>
      <c r="L112" s="5" t="s">
        <v>1376</v>
      </c>
      <c r="M112" s="5" t="s">
        <v>384</v>
      </c>
      <c r="N112" s="5" t="s">
        <v>1377</v>
      </c>
      <c r="O112" s="5" t="s">
        <v>501</v>
      </c>
      <c r="P112" s="5" t="s">
        <v>1378</v>
      </c>
      <c r="Q112" s="5" t="s">
        <v>330</v>
      </c>
      <c r="R112" s="5" t="s">
        <v>276</v>
      </c>
      <c r="S112" s="10"/>
      <c r="T112" s="11"/>
      <c r="U112" s="11"/>
      <c r="V112" s="10"/>
      <c r="W112" s="10"/>
      <c r="X112" s="10"/>
      <c r="Y112" s="10"/>
      <c r="Z112" s="10"/>
      <c r="AA112" s="10"/>
      <c r="AB112" s="10"/>
      <c r="AC112" s="10"/>
      <c r="AD112" s="10"/>
      <c r="AE112" s="10"/>
      <c r="AF112" s="10"/>
      <c r="AG112" s="10"/>
      <c r="AH112" s="10"/>
    </row>
    <row r="113" spans="1:34" ht="15.75" customHeight="1">
      <c r="A113" s="5"/>
      <c r="B113" s="5" t="s">
        <v>959</v>
      </c>
      <c r="C113" s="6" t="s">
        <v>36</v>
      </c>
      <c r="D113" s="7" t="s">
        <v>13</v>
      </c>
      <c r="E113" s="8">
        <v>90000</v>
      </c>
      <c r="F113" s="6" cm="1">
        <f t="array" ref="F113">_xlfn.IFS(
E113&lt;=$E$245,0,
E113&lt;=$E$246,1,
E113&lt;=$E$247,2,
E113&gt;=$E$247,3)</f>
        <v>1</v>
      </c>
      <c r="G113" s="7" cm="1">
        <f t="array" ref="G113">_xlfn.IFS(
OR(D113="Aerospace",D113="Aerospace &amp; Defense",D113="Agricultural Equipment",D113="Airlines",D113="Automotive",D113="Automotive &amp; Energy",D113="Automotive Components",D113="Aviation",D113="Building Materials",D113="Chemicals",D113="Commercial Vehicles",D113="Conglomerate &amp; Defense",D113="Conglomerate &amp; Energy",D113="Construction",D113="Construction &amp; Infrastructure",D113="Construction &amp; Real Estate",D113="Construction &amp; Telecom",D113="Discount Retail",D113="Energy Management",D113="Energy Technology",D113="Engines &amp; Power Systems",D113="Environmental Services",D113="Food Distribution",D113="Food Services",D113="Grocery Retail",D113="Healthcare &amp; Pharmacy",D113="Home Improvement Retail",D113="Industrial Engineering &amp; Electronics",D113="Oilfield Services",D113="Pharmaceuticals",D113="Pharmaceuticals &amp; Chemicals",D113="Pharmaceuticals &amp; Healthcare",D113="Pharmacy Retail",D113="Postal &amp; Logistics",D113="Retail",D113="Retail &amp; Distribution",D113="Retail &amp; Grocery",D113="Retail (IKEA)",D113="Tobacco",D113="Trading &amp; Conglomerate",D113="Utilities",D113="Utilities &amp; Energy",D113="Wholesale Retail"),2,
OR(D113="Agribusiness",D113="Automotive &amp; Heavy Vehicles",D113="Chemicals",D113="Commercial Vehicles",D113="Construction",D113="Construction &amp; Infrastructure",D113="Engines &amp; Power Systems",D113="Food Processing",D113="Healthcare",D113="Healthcare &amp; Medical Devices",D113="Heavy Equipment",D113="Heavy Industry",D113="Industrial Gases",D113="Industrial Manufacturing",D113="Logistics",D113="Medical Devices",D113="Mining",D113="Mining &amp; Commodities Trading",D113="Oil &amp; Gas",D113="Oilfield Services",D113="Rail Transport",D113="Shipping &amp; Logistics",D113="Steel"),3,
OR(D113="Apparel &amp; Footwear",D113="Beverage",D113="Coffeehouse &amp; Retail",D113="Conglomerate",D113="Consumer Goods",D113="Convenience Retail",D113="Electronics",D113="Electronics &amp; Semiconductors",D113="Electronics Retail",D113="Fashion Retail",D113="Food &amp; Beverage",D113="Food Retail &amp; Consumer Goods",D113="Industrial &amp; Technology",D113="Industrial Automation",D113="Industrial Technology",D113="Postal &amp; Financial Services",D113="Postal Services",D113="Scientific Instruments",D113="Technology Hardware",D113="Trading Company",D113="IT Consulting"),1,
OR(D113="Cosmetics",D113="E-commerce &amp; Cloud Computing",D113="Electronics &amp; Entertainment",D113="Entertainment &amp; Media",D113="Luxury Goods",D113="Media &amp; Telecommunications",D113="Networking Technology",D113="Real Estate Services",D113="Technology &amp; Consumer Electronics",D113="Telecommunications",D113="Telecommunications &amp; Investment"),1,
OR(D113="Asset Management",D113="Banking",D113="Banking &amp; Asset Services",D113="Banking &amp; Financial Services",D113="Banking &amp; Wealth Management",D113="Cloud Software",D113="Enterprise Software",D113="Financial Services",D113="Information Technology Consulting",D113="Investment Banking",D113="Social Media &amp; Technology",D113="Software &amp; Cloud Computing",D113="Technology &amp; Consulting",D113="Technology &amp; Internet Services",D113="Technology &amp; Software"),1,
TRUE,"Unmapped"
)</f>
        <v>1</v>
      </c>
      <c r="H113" s="5">
        <v>2</v>
      </c>
      <c r="I113" s="5">
        <f>VLOOKUP(B113,'BIS + EDBA Final'!A:F,6,FALSE)</f>
        <v>1</v>
      </c>
      <c r="J113" s="5">
        <f>VLOOKUP(B113,'CBG Final'!A:B,2,FALSE)</f>
        <v>3</v>
      </c>
      <c r="K113" s="9">
        <f t="shared" si="1"/>
        <v>1.6</v>
      </c>
      <c r="L113" s="5" t="s">
        <v>1156</v>
      </c>
      <c r="M113" s="5" t="s">
        <v>456</v>
      </c>
      <c r="N113" s="5" t="s">
        <v>1157</v>
      </c>
      <c r="O113" s="5" t="s">
        <v>306</v>
      </c>
      <c r="P113" s="5" t="s">
        <v>1158</v>
      </c>
      <c r="Q113" s="5" t="s">
        <v>683</v>
      </c>
      <c r="R113" s="5" t="s">
        <v>339</v>
      </c>
      <c r="S113" s="10"/>
      <c r="T113" s="11"/>
      <c r="U113" s="11"/>
      <c r="V113" s="10"/>
      <c r="W113" s="10"/>
      <c r="X113" s="10"/>
      <c r="Y113" s="10"/>
      <c r="Z113" s="10"/>
      <c r="AA113" s="10"/>
      <c r="AB113" s="10"/>
      <c r="AC113" s="10"/>
      <c r="AD113" s="10"/>
      <c r="AE113" s="10"/>
      <c r="AF113" s="10"/>
      <c r="AG113" s="10"/>
      <c r="AH113" s="10"/>
    </row>
    <row r="114" spans="1:34" ht="15.75" customHeight="1">
      <c r="A114" s="5"/>
      <c r="B114" s="5" t="s">
        <v>1073</v>
      </c>
      <c r="C114" s="6" t="s">
        <v>39</v>
      </c>
      <c r="D114" s="7" t="s">
        <v>1074</v>
      </c>
      <c r="E114" s="8">
        <v>94397</v>
      </c>
      <c r="F114" s="6" cm="1">
        <f t="array" ref="F114">_xlfn.IFS(
E114&lt;=$E$245,0,
E114&lt;=$E$246,1,
E114&lt;=$E$247,2,
E114&gt;=$E$247,3)</f>
        <v>1</v>
      </c>
      <c r="G114" s="7" cm="1">
        <f t="array" ref="G114">_xlfn.IFS(
OR(D114="Aerospace",D114="Aerospace &amp; Defense",D114="Agricultural Equipment",D114="Airlines",D114="Automotive",D114="Automotive &amp; Energy",D114="Automotive Components",D114="Aviation",D114="Building Materials",D114="Chemicals",D114="Commercial Vehicles",D114="Conglomerate &amp; Defense",D114="Conglomerate &amp; Energy",D114="Construction",D114="Construction &amp; Infrastructure",D114="Construction &amp; Real Estate",D114="Construction &amp; Telecom",D114="Discount Retail",D114="Energy Management",D114="Energy Technology",D114="Engines &amp; Power Systems",D114="Environmental Services",D114="Food Distribution",D114="Food Services",D114="Grocery Retail",D114="Healthcare &amp; Pharmacy",D114="Home Improvement Retail",D114="Industrial Engineering &amp; Electronics",D114="Oilfield Services",D114="Pharmaceuticals",D114="Pharmaceuticals &amp; Chemicals",D114="Pharmaceuticals &amp; Healthcare",D114="Pharmacy Retail",D114="Postal &amp; Logistics",D114="Retail",D114="Retail &amp; Distribution",D114="Retail &amp; Grocery",D114="Retail (IKEA)",D114="Tobacco",D114="Trading &amp; Conglomerate",D114="Utilities",D114="Utilities &amp; Energy",D114="Wholesale Retail"),2,
OR(D114="Agribusiness",D114="Automotive &amp; Heavy Vehicles",D114="Chemicals",D114="Commercial Vehicles",D114="Construction",D114="Construction &amp; Infrastructure",D114="Engines &amp; Power Systems",D114="Food Processing",D114="Healthcare",D114="Healthcare &amp; Medical Devices",D114="Heavy Equipment",D114="Heavy Industry",D114="Industrial Gases",D114="Industrial Manufacturing",D114="Logistics",D114="Medical Devices",D114="Mining",D114="Mining &amp; Commodities Trading",D114="Oil &amp; Gas",D114="Oilfield Services",D114="Rail Transport",D114="Shipping &amp; Logistics",D114="Steel"),3,
OR(D114="Apparel &amp; Footwear",D114="Beverage",D114="Coffeehouse &amp; Retail",D114="Conglomerate",D114="Consumer Goods",D114="Convenience Retail",D114="Electronics",D114="Electronics &amp; Semiconductors",D114="Electronics Retail",D114="Fashion Retail",D114="Food &amp; Beverage",D114="Food Retail &amp; Consumer Goods",D114="Industrial &amp; Technology",D114="Industrial Automation",D114="Industrial Technology",D114="Postal &amp; Financial Services",D114="Postal Services",D114="Scientific Instruments",D114="Technology Hardware",D114="Trading Company",D114="IT Consulting"),1,
OR(D114="Cosmetics",D114="E-commerce &amp; Cloud Computing",D114="Electronics &amp; Entertainment",D114="Entertainment &amp; Media",D114="Luxury Goods",D114="Media &amp; Telecommunications",D114="Networking Technology",D114="Real Estate Services",D114="Technology &amp; Consumer Electronics",D114="Telecommunications",D114="Telecommunications &amp; Investment"),1,
OR(D114="Asset Management",D114="Banking",D114="Banking &amp; Asset Services",D114="Banking &amp; Financial Services",D114="Banking &amp; Wealth Management",D114="Cloud Software",D114="Enterprise Software",D114="Financial Services",D114="Information Technology Consulting",D114="Investment Banking",D114="Social Media &amp; Technology",D114="Software &amp; Cloud Computing",D114="Technology &amp; Consulting",D114="Technology &amp; Internet Services",D114="Technology &amp; Software"),1,
TRUE,"Unmapped"
)</f>
        <v>1</v>
      </c>
      <c r="H114" s="5">
        <f>'BIS + EDBA Final'!B194</f>
        <v>2</v>
      </c>
      <c r="I114" s="5">
        <f>VLOOKUP(B114,'BIS + EDBA Final'!A:F,6,FALSE)</f>
        <v>1</v>
      </c>
      <c r="J114" s="5">
        <f>VLOOKUP(B114,'CBG Final'!A:B,2,FALSE)</f>
        <v>3</v>
      </c>
      <c r="K114" s="9">
        <f t="shared" si="1"/>
        <v>1.6</v>
      </c>
      <c r="L114" s="5" t="s">
        <v>1075</v>
      </c>
      <c r="M114" s="5" t="s">
        <v>416</v>
      </c>
      <c r="N114" s="5" t="s">
        <v>1076</v>
      </c>
      <c r="O114" s="5" t="s">
        <v>485</v>
      </c>
      <c r="P114" s="5" t="s">
        <v>1077</v>
      </c>
      <c r="Q114" s="5" t="s">
        <v>47</v>
      </c>
      <c r="R114" s="5" t="s">
        <v>20</v>
      </c>
      <c r="S114" s="10"/>
      <c r="T114" s="11"/>
      <c r="U114" s="11"/>
      <c r="V114" s="10"/>
      <c r="W114" s="10"/>
      <c r="X114" s="10"/>
      <c r="Y114" s="10"/>
      <c r="Z114" s="10"/>
      <c r="AA114" s="10"/>
      <c r="AB114" s="10"/>
      <c r="AC114" s="10"/>
      <c r="AD114" s="10"/>
      <c r="AE114" s="10"/>
      <c r="AF114" s="10"/>
      <c r="AG114" s="10"/>
      <c r="AH114" s="10"/>
    </row>
    <row r="115" spans="1:34" ht="15.75" customHeight="1">
      <c r="A115" s="5"/>
      <c r="B115" s="5" t="s">
        <v>620</v>
      </c>
      <c r="C115" s="6" t="s">
        <v>94</v>
      </c>
      <c r="D115" s="7" t="s">
        <v>157</v>
      </c>
      <c r="E115" s="8">
        <v>93000</v>
      </c>
      <c r="F115" s="6" cm="1">
        <f t="array" ref="F115">_xlfn.IFS(
E115&lt;=$E$245,0,
E115&lt;=$E$246,1,
E115&lt;=$E$247,2,
E115&gt;=$E$247,3)</f>
        <v>1</v>
      </c>
      <c r="G115" s="7" cm="1">
        <f t="array" ref="G115">_xlfn.IFS(
OR(D115="Aerospace",D115="Aerospace &amp; Defense",D115="Agricultural Equipment",D115="Airlines",D115="Automotive",D115="Automotive &amp; Energy",D115="Automotive Components",D115="Aviation",D115="Building Materials",D115="Chemicals",D115="Commercial Vehicles",D115="Conglomerate &amp; Defense",D115="Conglomerate &amp; Energy",D115="Construction",D115="Construction &amp; Infrastructure",D115="Construction &amp; Real Estate",D115="Construction &amp; Telecom",D115="Discount Retail",D115="Energy Management",D115="Energy Technology",D115="Engines &amp; Power Systems",D115="Environmental Services",D115="Food Distribution",D115="Food Services",D115="Grocery Retail",D115="Healthcare &amp; Pharmacy",D115="Home Improvement Retail",D115="Industrial Engineering &amp; Electronics",D115="Oilfield Services",D115="Pharmaceuticals",D115="Pharmaceuticals &amp; Chemicals",D115="Pharmaceuticals &amp; Healthcare",D115="Pharmacy Retail",D115="Postal &amp; Logistics",D115="Retail",D115="Retail &amp; Distribution",D115="Retail &amp; Grocery",D115="Retail (IKEA)",D115="Tobacco",D115="Trading &amp; Conglomerate",D115="Utilities",D115="Utilities &amp; Energy",D115="Wholesale Retail"),2,
OR(D115="Agribusiness",D115="Automotive &amp; Heavy Vehicles",D115="Chemicals",D115="Commercial Vehicles",D115="Construction",D115="Construction &amp; Infrastructure",D115="Engines &amp; Power Systems",D115="Food Processing",D115="Healthcare",D115="Healthcare &amp; Medical Devices",D115="Heavy Equipment",D115="Heavy Industry",D115="Industrial Gases",D115="Industrial Manufacturing",D115="Logistics",D115="Medical Devices",D115="Mining",D115="Mining &amp; Commodities Trading",D115="Oil &amp; Gas",D115="Oilfield Services",D115="Rail Transport",D115="Shipping &amp; Logistics",D115="Steel"),3,
OR(D115="Apparel &amp; Footwear",D115="Beverage",D115="Coffeehouse &amp; Retail",D115="Conglomerate",D115="Consumer Goods",D115="Convenience Retail",D115="Electronics",D115="Electronics &amp; Semiconductors",D115="Electronics Retail",D115="Fashion Retail",D115="Food &amp; Beverage",D115="Food Retail &amp; Consumer Goods",D115="Industrial &amp; Technology",D115="Industrial Automation",D115="Industrial Technology",D115="Postal &amp; Financial Services",D115="Postal Services",D115="Scientific Instruments",D115="Technology Hardware",D115="Trading Company",D115="IT Consulting"),1,
OR(D115="Cosmetics",D115="E-commerce &amp; Cloud Computing",D115="Electronics &amp; Entertainment",D115="Entertainment &amp; Media",D115="Luxury Goods",D115="Media &amp; Telecommunications",D115="Networking Technology",D115="Real Estate Services",D115="Technology &amp; Consumer Electronics",D115="Telecommunications",D115="Telecommunications &amp; Investment"),1,
OR(D115="Asset Management",D115="Banking",D115="Banking &amp; Asset Services",D115="Banking &amp; Financial Services",D115="Banking &amp; Wealth Management",D115="Cloud Software",D115="Enterprise Software",D115="Financial Services",D115="Information Technology Consulting",D115="Investment Banking",D115="Social Media &amp; Technology",D115="Software &amp; Cloud Computing",D115="Technology &amp; Consulting",D115="Technology &amp; Internet Services",D115="Technology &amp; Software"),1,
TRUE,"Unmapped"
)</f>
        <v>1</v>
      </c>
      <c r="H115" s="5">
        <f>'BIS + EDBA Final'!B207</f>
        <v>2</v>
      </c>
      <c r="I115" s="5">
        <f>VLOOKUP(B115,'BIS + EDBA Final'!A:F,6,FALSE)</f>
        <v>1</v>
      </c>
      <c r="J115" s="5">
        <f>VLOOKUP(B115,'CBG Final'!A:B,2,FALSE)</f>
        <v>3</v>
      </c>
      <c r="K115" s="9">
        <f t="shared" si="1"/>
        <v>1.6</v>
      </c>
      <c r="L115" s="5" t="s">
        <v>621</v>
      </c>
      <c r="M115" s="5" t="s">
        <v>200</v>
      </c>
      <c r="N115" s="5" t="s">
        <v>622</v>
      </c>
      <c r="O115" s="5" t="s">
        <v>623</v>
      </c>
      <c r="P115" s="5" t="s">
        <v>624</v>
      </c>
      <c r="Q115" s="5" t="s">
        <v>54</v>
      </c>
      <c r="R115" s="5" t="s">
        <v>20</v>
      </c>
      <c r="S115" s="10"/>
      <c r="T115" s="11"/>
      <c r="U115" s="11"/>
      <c r="V115" s="10"/>
      <c r="W115" s="10"/>
      <c r="X115" s="11"/>
      <c r="Y115" s="11"/>
      <c r="Z115" s="10"/>
      <c r="AA115" s="10"/>
      <c r="AB115" s="10"/>
      <c r="AC115" s="10"/>
      <c r="AD115" s="10"/>
      <c r="AE115" s="10"/>
      <c r="AF115" s="10"/>
      <c r="AG115" s="10"/>
      <c r="AH115" s="10"/>
    </row>
    <row r="116" spans="1:34" ht="15.75" customHeight="1">
      <c r="A116" s="5"/>
      <c r="B116" s="5" t="s">
        <v>833</v>
      </c>
      <c r="C116" s="6" t="s">
        <v>71</v>
      </c>
      <c r="D116" s="7" t="s">
        <v>157</v>
      </c>
      <c r="E116" s="8">
        <v>89753</v>
      </c>
      <c r="F116" s="6" cm="1">
        <f t="array" ref="F116">_xlfn.IFS(
E116&lt;=$E$245,0,
E116&lt;=$E$246,1,
E116&lt;=$E$247,2,
E116&gt;=$E$247,3)</f>
        <v>1</v>
      </c>
      <c r="G116" s="7" cm="1">
        <f t="array" ref="G116">_xlfn.IFS(
OR(D116="Aerospace",D116="Aerospace &amp; Defense",D116="Agricultural Equipment",D116="Airlines",D116="Automotive",D116="Automotive &amp; Energy",D116="Automotive Components",D116="Aviation",D116="Building Materials",D116="Chemicals",D116="Commercial Vehicles",D116="Conglomerate &amp; Defense",D116="Conglomerate &amp; Energy",D116="Construction",D116="Construction &amp; Infrastructure",D116="Construction &amp; Real Estate",D116="Construction &amp; Telecom",D116="Discount Retail",D116="Energy Management",D116="Energy Technology",D116="Engines &amp; Power Systems",D116="Environmental Services",D116="Food Distribution",D116="Food Services",D116="Grocery Retail",D116="Healthcare &amp; Pharmacy",D116="Home Improvement Retail",D116="Industrial Engineering &amp; Electronics",D116="Oilfield Services",D116="Pharmaceuticals",D116="Pharmaceuticals &amp; Chemicals",D116="Pharmaceuticals &amp; Healthcare",D116="Pharmacy Retail",D116="Postal &amp; Logistics",D116="Retail",D116="Retail &amp; Distribution",D116="Retail &amp; Grocery",D116="Retail (IKEA)",D116="Tobacco",D116="Trading &amp; Conglomerate",D116="Utilities",D116="Utilities &amp; Energy",D116="Wholesale Retail"),2,
OR(D116="Agribusiness",D116="Automotive &amp; Heavy Vehicles",D116="Chemicals",D116="Commercial Vehicles",D116="Construction",D116="Construction &amp; Infrastructure",D116="Engines &amp; Power Systems",D116="Food Processing",D116="Healthcare",D116="Healthcare &amp; Medical Devices",D116="Heavy Equipment",D116="Heavy Industry",D116="Industrial Gases",D116="Industrial Manufacturing",D116="Logistics",D116="Medical Devices",D116="Mining",D116="Mining &amp; Commodities Trading",D116="Oil &amp; Gas",D116="Oilfield Services",D116="Rail Transport",D116="Shipping &amp; Logistics",D116="Steel"),3,
OR(D116="Apparel &amp; Footwear",D116="Beverage",D116="Coffeehouse &amp; Retail",D116="Conglomerate",D116="Consumer Goods",D116="Convenience Retail",D116="Electronics",D116="Electronics &amp; Semiconductors",D116="Electronics Retail",D116="Fashion Retail",D116="Food &amp; Beverage",D116="Food Retail &amp; Consumer Goods",D116="Industrial &amp; Technology",D116="Industrial Automation",D116="Industrial Technology",D116="Postal &amp; Financial Services",D116="Postal Services",D116="Scientific Instruments",D116="Technology Hardware",D116="Trading Company",D116="IT Consulting"),1,
OR(D116="Cosmetics",D116="E-commerce &amp; Cloud Computing",D116="Electronics &amp; Entertainment",D116="Entertainment &amp; Media",D116="Luxury Goods",D116="Media &amp; Telecommunications",D116="Networking Technology",D116="Real Estate Services",D116="Technology &amp; Consumer Electronics",D116="Telecommunications",D116="Telecommunications &amp; Investment"),1,
OR(D116="Asset Management",D116="Banking",D116="Banking &amp; Asset Services",D116="Banking &amp; Financial Services",D116="Banking &amp; Wealth Management",D116="Cloud Software",D116="Enterprise Software",D116="Financial Services",D116="Information Technology Consulting",D116="Investment Banking",D116="Social Media &amp; Technology",D116="Software &amp; Cloud Computing",D116="Technology &amp; Consulting",D116="Technology &amp; Internet Services",D116="Technology &amp; Software"),1,
TRUE,"Unmapped"
)</f>
        <v>1</v>
      </c>
      <c r="H116" s="5">
        <f>'BIS + EDBA Final'!B210</f>
        <v>2</v>
      </c>
      <c r="I116" s="5">
        <f>VLOOKUP(B116,'BIS + EDBA Final'!A:F,6,FALSE)</f>
        <v>1</v>
      </c>
      <c r="J116" s="5">
        <f>VLOOKUP(B116,'CBG Final'!A:B,2,FALSE)</f>
        <v>3</v>
      </c>
      <c r="K116" s="9">
        <f t="shared" si="1"/>
        <v>1.6</v>
      </c>
      <c r="L116" s="5" t="s">
        <v>834</v>
      </c>
      <c r="M116" s="5" t="s">
        <v>200</v>
      </c>
      <c r="N116" s="5" t="s">
        <v>835</v>
      </c>
      <c r="O116" s="5" t="s">
        <v>836</v>
      </c>
      <c r="P116" s="5" t="s">
        <v>837</v>
      </c>
      <c r="Q116" s="5" t="s">
        <v>107</v>
      </c>
      <c r="R116" s="5" t="s">
        <v>20</v>
      </c>
      <c r="S116" s="10"/>
      <c r="T116" s="11"/>
      <c r="U116" s="11"/>
      <c r="V116" s="10"/>
      <c r="W116" s="10"/>
      <c r="X116" s="11"/>
      <c r="Y116" s="11"/>
      <c r="Z116" s="10"/>
      <c r="AA116" s="10"/>
      <c r="AB116" s="10"/>
      <c r="AC116" s="10"/>
      <c r="AD116" s="10"/>
      <c r="AE116" s="10"/>
      <c r="AF116" s="10"/>
      <c r="AG116" s="10"/>
      <c r="AH116" s="10"/>
    </row>
    <row r="117" spans="1:34" ht="15.75" customHeight="1">
      <c r="A117" s="5"/>
      <c r="B117" s="5" t="s">
        <v>993</v>
      </c>
      <c r="C117" s="6" t="s">
        <v>22</v>
      </c>
      <c r="D117" s="7" t="s">
        <v>157</v>
      </c>
      <c r="E117" s="8">
        <v>129177</v>
      </c>
      <c r="F117" s="6" cm="1">
        <f t="array" ref="F117">_xlfn.IFS(
E117&lt;=$E$245,0,
E117&lt;=$E$246,1,
E117&lt;=$E$247,2,
E117&gt;=$E$247,3)</f>
        <v>2</v>
      </c>
      <c r="G117" s="7" cm="1">
        <f t="array" ref="G117">_xlfn.IFS(
OR(D117="Aerospace",D117="Aerospace &amp; Defense",D117="Agricultural Equipment",D117="Airlines",D117="Automotive",D117="Automotive &amp; Energy",D117="Automotive Components",D117="Aviation",D117="Building Materials",D117="Chemicals",D117="Commercial Vehicles",D117="Conglomerate &amp; Defense",D117="Conglomerate &amp; Energy",D117="Construction",D117="Construction &amp; Infrastructure",D117="Construction &amp; Real Estate",D117="Construction &amp; Telecom",D117="Discount Retail",D117="Energy Management",D117="Energy Technology",D117="Engines &amp; Power Systems",D117="Environmental Services",D117="Food Distribution",D117="Food Services",D117="Grocery Retail",D117="Healthcare &amp; Pharmacy",D117="Home Improvement Retail",D117="Industrial Engineering &amp; Electronics",D117="Oilfield Services",D117="Pharmaceuticals",D117="Pharmaceuticals &amp; Chemicals",D117="Pharmaceuticals &amp; Healthcare",D117="Pharmacy Retail",D117="Postal &amp; Logistics",D117="Retail",D117="Retail &amp; Distribution",D117="Retail &amp; Grocery",D117="Retail (IKEA)",D117="Tobacco",D117="Trading &amp; Conglomerate",D117="Utilities",D117="Utilities &amp; Energy",D117="Wholesale Retail"),2,
OR(D117="Agribusiness",D117="Automotive &amp; Heavy Vehicles",D117="Chemicals",D117="Commercial Vehicles",D117="Construction",D117="Construction &amp; Infrastructure",D117="Engines &amp; Power Systems",D117="Food Processing",D117="Healthcare",D117="Healthcare &amp; Medical Devices",D117="Heavy Equipment",D117="Heavy Industry",D117="Industrial Gases",D117="Industrial Manufacturing",D117="Logistics",D117="Medical Devices",D117="Mining",D117="Mining &amp; Commodities Trading",D117="Oil &amp; Gas",D117="Oilfield Services",D117="Rail Transport",D117="Shipping &amp; Logistics",D117="Steel"),3,
OR(D117="Apparel &amp; Footwear",D117="Beverage",D117="Coffeehouse &amp; Retail",D117="Conglomerate",D117="Consumer Goods",D117="Convenience Retail",D117="Electronics",D117="Electronics &amp; Semiconductors",D117="Electronics Retail",D117="Fashion Retail",D117="Food &amp; Beverage",D117="Food Retail &amp; Consumer Goods",D117="Industrial &amp; Technology",D117="Industrial Automation",D117="Industrial Technology",D117="Postal &amp; Financial Services",D117="Postal Services",D117="Scientific Instruments",D117="Technology Hardware",D117="Trading Company",D117="IT Consulting"),1,
OR(D117="Cosmetics",D117="E-commerce &amp; Cloud Computing",D117="Electronics &amp; Entertainment",D117="Entertainment &amp; Media",D117="Luxury Goods",D117="Media &amp; Telecommunications",D117="Networking Technology",D117="Real Estate Services",D117="Technology &amp; Consumer Electronics",D117="Telecommunications",D117="Telecommunications &amp; Investment"),1,
OR(D117="Asset Management",D117="Banking",D117="Banking &amp; Asset Services",D117="Banking &amp; Financial Services",D117="Banking &amp; Wealth Management",D117="Cloud Software",D117="Enterprise Software",D117="Financial Services",D117="Information Technology Consulting",D117="Investment Banking",D117="Social Media &amp; Technology",D117="Software &amp; Cloud Computing",D117="Technology &amp; Consulting",D117="Technology &amp; Internet Services",D117="Technology &amp; Software"),1,
TRUE,"Unmapped"
)</f>
        <v>1</v>
      </c>
      <c r="H117" s="5">
        <v>2</v>
      </c>
      <c r="I117" s="5">
        <f>VLOOKUP(B117,'BIS + EDBA Final'!A:F,6,FALSE)</f>
        <v>1</v>
      </c>
      <c r="J117" s="5">
        <f>VLOOKUP(B117,'CBG Final'!A:B,2,FALSE)</f>
        <v>1</v>
      </c>
      <c r="K117" s="9">
        <f t="shared" si="1"/>
        <v>1.5000000000000002</v>
      </c>
      <c r="L117" s="5" t="s">
        <v>994</v>
      </c>
      <c r="M117" s="5" t="s">
        <v>995</v>
      </c>
      <c r="N117" s="5" t="s">
        <v>996</v>
      </c>
      <c r="O117" s="5" t="s">
        <v>902</v>
      </c>
      <c r="P117" s="5" t="s">
        <v>997</v>
      </c>
      <c r="Q117" s="5" t="s">
        <v>33</v>
      </c>
      <c r="R117" s="5" t="s">
        <v>50</v>
      </c>
      <c r="S117" s="10"/>
      <c r="T117" s="11"/>
      <c r="U117" s="11"/>
      <c r="V117" s="10"/>
      <c r="W117" s="10"/>
      <c r="X117" s="10"/>
      <c r="Y117" s="10"/>
      <c r="Z117" s="10"/>
      <c r="AA117" s="10"/>
      <c r="AB117" s="10"/>
      <c r="AC117" s="10"/>
      <c r="AD117" s="10"/>
      <c r="AE117" s="10"/>
      <c r="AF117" s="10"/>
      <c r="AG117" s="10"/>
      <c r="AH117" s="10"/>
    </row>
    <row r="118" spans="1:34" ht="15.75" customHeight="1">
      <c r="A118" s="5"/>
      <c r="B118" s="5" t="s">
        <v>896</v>
      </c>
      <c r="C118" s="6" t="s">
        <v>62</v>
      </c>
      <c r="D118" s="7" t="s">
        <v>960</v>
      </c>
      <c r="E118" s="8">
        <v>282743</v>
      </c>
      <c r="F118" s="6" cm="1">
        <f t="array" ref="F118">_xlfn.IFS(
E118&lt;=$E$245,0,
E118&lt;=$E$246,1,
E118&lt;=$E$247,2,
E118&gt;=$E$247,3)</f>
        <v>3</v>
      </c>
      <c r="G118" s="7" cm="1">
        <f t="array" ref="G118">_xlfn.IFS(
OR(D118="Aerospace",D118="Aerospace &amp; Defense",D118="Agricultural Equipment",D118="Airlines",D118="Automotive",D118="Automotive &amp; Energy",D118="Automotive Components",D118="Aviation",D118="Building Materials",D118="Chemicals",D118="Commercial Vehicles",D118="Conglomerate &amp; Defense",D118="Conglomerate &amp; Energy",D118="Construction",D118="Construction &amp; Infrastructure",D118="Construction &amp; Real Estate",D118="Construction &amp; Telecom",D118="Discount Retail",D118="Energy Management",D118="Energy Technology",D118="Engines &amp; Power Systems",D118="Environmental Services",D118="Food Distribution",D118="Food Services",D118="Grocery Retail",D118="Healthcare &amp; Pharmacy",D118="Home Improvement Retail",D118="Industrial Engineering &amp; Electronics",D118="Oilfield Services",D118="Pharmaceuticals",D118="Pharmaceuticals &amp; Chemicals",D118="Pharmaceuticals &amp; Healthcare",D118="Pharmacy Retail",D118="Postal &amp; Logistics",D118="Retail",D118="Retail &amp; Distribution",D118="Retail &amp; Grocery",D118="Retail (IKEA)",D118="Tobacco",D118="Trading &amp; Conglomerate",D118="Utilities",D118="Utilities &amp; Energy",D118="Wholesale Retail"),2,
OR(D118="Agribusiness",D118="Automotive &amp; Heavy Vehicles",D118="Chemicals",D118="Commercial Vehicles",D118="Construction",D118="Construction &amp; Infrastructure",D118="Engines &amp; Power Systems",D118="Food Processing",D118="Healthcare",D118="Healthcare &amp; Medical Devices",D118="Heavy Equipment",D118="Heavy Industry",D118="Industrial Gases",D118="Industrial Manufacturing",D118="Logistics",D118="Medical Devices",D118="Mining",D118="Mining &amp; Commodities Trading",D118="Oil &amp; Gas",D118="Oilfield Services",D118="Rail Transport",D118="Shipping &amp; Logistics",D118="Steel"),3,
OR(D118="Apparel &amp; Footwear",D118="Beverage",D118="Coffeehouse &amp; Retail",D118="Conglomerate",D118="Consumer Goods",D118="Convenience Retail",D118="Electronics",D118="Electronics &amp; Semiconductors",D118="Electronics Retail",D118="Fashion Retail",D118="Food &amp; Beverage",D118="Food Retail &amp; Consumer Goods",D118="Industrial &amp; Technology",D118="Industrial Automation",D118="Industrial Technology",D118="Postal &amp; Financial Services",D118="Postal Services",D118="Scientific Instruments",D118="Technology Hardware",D118="Trading Company",D118="IT Consulting"),1,
OR(D118="Cosmetics",D118="E-commerce &amp; Cloud Computing",D118="Electronics &amp; Entertainment",D118="Entertainment &amp; Media",D118="Luxury Goods",D118="Media &amp; Telecommunications",D118="Networking Technology",D118="Real Estate Services",D118="Technology &amp; Consumer Electronics",D118="Telecommunications",D118="Telecommunications &amp; Investment"),1,
OR(D118="Asset Management",D118="Banking",D118="Banking &amp; Asset Services",D118="Banking &amp; Financial Services",D118="Banking &amp; Wealth Management",D118="Cloud Software",D118="Enterprise Software",D118="Financial Services",D118="Information Technology Consulting",D118="Investment Banking",D118="Social Media &amp; Technology",D118="Software &amp; Cloud Computing",D118="Technology &amp; Consulting",D118="Technology &amp; Internet Services",D118="Technology &amp; Software"),1,
TRUE,"Unmapped"
)</f>
        <v>1</v>
      </c>
      <c r="H118" s="5">
        <v>2</v>
      </c>
      <c r="I118" s="5">
        <f>VLOOKUP(B118,'BIS + EDBA Final'!A:F,6,FALSE)</f>
        <v>0</v>
      </c>
      <c r="J118" s="5">
        <f>VLOOKUP(B118,'CBG Final'!A:B,2,FALSE)</f>
        <v>0</v>
      </c>
      <c r="K118" s="9">
        <f t="shared" si="1"/>
        <v>1.5</v>
      </c>
      <c r="L118" s="5" t="s">
        <v>961</v>
      </c>
      <c r="M118" s="5" t="s">
        <v>962</v>
      </c>
      <c r="N118" s="5" t="s">
        <v>963</v>
      </c>
      <c r="O118" s="5" t="s">
        <v>802</v>
      </c>
      <c r="P118" s="5" t="s">
        <v>964</v>
      </c>
      <c r="Q118" s="5" t="s">
        <v>824</v>
      </c>
      <c r="R118" s="5" t="s">
        <v>20</v>
      </c>
      <c r="S118" s="10"/>
      <c r="T118" s="11"/>
      <c r="U118" s="11"/>
      <c r="V118" s="10"/>
      <c r="W118" s="10"/>
      <c r="X118" s="11"/>
      <c r="Y118" s="11"/>
      <c r="Z118" s="10"/>
      <c r="AA118" s="10"/>
      <c r="AB118" s="10"/>
      <c r="AC118" s="10"/>
      <c r="AD118" s="10"/>
      <c r="AE118" s="10"/>
      <c r="AF118" s="10"/>
      <c r="AG118" s="10"/>
      <c r="AH118" s="10"/>
    </row>
    <row r="119" spans="1:34" ht="15.75" customHeight="1">
      <c r="A119" s="5"/>
      <c r="B119" s="5" t="s">
        <v>1204</v>
      </c>
      <c r="C119" s="6" t="s">
        <v>62</v>
      </c>
      <c r="D119" s="7" t="s">
        <v>600</v>
      </c>
      <c r="E119" s="8">
        <v>207548</v>
      </c>
      <c r="F119" s="6" cm="1">
        <f t="array" ref="F119">_xlfn.IFS(
E119&lt;=$E$245,0,
E119&lt;=$E$246,1,
E119&lt;=$E$247,2,
E119&gt;=$E$247,3)</f>
        <v>3</v>
      </c>
      <c r="G119" s="7" cm="1">
        <f t="array" ref="G119">_xlfn.IFS(
OR(D119="Aerospace",D119="Aerospace &amp; Defense",D119="Agricultural Equipment",D119="Airlines",D119="Automotive",D119="Automotive &amp; Energy",D119="Automotive Components",D119="Aviation",D119="Building Materials",D119="Chemicals",D119="Commercial Vehicles",D119="Conglomerate &amp; Defense",D119="Conglomerate &amp; Energy",D119="Construction",D119="Construction &amp; Infrastructure",D119="Construction &amp; Real Estate",D119="Construction &amp; Telecom",D119="Discount Retail",D119="Energy Management",D119="Energy Technology",D119="Engines &amp; Power Systems",D119="Environmental Services",D119="Food Distribution",D119="Food Services",D119="Grocery Retail",D119="Healthcare &amp; Pharmacy",D119="Home Improvement Retail",D119="Industrial Engineering &amp; Electronics",D119="Oilfield Services",D119="Pharmaceuticals",D119="Pharmaceuticals &amp; Chemicals",D119="Pharmaceuticals &amp; Healthcare",D119="Pharmacy Retail",D119="Postal &amp; Logistics",D119="Retail",D119="Retail &amp; Distribution",D119="Retail &amp; Grocery",D119="Retail (IKEA)",D119="Tobacco",D119="Trading &amp; Conglomerate",D119="Utilities",D119="Utilities &amp; Energy",D119="Wholesale Retail"),2,
OR(D119="Agribusiness",D119="Automotive &amp; Heavy Vehicles",D119="Chemicals",D119="Commercial Vehicles",D119="Construction",D119="Construction &amp; Infrastructure",D119="Engines &amp; Power Systems",D119="Food Processing",D119="Healthcare",D119="Healthcare &amp; Medical Devices",D119="Heavy Equipment",D119="Heavy Industry",D119="Industrial Gases",D119="Industrial Manufacturing",D119="Logistics",D119="Medical Devices",D119="Mining",D119="Mining &amp; Commodities Trading",D119="Oil &amp; Gas",D119="Oilfield Services",D119="Rail Transport",D119="Shipping &amp; Logistics",D119="Steel"),3,
OR(D119="Apparel &amp; Footwear",D119="Beverage",D119="Coffeehouse &amp; Retail",D119="Conglomerate",D119="Consumer Goods",D119="Convenience Retail",D119="Electronics",D119="Electronics &amp; Semiconductors",D119="Electronics Retail",D119="Fashion Retail",D119="Food &amp; Beverage",D119="Food Retail &amp; Consumer Goods",D119="Industrial &amp; Technology",D119="Industrial Automation",D119="Industrial Technology",D119="Postal &amp; Financial Services",D119="Postal Services",D119="Scientific Instruments",D119="Technology Hardware",D119="Trading Company",D119="IT Consulting"),1,
OR(D119="Cosmetics",D119="E-commerce &amp; Cloud Computing",D119="Electronics &amp; Entertainment",D119="Entertainment &amp; Media",D119="Luxury Goods",D119="Media &amp; Telecommunications",D119="Networking Technology",D119="Real Estate Services",D119="Technology &amp; Consumer Electronics",D119="Telecommunications",D119="Telecommunications &amp; Investment"),1,
OR(D119="Asset Management",D119="Banking",D119="Banking &amp; Asset Services",D119="Banking &amp; Financial Services",D119="Banking &amp; Wealth Management",D119="Cloud Software",D119="Enterprise Software",D119="Financial Services",D119="Information Technology Consulting",D119="Investment Banking",D119="Social Media &amp; Technology",D119="Software &amp; Cloud Computing",D119="Technology &amp; Consulting",D119="Technology &amp; Internet Services",D119="Technology &amp; Software"),1,
TRUE,"Unmapped"
)</f>
        <v>1</v>
      </c>
      <c r="H119" s="5">
        <v>2</v>
      </c>
      <c r="I119" s="5">
        <f>VLOOKUP(B119,'BIS + EDBA Final'!A:F,6,FALSE)</f>
        <v>0</v>
      </c>
      <c r="J119" s="5">
        <f>VLOOKUP(B119,'CBG Final'!A:B,2,FALSE)</f>
        <v>0</v>
      </c>
      <c r="K119" s="9">
        <f t="shared" si="1"/>
        <v>1.5</v>
      </c>
      <c r="L119" s="5" t="s">
        <v>1205</v>
      </c>
      <c r="M119" s="5" t="s">
        <v>710</v>
      </c>
      <c r="N119" s="5" t="s">
        <v>1206</v>
      </c>
      <c r="O119" s="5" t="s">
        <v>481</v>
      </c>
      <c r="P119" s="5" t="s">
        <v>1207</v>
      </c>
      <c r="Q119" s="5" t="s">
        <v>615</v>
      </c>
      <c r="R119" s="5" t="s">
        <v>20</v>
      </c>
      <c r="S119" s="10"/>
      <c r="T119" s="11"/>
      <c r="U119" s="11"/>
      <c r="V119" s="10"/>
      <c r="W119" s="10"/>
      <c r="X119" s="11"/>
      <c r="Y119" s="11"/>
      <c r="Z119" s="10"/>
      <c r="AA119" s="10"/>
      <c r="AB119" s="10"/>
      <c r="AC119" s="10"/>
      <c r="AD119" s="10"/>
      <c r="AE119" s="10"/>
      <c r="AF119" s="10"/>
      <c r="AG119" s="10"/>
      <c r="AH119" s="10"/>
    </row>
    <row r="120" spans="1:34" ht="15.75" customHeight="1">
      <c r="A120" s="5"/>
      <c r="B120" s="5" t="s">
        <v>434</v>
      </c>
      <c r="C120" s="6" t="s">
        <v>312</v>
      </c>
      <c r="D120" s="7" t="s">
        <v>313</v>
      </c>
      <c r="E120" s="8">
        <v>100000</v>
      </c>
      <c r="F120" s="6" cm="1">
        <f t="array" ref="F120">_xlfn.IFS(
E120&lt;=$E$245,0,
E120&lt;=$E$246,1,
E120&lt;=$E$247,2,
E120&gt;=$E$247,3)</f>
        <v>1</v>
      </c>
      <c r="G120" s="7" cm="1">
        <f t="array" ref="G120">_xlfn.IFS(
OR(D120="Aerospace",D120="Aerospace &amp; Defense",D120="Agricultural Equipment",D120="Airlines",D120="Automotive",D120="Automotive &amp; Energy",D120="Automotive Components",D120="Aviation",D120="Building Materials",D120="Chemicals",D120="Commercial Vehicles",D120="Conglomerate &amp; Defense",D120="Conglomerate &amp; Energy",D120="Construction",D120="Construction &amp; Infrastructure",D120="Construction &amp; Real Estate",D120="Construction &amp; Telecom",D120="Discount Retail",D120="Energy Management",D120="Energy Technology",D120="Engines &amp; Power Systems",D120="Environmental Services",D120="Food Distribution",D120="Food Services",D120="Grocery Retail",D120="Healthcare &amp; Pharmacy",D120="Home Improvement Retail",D120="Industrial Engineering &amp; Electronics",D120="Oilfield Services",D120="Pharmaceuticals",D120="Pharmaceuticals &amp; Chemicals",D120="Pharmaceuticals &amp; Healthcare",D120="Pharmacy Retail",D120="Postal &amp; Logistics",D120="Retail",D120="Retail &amp; Distribution",D120="Retail &amp; Grocery",D120="Retail (IKEA)",D120="Tobacco",D120="Trading &amp; Conglomerate",D120="Utilities",D120="Utilities &amp; Energy",D120="Wholesale Retail"),2,
OR(D120="Agribusiness",D120="Automotive &amp; Heavy Vehicles",D120="Chemicals",D120="Commercial Vehicles",D120="Construction",D120="Construction &amp; Infrastructure",D120="Engines &amp; Power Systems",D120="Food Processing",D120="Healthcare",D120="Healthcare &amp; Medical Devices",D120="Heavy Equipment",D120="Heavy Industry",D120="Industrial Gases",D120="Industrial Manufacturing",D120="Logistics",D120="Medical Devices",D120="Mining",D120="Mining &amp; Commodities Trading",D120="Oil &amp; Gas",D120="Oilfield Services",D120="Rail Transport",D120="Shipping &amp; Logistics",D120="Steel"),3,
OR(D120="Apparel &amp; Footwear",D120="Beverage",D120="Coffeehouse &amp; Retail",D120="Conglomerate",D120="Consumer Goods",D120="Convenience Retail",D120="Electronics",D120="Electronics &amp; Semiconductors",D120="Electronics Retail",D120="Fashion Retail",D120="Food &amp; Beverage",D120="Food Retail &amp; Consumer Goods",D120="Industrial &amp; Technology",D120="Industrial Automation",D120="Industrial Technology",D120="Postal &amp; Financial Services",D120="Postal Services",D120="Scientific Instruments",D120="Technology Hardware",D120="Trading Company",D120="IT Consulting"),1,
OR(D120="Cosmetics",D120="E-commerce &amp; Cloud Computing",D120="Electronics &amp; Entertainment",D120="Entertainment &amp; Media",D120="Luxury Goods",D120="Media &amp; Telecommunications",D120="Networking Technology",D120="Real Estate Services",D120="Technology &amp; Consumer Electronics",D120="Telecommunications",D120="Telecommunications &amp; Investment"),1,
OR(D120="Asset Management",D120="Banking",D120="Banking &amp; Asset Services",D120="Banking &amp; Financial Services",D120="Banking &amp; Wealth Management",D120="Cloud Software",D120="Enterprise Software",D120="Financial Services",D120="Information Technology Consulting",D120="Investment Banking",D120="Social Media &amp; Technology",D120="Software &amp; Cloud Computing",D120="Technology &amp; Consulting",D120="Technology &amp; Internet Services",D120="Technology &amp; Software"),1,
TRUE,"Unmapped"
)</f>
        <v>3</v>
      </c>
      <c r="H120" s="5">
        <f>VLOOKUP(B120,'BIS + EDBA Final'!A:K,2,FALSE)</f>
        <v>1</v>
      </c>
      <c r="I120" s="5">
        <f>VLOOKUP(B120,'BIS + EDBA Final'!A:F,6,FALSE)</f>
        <v>0</v>
      </c>
      <c r="J120" s="5">
        <f>VLOOKUP(B120,'CBG Final'!A:B,2,FALSE)</f>
        <v>2</v>
      </c>
      <c r="K120" s="9">
        <f t="shared" si="1"/>
        <v>1.5</v>
      </c>
      <c r="L120" s="5" t="s">
        <v>435</v>
      </c>
      <c r="M120" s="5" t="s">
        <v>436</v>
      </c>
      <c r="N120" s="5" t="s">
        <v>437</v>
      </c>
      <c r="O120" s="5" t="s">
        <v>438</v>
      </c>
      <c r="P120" s="5" t="s">
        <v>439</v>
      </c>
      <c r="Q120" s="5" t="s">
        <v>29</v>
      </c>
      <c r="R120" s="5" t="s">
        <v>136</v>
      </c>
      <c r="S120" s="10"/>
      <c r="T120" s="11"/>
      <c r="U120" s="11"/>
      <c r="V120" s="10"/>
      <c r="W120" s="10"/>
      <c r="X120" s="11"/>
      <c r="Y120" s="11"/>
      <c r="Z120" s="10"/>
      <c r="AA120" s="10"/>
      <c r="AB120" s="10"/>
      <c r="AC120" s="10"/>
      <c r="AD120" s="10"/>
      <c r="AE120" s="10"/>
      <c r="AF120" s="10"/>
      <c r="AG120" s="10"/>
      <c r="AH120" s="10"/>
    </row>
    <row r="121" spans="1:34" ht="15.75" customHeight="1">
      <c r="A121" s="5"/>
      <c r="B121" s="5" t="s">
        <v>379</v>
      </c>
      <c r="C121" s="6" t="s">
        <v>71</v>
      </c>
      <c r="D121" s="7" t="s">
        <v>367</v>
      </c>
      <c r="E121" s="8">
        <v>98120</v>
      </c>
      <c r="F121" s="6" cm="1">
        <f t="array" ref="F121">_xlfn.IFS(
E121&lt;=$E$245,0,
E121&lt;=$E$246,1,
E121&lt;=$E$247,2,
E121&gt;=$E$247,3)</f>
        <v>1</v>
      </c>
      <c r="G121" s="7" cm="1">
        <f t="array" ref="G121">_xlfn.IFS(
OR(D121="Aerospace",D121="Aerospace &amp; Defense",D121="Agricultural Equipment",D121="Airlines",D121="Automotive",D121="Automotive &amp; Energy",D121="Automotive Components",D121="Aviation",D121="Building Materials",D121="Chemicals",D121="Commercial Vehicles",D121="Conglomerate &amp; Defense",D121="Conglomerate &amp; Energy",D121="Construction",D121="Construction &amp; Infrastructure",D121="Construction &amp; Real Estate",D121="Construction &amp; Telecom",D121="Discount Retail",D121="Energy Management",D121="Energy Technology",D121="Engines &amp; Power Systems",D121="Environmental Services",D121="Food Distribution",D121="Food Services",D121="Grocery Retail",D121="Healthcare &amp; Pharmacy",D121="Home Improvement Retail",D121="Industrial Engineering &amp; Electronics",D121="Oilfield Services",D121="Pharmaceuticals",D121="Pharmaceuticals &amp; Chemicals",D121="Pharmaceuticals &amp; Healthcare",D121="Pharmacy Retail",D121="Postal &amp; Logistics",D121="Retail",D121="Retail &amp; Distribution",D121="Retail &amp; Grocery",D121="Retail (IKEA)",D121="Tobacco",D121="Trading &amp; Conglomerate",D121="Utilities",D121="Utilities &amp; Energy",D121="Wholesale Retail"),2,
OR(D121="Agribusiness",D121="Automotive &amp; Heavy Vehicles",D121="Chemicals",D121="Commercial Vehicles",D121="Construction",D121="Construction &amp; Infrastructure",D121="Engines &amp; Power Systems",D121="Food Processing",D121="Healthcare",D121="Healthcare &amp; Medical Devices",D121="Heavy Equipment",D121="Heavy Industry",D121="Industrial Gases",D121="Industrial Manufacturing",D121="Logistics",D121="Medical Devices",D121="Mining",D121="Mining &amp; Commodities Trading",D121="Oil &amp; Gas",D121="Oilfield Services",D121="Rail Transport",D121="Shipping &amp; Logistics",D121="Steel"),3,
OR(D121="Apparel &amp; Footwear",D121="Beverage",D121="Coffeehouse &amp; Retail",D121="Conglomerate",D121="Consumer Goods",D121="Convenience Retail",D121="Electronics",D121="Electronics &amp; Semiconductors",D121="Electronics Retail",D121="Fashion Retail",D121="Food &amp; Beverage",D121="Food Retail &amp; Consumer Goods",D121="Industrial &amp; Technology",D121="Industrial Automation",D121="Industrial Technology",D121="Postal &amp; Financial Services",D121="Postal Services",D121="Scientific Instruments",D121="Technology Hardware",D121="Trading Company",D121="IT Consulting"),1,
OR(D121="Cosmetics",D121="E-commerce &amp; Cloud Computing",D121="Electronics &amp; Entertainment",D121="Entertainment &amp; Media",D121="Luxury Goods",D121="Media &amp; Telecommunications",D121="Networking Technology",D121="Real Estate Services",D121="Technology &amp; Consumer Electronics",D121="Telecommunications",D121="Telecommunications &amp; Investment"),1,
OR(D121="Asset Management",D121="Banking",D121="Banking &amp; Asset Services",D121="Banking &amp; Financial Services",D121="Banking &amp; Wealth Management",D121="Cloud Software",D121="Enterprise Software",D121="Financial Services",D121="Information Technology Consulting",D121="Investment Banking",D121="Social Media &amp; Technology",D121="Software &amp; Cloud Computing",D121="Technology &amp; Consulting",D121="Technology &amp; Internet Services",D121="Technology &amp; Software"),1,
TRUE,"Unmapped"
)</f>
        <v>3</v>
      </c>
      <c r="H121" s="5">
        <f>VLOOKUP(B121,'BIS + EDBA Final'!A:K,2,FALSE)</f>
        <v>1</v>
      </c>
      <c r="I121" s="5">
        <f>VLOOKUP(B121,'BIS + EDBA Final'!A:F,6,FALSE)</f>
        <v>0</v>
      </c>
      <c r="J121" s="5">
        <f>VLOOKUP(B121,'CBG Final'!A:B,2,FALSE)</f>
        <v>2</v>
      </c>
      <c r="K121" s="9">
        <f t="shared" si="1"/>
        <v>1.5</v>
      </c>
      <c r="L121" s="5" t="s">
        <v>380</v>
      </c>
      <c r="M121" s="5" t="s">
        <v>381</v>
      </c>
      <c r="N121" s="5" t="s">
        <v>382</v>
      </c>
      <c r="O121" s="5"/>
      <c r="P121" s="5" t="s">
        <v>383</v>
      </c>
      <c r="Q121" s="5" t="s">
        <v>210</v>
      </c>
      <c r="R121" s="5" t="s">
        <v>20</v>
      </c>
      <c r="S121" s="10"/>
      <c r="T121" s="11"/>
      <c r="U121" s="11"/>
      <c r="V121" s="10"/>
      <c r="W121" s="10"/>
      <c r="X121" s="10"/>
      <c r="Y121" s="10"/>
      <c r="Z121" s="10"/>
      <c r="AA121" s="10"/>
      <c r="AB121" s="10"/>
      <c r="AC121" s="10"/>
      <c r="AD121" s="10"/>
      <c r="AE121" s="10"/>
      <c r="AF121" s="10"/>
      <c r="AG121" s="10"/>
      <c r="AH121" s="10"/>
    </row>
    <row r="122" spans="1:34" ht="15.75" customHeight="1">
      <c r="A122" s="5"/>
      <c r="B122" s="5" t="s">
        <v>242</v>
      </c>
      <c r="C122" s="6" t="s">
        <v>39</v>
      </c>
      <c r="D122" s="7" t="s">
        <v>243</v>
      </c>
      <c r="E122" s="8">
        <v>94017</v>
      </c>
      <c r="F122" s="6" cm="1">
        <f t="array" ref="F122">_xlfn.IFS(
E122&lt;=$E$245,0,
E122&lt;=$E$246,1,
E122&lt;=$E$247,2,
E122&gt;=$E$247,3)</f>
        <v>1</v>
      </c>
      <c r="G122" s="7" cm="1">
        <f t="array" ref="G122">_xlfn.IFS(
OR(D122="Aerospace",D122="Aerospace &amp; Defense",D122="Agricultural Equipment",D122="Airlines",D122="Automotive",D122="Automotive &amp; Energy",D122="Automotive Components",D122="Aviation",D122="Building Materials",D122="Chemicals",D122="Commercial Vehicles",D122="Conglomerate &amp; Defense",D122="Conglomerate &amp; Energy",D122="Construction",D122="Construction &amp; Infrastructure",D122="Construction &amp; Real Estate",D122="Construction &amp; Telecom",D122="Discount Retail",D122="Energy Management",D122="Energy Technology",D122="Engines &amp; Power Systems",D122="Environmental Services",D122="Food Distribution",D122="Food Services",D122="Grocery Retail",D122="Healthcare &amp; Pharmacy",D122="Home Improvement Retail",D122="Industrial Engineering &amp; Electronics",D122="Oilfield Services",D122="Pharmaceuticals",D122="Pharmaceuticals &amp; Chemicals",D122="Pharmaceuticals &amp; Healthcare",D122="Pharmacy Retail",D122="Postal &amp; Logistics",D122="Retail",D122="Retail &amp; Distribution",D122="Retail &amp; Grocery",D122="Retail (IKEA)",D122="Tobacco",D122="Trading &amp; Conglomerate",D122="Utilities",D122="Utilities &amp; Energy",D122="Wholesale Retail"),2,
OR(D122="Agribusiness",D122="Automotive &amp; Heavy Vehicles",D122="Chemicals",D122="Commercial Vehicles",D122="Construction",D122="Construction &amp; Infrastructure",D122="Engines &amp; Power Systems",D122="Food Processing",D122="Healthcare",D122="Healthcare &amp; Medical Devices",D122="Heavy Equipment",D122="Heavy Industry",D122="Industrial Gases",D122="Industrial Manufacturing",D122="Logistics",D122="Medical Devices",D122="Mining",D122="Mining &amp; Commodities Trading",D122="Oil &amp; Gas",D122="Oilfield Services",D122="Rail Transport",D122="Shipping &amp; Logistics",D122="Steel"),3,
OR(D122="Apparel &amp; Footwear",D122="Beverage",D122="Coffeehouse &amp; Retail",D122="Conglomerate",D122="Consumer Goods",D122="Convenience Retail",D122="Electronics",D122="Electronics &amp; Semiconductors",D122="Electronics Retail",D122="Fashion Retail",D122="Food &amp; Beverage",D122="Food Retail &amp; Consumer Goods",D122="Industrial &amp; Technology",D122="Industrial Automation",D122="Industrial Technology",D122="Postal &amp; Financial Services",D122="Postal Services",D122="Scientific Instruments",D122="Technology Hardware",D122="Trading Company",D122="IT Consulting"),1,
OR(D122="Cosmetics",D122="E-commerce &amp; Cloud Computing",D122="Electronics &amp; Entertainment",D122="Entertainment &amp; Media",D122="Luxury Goods",D122="Media &amp; Telecommunications",D122="Networking Technology",D122="Real Estate Services",D122="Technology &amp; Consumer Electronics",D122="Telecommunications",D122="Telecommunications &amp; Investment"),1,
OR(D122="Asset Management",D122="Banking",D122="Banking &amp; Asset Services",D122="Banking &amp; Financial Services",D122="Banking &amp; Wealth Management",D122="Cloud Software",D122="Enterprise Software",D122="Financial Services",D122="Information Technology Consulting",D122="Investment Banking",D122="Social Media &amp; Technology",D122="Software &amp; Cloud Computing",D122="Technology &amp; Consulting",D122="Technology &amp; Internet Services",D122="Technology &amp; Software"),1,
TRUE,"Unmapped"
)</f>
        <v>2</v>
      </c>
      <c r="H122" s="5">
        <f>VLOOKUP(B122,'BIS + EDBA Final'!A:K,2,FALSE)</f>
        <v>1</v>
      </c>
      <c r="I122" s="5">
        <f>VLOOKUP(B122,'BIS + EDBA Final'!A:F,6,FALSE)</f>
        <v>0</v>
      </c>
      <c r="J122" s="5">
        <f>VLOOKUP(B122,'CBG Final'!A:B,2,FALSE)</f>
        <v>3</v>
      </c>
      <c r="K122" s="9">
        <f t="shared" si="1"/>
        <v>1.5</v>
      </c>
      <c r="L122" s="5" t="s">
        <v>244</v>
      </c>
      <c r="M122" s="5" t="s">
        <v>245</v>
      </c>
      <c r="N122" s="5" t="s">
        <v>246</v>
      </c>
      <c r="O122" s="5" t="s">
        <v>247</v>
      </c>
      <c r="P122" s="5" t="s">
        <v>248</v>
      </c>
      <c r="Q122" s="5" t="s">
        <v>249</v>
      </c>
      <c r="R122" s="5" t="s">
        <v>145</v>
      </c>
      <c r="S122" s="10"/>
      <c r="T122" s="11"/>
      <c r="U122" s="11"/>
      <c r="V122" s="10"/>
      <c r="W122" s="10"/>
      <c r="X122" s="11"/>
      <c r="Y122" s="11"/>
      <c r="Z122" s="10"/>
      <c r="AA122" s="10"/>
      <c r="AB122" s="10"/>
      <c r="AC122" s="10"/>
      <c r="AD122" s="10"/>
      <c r="AE122" s="10"/>
      <c r="AF122" s="10"/>
      <c r="AG122" s="10"/>
      <c r="AH122" s="10"/>
    </row>
    <row r="123" spans="1:34" ht="15.75" customHeight="1">
      <c r="A123" s="5"/>
      <c r="B123" s="5" t="s">
        <v>390</v>
      </c>
      <c r="C123" s="6" t="s">
        <v>278</v>
      </c>
      <c r="D123" s="7" t="s">
        <v>391</v>
      </c>
      <c r="E123" s="8">
        <v>64610</v>
      </c>
      <c r="F123" s="6" cm="1">
        <f t="array" ref="F123">_xlfn.IFS(
E123&lt;=$E$245,0,
E123&lt;=$E$246,1,
E123&lt;=$E$247,2,
E123&gt;=$E$247,3)</f>
        <v>0</v>
      </c>
      <c r="G123" s="7" cm="1">
        <f t="array" ref="G123">_xlfn.IFS(
OR(D123="Aerospace",D123="Aerospace &amp; Defense",D123="Agricultural Equipment",D123="Airlines",D123="Automotive",D123="Automotive &amp; Energy",D123="Automotive Components",D123="Aviation",D123="Building Materials",D123="Chemicals",D123="Commercial Vehicles",D123="Conglomerate &amp; Defense",D123="Conglomerate &amp; Energy",D123="Construction",D123="Construction &amp; Infrastructure",D123="Construction &amp; Real Estate",D123="Construction &amp; Telecom",D123="Discount Retail",D123="Energy Management",D123="Energy Technology",D123="Engines &amp; Power Systems",D123="Environmental Services",D123="Food Distribution",D123="Food Services",D123="Grocery Retail",D123="Healthcare &amp; Pharmacy",D123="Home Improvement Retail",D123="Industrial Engineering &amp; Electronics",D123="Oilfield Services",D123="Pharmaceuticals",D123="Pharmaceuticals &amp; Chemicals",D123="Pharmaceuticals &amp; Healthcare",D123="Pharmacy Retail",D123="Postal &amp; Logistics",D123="Retail",D123="Retail &amp; Distribution",D123="Retail &amp; Grocery",D123="Retail (IKEA)",D123="Tobacco",D123="Trading &amp; Conglomerate",D123="Utilities",D123="Utilities &amp; Energy",D123="Wholesale Retail"),2,
OR(D123="Agribusiness",D123="Automotive &amp; Heavy Vehicles",D123="Chemicals",D123="Commercial Vehicles",D123="Construction",D123="Construction &amp; Infrastructure",D123="Engines &amp; Power Systems",D123="Food Processing",D123="Healthcare",D123="Healthcare &amp; Medical Devices",D123="Heavy Equipment",D123="Heavy Industry",D123="Industrial Gases",D123="Industrial Manufacturing",D123="Logistics",D123="Medical Devices",D123="Mining",D123="Mining &amp; Commodities Trading",D123="Oil &amp; Gas",D123="Oilfield Services",D123="Rail Transport",D123="Shipping &amp; Logistics",D123="Steel"),3,
OR(D123="Apparel &amp; Footwear",D123="Beverage",D123="Coffeehouse &amp; Retail",D123="Conglomerate",D123="Consumer Goods",D123="Convenience Retail",D123="Electronics",D123="Electronics &amp; Semiconductors",D123="Electronics Retail",D123="Fashion Retail",D123="Food &amp; Beverage",D123="Food Retail &amp; Consumer Goods",D123="Industrial &amp; Technology",D123="Industrial Automation",D123="Industrial Technology",D123="Postal &amp; Financial Services",D123="Postal Services",D123="Scientific Instruments",D123="Technology Hardware",D123="Trading Company",D123="IT Consulting"),1,
OR(D123="Cosmetics",D123="E-commerce &amp; Cloud Computing",D123="Electronics &amp; Entertainment",D123="Entertainment &amp; Media",D123="Luxury Goods",D123="Media &amp; Telecommunications",D123="Networking Technology",D123="Real Estate Services",D123="Technology &amp; Consumer Electronics",D123="Telecommunications",D123="Telecommunications &amp; Investment"),1,
OR(D123="Asset Management",D123="Banking",D123="Banking &amp; Asset Services",D123="Banking &amp; Financial Services",D123="Banking &amp; Wealth Management",D123="Cloud Software",D123="Enterprise Software",D123="Financial Services",D123="Information Technology Consulting",D123="Investment Banking",D123="Social Media &amp; Technology",D123="Software &amp; Cloud Computing",D123="Technology &amp; Consulting",D123="Technology &amp; Internet Services",D123="Technology &amp; Software"),1,
TRUE,"Unmapped"
)</f>
        <v>3</v>
      </c>
      <c r="H123" s="5">
        <f>VLOOKUP(B123,'BIS + EDBA Final'!A:K,2,FALSE)</f>
        <v>2</v>
      </c>
      <c r="I123" s="5">
        <f>VLOOKUP(B123,'BIS + EDBA Final'!A:F,6,FALSE)</f>
        <v>1</v>
      </c>
      <c r="J123" s="5">
        <f>VLOOKUP(B123,'CBG Final'!A:B,2,FALSE)</f>
        <v>2</v>
      </c>
      <c r="K123" s="9">
        <f t="shared" si="1"/>
        <v>1.5</v>
      </c>
      <c r="L123" s="5" t="s">
        <v>392</v>
      </c>
      <c r="M123" s="5" t="s">
        <v>393</v>
      </c>
      <c r="N123" s="5" t="s">
        <v>394</v>
      </c>
      <c r="O123" s="5" t="s">
        <v>395</v>
      </c>
      <c r="P123" s="5" t="s">
        <v>396</v>
      </c>
      <c r="Q123" s="5" t="s">
        <v>397</v>
      </c>
      <c r="R123" s="5" t="s">
        <v>353</v>
      </c>
      <c r="S123" s="10"/>
      <c r="T123" s="11"/>
      <c r="U123" s="11"/>
      <c r="V123" s="10"/>
      <c r="W123" s="10"/>
      <c r="X123" s="10"/>
      <c r="Y123" s="10"/>
      <c r="Z123" s="10"/>
      <c r="AA123" s="10"/>
      <c r="AB123" s="10"/>
      <c r="AC123" s="10"/>
      <c r="AD123" s="10"/>
      <c r="AE123" s="10"/>
      <c r="AF123" s="10"/>
      <c r="AG123" s="10"/>
      <c r="AH123" s="10"/>
    </row>
    <row r="124" spans="1:34" ht="15.75" customHeight="1">
      <c r="A124" s="5"/>
      <c r="B124" s="5" t="s">
        <v>51</v>
      </c>
      <c r="C124" s="6" t="s">
        <v>52</v>
      </c>
      <c r="D124" s="7" t="s">
        <v>84</v>
      </c>
      <c r="E124" s="8">
        <v>75118</v>
      </c>
      <c r="F124" s="6" cm="1">
        <f t="array" ref="F124">_xlfn.IFS(
E124&lt;=$E$245,0,
E124&lt;=$E$246,1,
E124&lt;=$E$247,2,
E124&gt;=$E$247,3)</f>
        <v>0</v>
      </c>
      <c r="G124" s="7" cm="1">
        <f t="array" ref="G124">_xlfn.IFS(
OR(D124="Aerospace",D124="Aerospace &amp; Defense",D124="Agricultural Equipment",D124="Airlines",D124="Automotive",D124="Automotive &amp; Energy",D124="Automotive Components",D124="Aviation",D124="Building Materials",D124="Chemicals",D124="Commercial Vehicles",D124="Conglomerate &amp; Defense",D124="Conglomerate &amp; Energy",D124="Construction",D124="Construction &amp; Infrastructure",D124="Construction &amp; Real Estate",D124="Construction &amp; Telecom",D124="Discount Retail",D124="Energy Management",D124="Energy Technology",D124="Engines &amp; Power Systems",D124="Environmental Services",D124="Food Distribution",D124="Food Services",D124="Grocery Retail",D124="Healthcare &amp; Pharmacy",D124="Home Improvement Retail",D124="Industrial Engineering &amp; Electronics",D124="Oilfield Services",D124="Pharmaceuticals",D124="Pharmaceuticals &amp; Chemicals",D124="Pharmaceuticals &amp; Healthcare",D124="Pharmacy Retail",D124="Postal &amp; Logistics",D124="Retail",D124="Retail &amp; Distribution",D124="Retail &amp; Grocery",D124="Retail (IKEA)",D124="Tobacco",D124="Trading &amp; Conglomerate",D124="Utilities",D124="Utilities &amp; Energy",D124="Wholesale Retail"),2,
OR(D124="Agribusiness",D124="Automotive &amp; Heavy Vehicles",D124="Chemicals",D124="Commercial Vehicles",D124="Construction",D124="Construction &amp; Infrastructure",D124="Engines &amp; Power Systems",D124="Food Processing",D124="Healthcare",D124="Healthcare &amp; Medical Devices",D124="Heavy Equipment",D124="Heavy Industry",D124="Industrial Gases",D124="Industrial Manufacturing",D124="Logistics",D124="Medical Devices",D124="Mining",D124="Mining &amp; Commodities Trading",D124="Oil &amp; Gas",D124="Oilfield Services",D124="Rail Transport",D124="Shipping &amp; Logistics",D124="Steel"),3,
OR(D124="Apparel &amp; Footwear",D124="Beverage",D124="Coffeehouse &amp; Retail",D124="Conglomerate",D124="Consumer Goods",D124="Convenience Retail",D124="Electronics",D124="Electronics &amp; Semiconductors",D124="Electronics Retail",D124="Fashion Retail",D124="Food &amp; Beverage",D124="Food Retail &amp; Consumer Goods",D124="Industrial &amp; Technology",D124="Industrial Automation",D124="Industrial Technology",D124="Postal &amp; Financial Services",D124="Postal Services",D124="Scientific Instruments",D124="Technology Hardware",D124="Trading Company",D124="IT Consulting"),1,
OR(D124="Cosmetics",D124="E-commerce &amp; Cloud Computing",D124="Electronics &amp; Entertainment",D124="Entertainment &amp; Media",D124="Luxury Goods",D124="Media &amp; Telecommunications",D124="Networking Technology",D124="Real Estate Services",D124="Technology &amp; Consumer Electronics",D124="Telecommunications",D124="Telecommunications &amp; Investment"),1,
OR(D124="Asset Management",D124="Banking",D124="Banking &amp; Asset Services",D124="Banking &amp; Financial Services",D124="Banking &amp; Wealth Management",D124="Cloud Software",D124="Enterprise Software",D124="Financial Services",D124="Information Technology Consulting",D124="Investment Banking",D124="Social Media &amp; Technology",D124="Software &amp; Cloud Computing",D124="Technology &amp; Consulting",D124="Technology &amp; Internet Services",D124="Technology &amp; Software"),1,
TRUE,"Unmapped"
)</f>
        <v>3</v>
      </c>
      <c r="H124" s="5">
        <f>VLOOKUP(B124,'BIS + EDBA Final'!A:K,2,FALSE)</f>
        <v>2</v>
      </c>
      <c r="I124" s="5">
        <f>VLOOKUP(B124,'BIS + EDBA Final'!A:F,6,FALSE)</f>
        <v>1</v>
      </c>
      <c r="J124" s="5">
        <f>VLOOKUP(B124,'CBG Final'!A:B,2,FALSE)</f>
        <v>2</v>
      </c>
      <c r="K124" s="9">
        <f t="shared" si="1"/>
        <v>1.5</v>
      </c>
      <c r="L124" s="5" t="s">
        <v>347</v>
      </c>
      <c r="M124" s="5" t="s">
        <v>348</v>
      </c>
      <c r="N124" s="5" t="s">
        <v>349</v>
      </c>
      <c r="O124" s="5" t="s">
        <v>350</v>
      </c>
      <c r="P124" s="5" t="s">
        <v>351</v>
      </c>
      <c r="Q124" s="5" t="s">
        <v>33</v>
      </c>
      <c r="R124" s="5" t="s">
        <v>344</v>
      </c>
      <c r="S124" s="10"/>
      <c r="T124" s="11"/>
      <c r="U124" s="11"/>
      <c r="V124" s="10"/>
      <c r="W124" s="10"/>
      <c r="X124" s="11"/>
      <c r="Y124" s="11"/>
      <c r="Z124" s="10"/>
      <c r="AA124" s="10"/>
      <c r="AB124" s="10"/>
      <c r="AC124" s="10"/>
      <c r="AD124" s="10"/>
      <c r="AE124" s="10"/>
      <c r="AF124" s="10"/>
      <c r="AG124" s="10"/>
      <c r="AH124" s="10"/>
    </row>
    <row r="125" spans="1:34" ht="15.75" customHeight="1">
      <c r="A125" s="5"/>
      <c r="B125" s="5" t="s">
        <v>170</v>
      </c>
      <c r="C125" s="6" t="s">
        <v>36</v>
      </c>
      <c r="D125" s="7" t="s">
        <v>86</v>
      </c>
      <c r="E125" s="8">
        <v>171000</v>
      </c>
      <c r="F125" s="6" cm="1">
        <f t="array" ref="F125">_xlfn.IFS(
E125&lt;=$E$245,0,
E125&lt;=$E$246,1,
E125&lt;=$E$247,2,
E125&gt;=$E$247,3)</f>
        <v>2</v>
      </c>
      <c r="G125" s="7" cm="1">
        <f t="array" ref="G125">_xlfn.IFS(
OR(D125="Aerospace",D125="Aerospace &amp; Defense",D125="Agricultural Equipment",D125="Airlines",D125="Automotive",D125="Automotive &amp; Energy",D125="Automotive Components",D125="Aviation",D125="Building Materials",D125="Chemicals",D125="Commercial Vehicles",D125="Conglomerate &amp; Defense",D125="Conglomerate &amp; Energy",D125="Construction",D125="Construction &amp; Infrastructure",D125="Construction &amp; Real Estate",D125="Construction &amp; Telecom",D125="Discount Retail",D125="Energy Management",D125="Energy Technology",D125="Engines &amp; Power Systems",D125="Environmental Services",D125="Food Distribution",D125="Food Services",D125="Grocery Retail",D125="Healthcare &amp; Pharmacy",D125="Home Improvement Retail",D125="Industrial Engineering &amp; Electronics",D125="Oilfield Services",D125="Pharmaceuticals",D125="Pharmaceuticals &amp; Chemicals",D125="Pharmaceuticals &amp; Healthcare",D125="Pharmacy Retail",D125="Postal &amp; Logistics",D125="Retail",D125="Retail &amp; Distribution",D125="Retail &amp; Grocery",D125="Retail (IKEA)",D125="Tobacco",D125="Trading &amp; Conglomerate",D125="Utilities",D125="Utilities &amp; Energy",D125="Wholesale Retail"),2,
OR(D125="Agribusiness",D125="Automotive &amp; Heavy Vehicles",D125="Chemicals",D125="Commercial Vehicles",D125="Construction",D125="Construction &amp; Infrastructure",D125="Engines &amp; Power Systems",D125="Food Processing",D125="Healthcare",D125="Healthcare &amp; Medical Devices",D125="Heavy Equipment",D125="Heavy Industry",D125="Industrial Gases",D125="Industrial Manufacturing",D125="Logistics",D125="Medical Devices",D125="Mining",D125="Mining &amp; Commodities Trading",D125="Oil &amp; Gas",D125="Oilfield Services",D125="Rail Transport",D125="Shipping &amp; Logistics",D125="Steel"),3,
OR(D125="Apparel &amp; Footwear",D125="Beverage",D125="Coffeehouse &amp; Retail",D125="Conglomerate",D125="Consumer Goods",D125="Convenience Retail",D125="Electronics",D125="Electronics &amp; Semiconductors",D125="Electronics Retail",D125="Fashion Retail",D125="Food &amp; Beverage",D125="Food Retail &amp; Consumer Goods",D125="Industrial &amp; Technology",D125="Industrial Automation",D125="Industrial Technology",D125="Postal &amp; Financial Services",D125="Postal Services",D125="Scientific Instruments",D125="Technology Hardware",D125="Trading Company",D125="IT Consulting"),1,
OR(D125="Cosmetics",D125="E-commerce &amp; Cloud Computing",D125="Electronics &amp; Entertainment",D125="Entertainment &amp; Media",D125="Luxury Goods",D125="Media &amp; Telecommunications",D125="Networking Technology",D125="Real Estate Services",D125="Technology &amp; Consumer Electronics",D125="Telecommunications",D125="Telecommunications &amp; Investment"),1,
OR(D125="Asset Management",D125="Banking",D125="Banking &amp; Asset Services",D125="Banking &amp; Financial Services",D125="Banking &amp; Wealth Management",D125="Cloud Software",D125="Enterprise Software",D125="Financial Services",D125="Information Technology Consulting",D125="Investment Banking",D125="Social Media &amp; Technology",D125="Software &amp; Cloud Computing",D125="Technology &amp; Consulting",D125="Technology &amp; Internet Services",D125="Technology &amp; Software"),1,
TRUE,"Unmapped"
)</f>
        <v>2</v>
      </c>
      <c r="H125" s="5">
        <v>1</v>
      </c>
      <c r="I125" s="5">
        <f>VLOOKUP(B125,'BIS + EDBA Final'!A:F,6,FALSE)</f>
        <v>-1</v>
      </c>
      <c r="J125" s="5">
        <f>VLOOKUP(B125,'CBG Final'!A:B,2,FALSE)</f>
        <v>2</v>
      </c>
      <c r="K125" s="9">
        <f t="shared" si="1"/>
        <v>1.5</v>
      </c>
      <c r="L125" s="5" t="s">
        <v>897</v>
      </c>
      <c r="M125" s="5" t="s">
        <v>759</v>
      </c>
      <c r="N125" s="5" t="s">
        <v>898</v>
      </c>
      <c r="O125" s="5" t="s">
        <v>899</v>
      </c>
      <c r="P125" s="5" t="s">
        <v>900</v>
      </c>
      <c r="Q125" s="5" t="s">
        <v>33</v>
      </c>
      <c r="R125" s="5" t="s">
        <v>20</v>
      </c>
      <c r="S125" s="10"/>
      <c r="T125" s="11"/>
      <c r="U125" s="11"/>
      <c r="V125" s="10"/>
      <c r="W125" s="10"/>
      <c r="X125" s="11"/>
      <c r="Y125" s="11"/>
      <c r="Z125" s="10"/>
      <c r="AA125" s="10"/>
      <c r="AB125" s="10"/>
      <c r="AC125" s="10"/>
      <c r="AD125" s="10"/>
      <c r="AE125" s="10"/>
      <c r="AF125" s="10"/>
      <c r="AG125" s="10"/>
      <c r="AH125" s="10"/>
    </row>
    <row r="126" spans="1:34" ht="15.75" customHeight="1">
      <c r="A126" s="5"/>
      <c r="B126" s="5" t="s">
        <v>80</v>
      </c>
      <c r="C126" s="6" t="s">
        <v>36</v>
      </c>
      <c r="D126" s="7" t="s">
        <v>81</v>
      </c>
      <c r="E126" s="8">
        <v>183323</v>
      </c>
      <c r="F126" s="6" cm="1">
        <f t="array" ref="F126">_xlfn.IFS(
E126&lt;=$E$245,0,
E126&lt;=$E$246,1,
E126&lt;=$E$247,2,
E126&gt;=$E$247,3)</f>
        <v>2</v>
      </c>
      <c r="G126" s="7" cm="1">
        <f t="array" ref="G126">_xlfn.IFS(
OR(D126="Aerospace",D126="Aerospace &amp; Defense",D126="Agricultural Equipment",D126="Airlines",D126="Automotive",D126="Automotive &amp; Energy",D126="Automotive Components",D126="Aviation",D126="Building Materials",D126="Chemicals",D126="Commercial Vehicles",D126="Conglomerate &amp; Defense",D126="Conglomerate &amp; Energy",D126="Construction",D126="Construction &amp; Infrastructure",D126="Construction &amp; Real Estate",D126="Construction &amp; Telecom",D126="Discount Retail",D126="Energy Management",D126="Energy Technology",D126="Engines &amp; Power Systems",D126="Environmental Services",D126="Food Distribution",D126="Food Services",D126="Grocery Retail",D126="Healthcare &amp; Pharmacy",D126="Home Improvement Retail",D126="Industrial Engineering &amp; Electronics",D126="Oilfield Services",D126="Pharmaceuticals",D126="Pharmaceuticals &amp; Chemicals",D126="Pharmaceuticals &amp; Healthcare",D126="Pharmacy Retail",D126="Postal &amp; Logistics",D126="Retail",D126="Retail &amp; Distribution",D126="Retail &amp; Grocery",D126="Retail (IKEA)",D126="Tobacco",D126="Trading &amp; Conglomerate",D126="Utilities",D126="Utilities &amp; Energy",D126="Wholesale Retail"),2,
OR(D126="Agribusiness",D126="Automotive &amp; Heavy Vehicles",D126="Chemicals",D126="Commercial Vehicles",D126="Construction",D126="Construction &amp; Infrastructure",D126="Engines &amp; Power Systems",D126="Food Processing",D126="Healthcare",D126="Healthcare &amp; Medical Devices",D126="Heavy Equipment",D126="Heavy Industry",D126="Industrial Gases",D126="Industrial Manufacturing",D126="Logistics",D126="Medical Devices",D126="Mining",D126="Mining &amp; Commodities Trading",D126="Oil &amp; Gas",D126="Oilfield Services",D126="Rail Transport",D126="Shipping &amp; Logistics",D126="Steel"),3,
OR(D126="Apparel &amp; Footwear",D126="Beverage",D126="Coffeehouse &amp; Retail",D126="Conglomerate",D126="Consumer Goods",D126="Convenience Retail",D126="Electronics",D126="Electronics &amp; Semiconductors",D126="Electronics Retail",D126="Fashion Retail",D126="Food &amp; Beverage",D126="Food Retail &amp; Consumer Goods",D126="Industrial &amp; Technology",D126="Industrial Automation",D126="Industrial Technology",D126="Postal &amp; Financial Services",D126="Postal Services",D126="Scientific Instruments",D126="Technology Hardware",D126="Trading Company",D126="IT Consulting"),1,
OR(D126="Cosmetics",D126="E-commerce &amp; Cloud Computing",D126="Electronics &amp; Entertainment",D126="Entertainment &amp; Media",D126="Luxury Goods",D126="Media &amp; Telecommunications",D126="Networking Technology",D126="Real Estate Services",D126="Technology &amp; Consumer Electronics",D126="Telecommunications",D126="Telecommunications &amp; Investment"),1,
OR(D126="Asset Management",D126="Banking",D126="Banking &amp; Asset Services",D126="Banking &amp; Financial Services",D126="Banking &amp; Wealth Management",D126="Cloud Software",D126="Enterprise Software",D126="Financial Services",D126="Information Technology Consulting",D126="Investment Banking",D126="Social Media &amp; Technology",D126="Software &amp; Cloud Computing",D126="Technology &amp; Consulting",D126="Technology &amp; Internet Services",D126="Technology &amp; Software"),1,
TRUE,"Unmapped"
)</f>
        <v>1</v>
      </c>
      <c r="H126" s="5">
        <v>1</v>
      </c>
      <c r="I126" s="5">
        <f>VLOOKUP(B126,'BIS + EDBA Final'!A:F,6,FALSE)</f>
        <v>-1</v>
      </c>
      <c r="J126" s="5">
        <f>VLOOKUP(B126,'CBG Final'!A:B,2,FALSE)</f>
        <v>3</v>
      </c>
      <c r="K126" s="9">
        <f t="shared" si="1"/>
        <v>1.5</v>
      </c>
      <c r="L126" s="5" t="s">
        <v>515</v>
      </c>
      <c r="M126" s="5" t="s">
        <v>516</v>
      </c>
      <c r="N126" s="5" t="s">
        <v>517</v>
      </c>
      <c r="O126" s="5" t="s">
        <v>518</v>
      </c>
      <c r="P126" s="5" t="s">
        <v>519</v>
      </c>
      <c r="Q126" s="5" t="s">
        <v>180</v>
      </c>
      <c r="R126" s="5" t="s">
        <v>136</v>
      </c>
      <c r="S126" s="10"/>
      <c r="T126" s="11"/>
      <c r="U126" s="11"/>
      <c r="V126" s="10"/>
      <c r="W126" s="10"/>
      <c r="X126" s="11"/>
      <c r="Y126" s="11"/>
      <c r="Z126" s="10"/>
      <c r="AA126" s="10"/>
      <c r="AB126" s="10"/>
      <c r="AC126" s="10"/>
      <c r="AD126" s="10"/>
      <c r="AE126" s="10"/>
      <c r="AF126" s="10"/>
      <c r="AG126" s="10"/>
      <c r="AH126" s="10"/>
    </row>
    <row r="127" spans="1:34" ht="15.75" customHeight="1">
      <c r="A127" s="5"/>
      <c r="B127" s="5" t="s">
        <v>786</v>
      </c>
      <c r="C127" s="6" t="s">
        <v>36</v>
      </c>
      <c r="D127" s="7" t="s">
        <v>212</v>
      </c>
      <c r="E127" s="8">
        <v>117000</v>
      </c>
      <c r="F127" s="6" cm="1">
        <f t="array" ref="F127">_xlfn.IFS(
E127&lt;=$E$245,0,
E127&lt;=$E$246,1,
E127&lt;=$E$247,2,
E127&gt;=$E$247,3)</f>
        <v>2</v>
      </c>
      <c r="G127" s="7" cm="1">
        <f t="array" ref="G127">_xlfn.IFS(
OR(D127="Aerospace",D127="Aerospace &amp; Defense",D127="Agricultural Equipment",D127="Airlines",D127="Automotive",D127="Automotive &amp; Energy",D127="Automotive Components",D127="Aviation",D127="Building Materials",D127="Chemicals",D127="Commercial Vehicles",D127="Conglomerate &amp; Defense",D127="Conglomerate &amp; Energy",D127="Construction",D127="Construction &amp; Infrastructure",D127="Construction &amp; Real Estate",D127="Construction &amp; Telecom",D127="Discount Retail",D127="Energy Management",D127="Energy Technology",D127="Engines &amp; Power Systems",D127="Environmental Services",D127="Food Distribution",D127="Food Services",D127="Grocery Retail",D127="Healthcare &amp; Pharmacy",D127="Home Improvement Retail",D127="Industrial Engineering &amp; Electronics",D127="Oilfield Services",D127="Pharmaceuticals",D127="Pharmaceuticals &amp; Chemicals",D127="Pharmaceuticals &amp; Healthcare",D127="Pharmacy Retail",D127="Postal &amp; Logistics",D127="Retail",D127="Retail &amp; Distribution",D127="Retail &amp; Grocery",D127="Retail (IKEA)",D127="Tobacco",D127="Trading &amp; Conglomerate",D127="Utilities",D127="Utilities &amp; Energy",D127="Wholesale Retail"),2,
OR(D127="Agribusiness",D127="Automotive &amp; Heavy Vehicles",D127="Chemicals",D127="Commercial Vehicles",D127="Construction",D127="Construction &amp; Infrastructure",D127="Engines &amp; Power Systems",D127="Food Processing",D127="Healthcare",D127="Healthcare &amp; Medical Devices",D127="Heavy Equipment",D127="Heavy Industry",D127="Industrial Gases",D127="Industrial Manufacturing",D127="Logistics",D127="Medical Devices",D127="Mining",D127="Mining &amp; Commodities Trading",D127="Oil &amp; Gas",D127="Oilfield Services",D127="Rail Transport",D127="Shipping &amp; Logistics",D127="Steel"),3,
OR(D127="Apparel &amp; Footwear",D127="Beverage",D127="Coffeehouse &amp; Retail",D127="Conglomerate",D127="Consumer Goods",D127="Convenience Retail",D127="Electronics",D127="Electronics &amp; Semiconductors",D127="Electronics Retail",D127="Fashion Retail",D127="Food &amp; Beverage",D127="Food Retail &amp; Consumer Goods",D127="Industrial &amp; Technology",D127="Industrial Automation",D127="Industrial Technology",D127="Postal &amp; Financial Services",D127="Postal Services",D127="Scientific Instruments",D127="Technology Hardware",D127="Trading Company",D127="IT Consulting"),1,
OR(D127="Cosmetics",D127="E-commerce &amp; Cloud Computing",D127="Electronics &amp; Entertainment",D127="Entertainment &amp; Media",D127="Luxury Goods",D127="Media &amp; Telecommunications",D127="Networking Technology",D127="Real Estate Services",D127="Technology &amp; Consumer Electronics",D127="Telecommunications",D127="Telecommunications &amp; Investment"),1,
OR(D127="Asset Management",D127="Banking",D127="Banking &amp; Asset Services",D127="Banking &amp; Financial Services",D127="Banking &amp; Wealth Management",D127="Cloud Software",D127="Enterprise Software",D127="Financial Services",D127="Information Technology Consulting",D127="Investment Banking",D127="Social Media &amp; Technology",D127="Software &amp; Cloud Computing",D127="Technology &amp; Consulting",D127="Technology &amp; Internet Services",D127="Technology &amp; Software"),1,
TRUE,"Unmapped"
)</f>
        <v>2</v>
      </c>
      <c r="H127" s="5">
        <v>1</v>
      </c>
      <c r="I127" s="5">
        <f>VLOOKUP(B127,'BIS + EDBA Final'!A:F,6,FALSE)</f>
        <v>1</v>
      </c>
      <c r="J127" s="5">
        <f>VLOOKUP(B127,'CBG Final'!A:B,2,FALSE)</f>
        <v>1</v>
      </c>
      <c r="K127" s="9">
        <f t="shared" si="1"/>
        <v>1.5</v>
      </c>
      <c r="L127" s="5" t="s">
        <v>901</v>
      </c>
      <c r="M127" s="5" t="s">
        <v>902</v>
      </c>
      <c r="N127" s="5" t="s">
        <v>903</v>
      </c>
      <c r="O127" s="5" t="s">
        <v>904</v>
      </c>
      <c r="P127" s="5" t="s">
        <v>905</v>
      </c>
      <c r="Q127" s="5" t="s">
        <v>906</v>
      </c>
      <c r="R127" s="5" t="s">
        <v>34</v>
      </c>
      <c r="S127" s="10"/>
      <c r="T127" s="11"/>
      <c r="U127" s="11"/>
      <c r="V127" s="10"/>
      <c r="W127" s="10"/>
      <c r="X127" s="10"/>
      <c r="Y127" s="10"/>
      <c r="Z127" s="10"/>
      <c r="AA127" s="10"/>
      <c r="AB127" s="10"/>
      <c r="AC127" s="10"/>
      <c r="AD127" s="10"/>
      <c r="AE127" s="10"/>
      <c r="AF127" s="10"/>
      <c r="AG127" s="10"/>
      <c r="AH127" s="10"/>
    </row>
    <row r="128" spans="1:34" ht="15.75" customHeight="1">
      <c r="A128" s="5"/>
      <c r="B128" s="5" t="s">
        <v>478</v>
      </c>
      <c r="C128" s="6" t="s">
        <v>62</v>
      </c>
      <c r="D128" s="7" t="s">
        <v>63</v>
      </c>
      <c r="E128" s="8">
        <v>107436</v>
      </c>
      <c r="F128" s="6" cm="1">
        <f t="array" ref="F128">_xlfn.IFS(
E128&lt;=$E$245,0,
E128&lt;=$E$246,1,
E128&lt;=$E$247,2,
E128&gt;=$E$247,3)</f>
        <v>1</v>
      </c>
      <c r="G128" s="7" cm="1">
        <f t="array" ref="G128">_xlfn.IFS(
OR(D128="Aerospace",D128="Aerospace &amp; Defense",D128="Agricultural Equipment",D128="Airlines",D128="Automotive",D128="Automotive &amp; Energy",D128="Automotive Components",D128="Aviation",D128="Building Materials",D128="Chemicals",D128="Commercial Vehicles",D128="Conglomerate &amp; Defense",D128="Conglomerate &amp; Energy",D128="Construction",D128="Construction &amp; Infrastructure",D128="Construction &amp; Real Estate",D128="Construction &amp; Telecom",D128="Discount Retail",D128="Energy Management",D128="Energy Technology",D128="Engines &amp; Power Systems",D128="Environmental Services",D128="Food Distribution",D128="Food Services",D128="Grocery Retail",D128="Healthcare &amp; Pharmacy",D128="Home Improvement Retail",D128="Industrial Engineering &amp; Electronics",D128="Oilfield Services",D128="Pharmaceuticals",D128="Pharmaceuticals &amp; Chemicals",D128="Pharmaceuticals &amp; Healthcare",D128="Pharmacy Retail",D128="Postal &amp; Logistics",D128="Retail",D128="Retail &amp; Distribution",D128="Retail &amp; Grocery",D128="Retail (IKEA)",D128="Tobacco",D128="Trading &amp; Conglomerate",D128="Utilities",D128="Utilities &amp; Energy",D128="Wholesale Retail"),2,
OR(D128="Agribusiness",D128="Automotive &amp; Heavy Vehicles",D128="Chemicals",D128="Commercial Vehicles",D128="Construction",D128="Construction &amp; Infrastructure",D128="Engines &amp; Power Systems",D128="Food Processing",D128="Healthcare",D128="Healthcare &amp; Medical Devices",D128="Heavy Equipment",D128="Heavy Industry",D128="Industrial Gases",D128="Industrial Manufacturing",D128="Logistics",D128="Medical Devices",D128="Mining",D128="Mining &amp; Commodities Trading",D128="Oil &amp; Gas",D128="Oilfield Services",D128="Rail Transport",D128="Shipping &amp; Logistics",D128="Steel"),3,
OR(D128="Apparel &amp; Footwear",D128="Beverage",D128="Coffeehouse &amp; Retail",D128="Conglomerate",D128="Consumer Goods",D128="Convenience Retail",D128="Electronics",D128="Electronics &amp; Semiconductors",D128="Electronics Retail",D128="Fashion Retail",D128="Food &amp; Beverage",D128="Food Retail &amp; Consumer Goods",D128="Industrial &amp; Technology",D128="Industrial Automation",D128="Industrial Technology",D128="Postal &amp; Financial Services",D128="Postal Services",D128="Scientific Instruments",D128="Technology Hardware",D128="Trading Company",D128="IT Consulting"),1,
OR(D128="Cosmetics",D128="E-commerce &amp; Cloud Computing",D128="Electronics &amp; Entertainment",D128="Entertainment &amp; Media",D128="Luxury Goods",D128="Media &amp; Telecommunications",D128="Networking Technology",D128="Real Estate Services",D128="Technology &amp; Consumer Electronics",D128="Telecommunications",D128="Telecommunications &amp; Investment"),1,
OR(D128="Asset Management",D128="Banking",D128="Banking &amp; Asset Services",D128="Banking &amp; Financial Services",D128="Banking &amp; Wealth Management",D128="Cloud Software",D128="Enterprise Software",D128="Financial Services",D128="Information Technology Consulting",D128="Investment Banking",D128="Social Media &amp; Technology",D128="Software &amp; Cloud Computing",D128="Technology &amp; Consulting",D128="Technology &amp; Internet Services",D128="Technology &amp; Software"),1,
TRUE,"Unmapped"
)</f>
        <v>2</v>
      </c>
      <c r="H128" s="5">
        <v>2</v>
      </c>
      <c r="I128" s="5">
        <f>VLOOKUP(B128,'BIS + EDBA Final'!A:F,6,FALSE)</f>
        <v>0</v>
      </c>
      <c r="J128" s="5">
        <f>VLOOKUP(B128,'CBG Final'!A:B,2,FALSE)</f>
        <v>2</v>
      </c>
      <c r="K128" s="9">
        <f t="shared" si="1"/>
        <v>1.5</v>
      </c>
      <c r="L128" s="5" t="s">
        <v>1299</v>
      </c>
      <c r="M128" s="5" t="s">
        <v>1286</v>
      </c>
      <c r="N128" s="5" t="s">
        <v>1300</v>
      </c>
      <c r="O128" s="5" t="s">
        <v>1301</v>
      </c>
      <c r="P128" s="5" t="s">
        <v>1302</v>
      </c>
      <c r="Q128" s="5" t="s">
        <v>587</v>
      </c>
      <c r="R128" s="5" t="s">
        <v>422</v>
      </c>
      <c r="S128" s="10"/>
      <c r="T128" s="11"/>
      <c r="U128" s="11"/>
      <c r="V128" s="10"/>
      <c r="W128" s="10"/>
      <c r="X128" s="11"/>
      <c r="Y128" s="11"/>
      <c r="Z128" s="10"/>
      <c r="AA128" s="10"/>
      <c r="AB128" s="10"/>
      <c r="AC128" s="10"/>
      <c r="AD128" s="10"/>
      <c r="AE128" s="10"/>
      <c r="AF128" s="10"/>
      <c r="AG128" s="10"/>
      <c r="AH128" s="10"/>
    </row>
    <row r="129" spans="1:34" ht="15.75" customHeight="1">
      <c r="A129" s="5"/>
      <c r="B129" s="5" t="s">
        <v>1239</v>
      </c>
      <c r="C129" s="6" t="s">
        <v>39</v>
      </c>
      <c r="D129" s="7" t="s">
        <v>86</v>
      </c>
      <c r="E129" s="8">
        <v>98636</v>
      </c>
      <c r="F129" s="6" cm="1">
        <f t="array" ref="F129">_xlfn.IFS(
E129&lt;=$E$245,0,
E129&lt;=$E$246,1,
E129&lt;=$E$247,2,
E129&gt;=$E$247,3)</f>
        <v>1</v>
      </c>
      <c r="G129" s="7" cm="1">
        <f t="array" ref="G129">_xlfn.IFS(
OR(D129="Aerospace",D129="Aerospace &amp; Defense",D129="Agricultural Equipment",D129="Airlines",D129="Automotive",D129="Automotive &amp; Energy",D129="Automotive Components",D129="Aviation",D129="Building Materials",D129="Chemicals",D129="Commercial Vehicles",D129="Conglomerate &amp; Defense",D129="Conglomerate &amp; Energy",D129="Construction",D129="Construction &amp; Infrastructure",D129="Construction &amp; Real Estate",D129="Construction &amp; Telecom",D129="Discount Retail",D129="Energy Management",D129="Energy Technology",D129="Engines &amp; Power Systems",D129="Environmental Services",D129="Food Distribution",D129="Food Services",D129="Grocery Retail",D129="Healthcare &amp; Pharmacy",D129="Home Improvement Retail",D129="Industrial Engineering &amp; Electronics",D129="Oilfield Services",D129="Pharmaceuticals",D129="Pharmaceuticals &amp; Chemicals",D129="Pharmaceuticals &amp; Healthcare",D129="Pharmacy Retail",D129="Postal &amp; Logistics",D129="Retail",D129="Retail &amp; Distribution",D129="Retail &amp; Grocery",D129="Retail (IKEA)",D129="Tobacco",D129="Trading &amp; Conglomerate",D129="Utilities",D129="Utilities &amp; Energy",D129="Wholesale Retail"),2,
OR(D129="Agribusiness",D129="Automotive &amp; Heavy Vehicles",D129="Chemicals",D129="Commercial Vehicles",D129="Construction",D129="Construction &amp; Infrastructure",D129="Engines &amp; Power Systems",D129="Food Processing",D129="Healthcare",D129="Healthcare &amp; Medical Devices",D129="Heavy Equipment",D129="Heavy Industry",D129="Industrial Gases",D129="Industrial Manufacturing",D129="Logistics",D129="Medical Devices",D129="Mining",D129="Mining &amp; Commodities Trading",D129="Oil &amp; Gas",D129="Oilfield Services",D129="Rail Transport",D129="Shipping &amp; Logistics",D129="Steel"),3,
OR(D129="Apparel &amp; Footwear",D129="Beverage",D129="Coffeehouse &amp; Retail",D129="Conglomerate",D129="Consumer Goods",D129="Convenience Retail",D129="Electronics",D129="Electronics &amp; Semiconductors",D129="Electronics Retail",D129="Fashion Retail",D129="Food &amp; Beverage",D129="Food Retail &amp; Consumer Goods",D129="Industrial &amp; Technology",D129="Industrial Automation",D129="Industrial Technology",D129="Postal &amp; Financial Services",D129="Postal Services",D129="Scientific Instruments",D129="Technology Hardware",D129="Trading Company",D129="IT Consulting"),1,
OR(D129="Cosmetics",D129="E-commerce &amp; Cloud Computing",D129="Electronics &amp; Entertainment",D129="Entertainment &amp; Media",D129="Luxury Goods",D129="Media &amp; Telecommunications",D129="Networking Technology",D129="Real Estate Services",D129="Technology &amp; Consumer Electronics",D129="Telecommunications",D129="Telecommunications &amp; Investment"),1,
OR(D129="Asset Management",D129="Banking",D129="Banking &amp; Asset Services",D129="Banking &amp; Financial Services",D129="Banking &amp; Wealth Management",D129="Cloud Software",D129="Enterprise Software",D129="Financial Services",D129="Information Technology Consulting",D129="Investment Banking",D129="Social Media &amp; Technology",D129="Software &amp; Cloud Computing",D129="Technology &amp; Consulting",D129="Technology &amp; Internet Services",D129="Technology &amp; Software"),1,
TRUE,"Unmapped"
)</f>
        <v>2</v>
      </c>
      <c r="H129" s="5">
        <v>1</v>
      </c>
      <c r="I129" s="5">
        <f>VLOOKUP(B129,'BIS + EDBA Final'!A:F,6,FALSE)</f>
        <v>0</v>
      </c>
      <c r="J129" s="5">
        <f>VLOOKUP(B129,'CBG Final'!A:B,2,FALSE)</f>
        <v>3</v>
      </c>
      <c r="K129" s="9">
        <f t="shared" si="1"/>
        <v>1.5</v>
      </c>
      <c r="L129" s="5" t="s">
        <v>1240</v>
      </c>
      <c r="M129" s="5" t="s">
        <v>862</v>
      </c>
      <c r="N129" s="5" t="s">
        <v>1241</v>
      </c>
      <c r="O129" s="5" t="s">
        <v>1242</v>
      </c>
      <c r="P129" s="5" t="s">
        <v>1243</v>
      </c>
      <c r="Q129" s="5" t="s">
        <v>30</v>
      </c>
      <c r="R129" s="5" t="s">
        <v>20</v>
      </c>
      <c r="S129" s="10"/>
      <c r="T129" s="11"/>
      <c r="U129" s="11"/>
      <c r="V129" s="10"/>
      <c r="W129" s="10"/>
      <c r="X129" s="11"/>
      <c r="Y129" s="11"/>
      <c r="Z129" s="10"/>
      <c r="AA129" s="10"/>
      <c r="AB129" s="10"/>
      <c r="AC129" s="10"/>
      <c r="AD129" s="10"/>
      <c r="AE129" s="10"/>
      <c r="AF129" s="10"/>
      <c r="AG129" s="10"/>
      <c r="AH129" s="10"/>
    </row>
    <row r="130" spans="1:34" ht="15.75" customHeight="1">
      <c r="A130" s="5"/>
      <c r="B130" s="5" t="s">
        <v>628</v>
      </c>
      <c r="C130" s="6" t="s">
        <v>71</v>
      </c>
      <c r="D130" s="7" t="s">
        <v>629</v>
      </c>
      <c r="E130" s="8">
        <v>92815</v>
      </c>
      <c r="F130" s="6" cm="1">
        <f t="array" ref="F130">_xlfn.IFS(
E130&lt;=$E$245,0,
E130&lt;=$E$246,1,
E130&lt;=$E$247,2,
E130&gt;=$E$247,3)</f>
        <v>1</v>
      </c>
      <c r="G130" s="7" cm="1">
        <f t="array" ref="G130">_xlfn.IFS(
OR(D130="Aerospace",D130="Aerospace &amp; Defense",D130="Agricultural Equipment",D130="Airlines",D130="Automotive",D130="Automotive &amp; Energy",D130="Automotive Components",D130="Aviation",D130="Building Materials",D130="Chemicals",D130="Commercial Vehicles",D130="Conglomerate &amp; Defense",D130="Conglomerate &amp; Energy",D130="Construction",D130="Construction &amp; Infrastructure",D130="Construction &amp; Real Estate",D130="Construction &amp; Telecom",D130="Discount Retail",D130="Energy Management",D130="Energy Technology",D130="Engines &amp; Power Systems",D130="Environmental Services",D130="Food Distribution",D130="Food Services",D130="Grocery Retail",D130="Healthcare &amp; Pharmacy",D130="Home Improvement Retail",D130="Industrial Engineering &amp; Electronics",D130="Oilfield Services",D130="Pharmaceuticals",D130="Pharmaceuticals &amp; Chemicals",D130="Pharmaceuticals &amp; Healthcare",D130="Pharmacy Retail",D130="Postal &amp; Logistics",D130="Retail",D130="Retail &amp; Distribution",D130="Retail &amp; Grocery",D130="Retail (IKEA)",D130="Tobacco",D130="Trading &amp; Conglomerate",D130="Utilities",D130="Utilities &amp; Energy",D130="Wholesale Retail"),2,
OR(D130="Agribusiness",D130="Automotive &amp; Heavy Vehicles",D130="Chemicals",D130="Commercial Vehicles",D130="Construction",D130="Construction &amp; Infrastructure",D130="Engines &amp; Power Systems",D130="Food Processing",D130="Healthcare",D130="Healthcare &amp; Medical Devices",D130="Heavy Equipment",D130="Heavy Industry",D130="Industrial Gases",D130="Industrial Manufacturing",D130="Logistics",D130="Medical Devices",D130="Mining",D130="Mining &amp; Commodities Trading",D130="Oil &amp; Gas",D130="Oilfield Services",D130="Rail Transport",D130="Shipping &amp; Logistics",D130="Steel"),3,
OR(D130="Apparel &amp; Footwear",D130="Beverage",D130="Coffeehouse &amp; Retail",D130="Conglomerate",D130="Consumer Goods",D130="Convenience Retail",D130="Electronics",D130="Electronics &amp; Semiconductors",D130="Electronics Retail",D130="Fashion Retail",D130="Food &amp; Beverage",D130="Food Retail &amp; Consumer Goods",D130="Industrial &amp; Technology",D130="Industrial Automation",D130="Industrial Technology",D130="Postal &amp; Financial Services",D130="Postal Services",D130="Scientific Instruments",D130="Technology Hardware",D130="Trading Company",D130="IT Consulting"),1,
OR(D130="Cosmetics",D130="E-commerce &amp; Cloud Computing",D130="Electronics &amp; Entertainment",D130="Entertainment &amp; Media",D130="Luxury Goods",D130="Media &amp; Telecommunications",D130="Networking Technology",D130="Real Estate Services",D130="Technology &amp; Consumer Electronics",D130="Telecommunications",D130="Telecommunications &amp; Investment"),1,
OR(D130="Asset Management",D130="Banking",D130="Banking &amp; Asset Services",D130="Banking &amp; Financial Services",D130="Banking &amp; Wealth Management",D130="Cloud Software",D130="Enterprise Software",D130="Financial Services",D130="Information Technology Consulting",D130="Investment Banking",D130="Social Media &amp; Technology",D130="Software &amp; Cloud Computing",D130="Technology &amp; Consulting",D130="Technology &amp; Internet Services",D130="Technology &amp; Software"),1,
TRUE,"Unmapped"
)</f>
        <v>2</v>
      </c>
      <c r="H130" s="5">
        <v>1</v>
      </c>
      <c r="I130" s="5">
        <f>VLOOKUP(B130,'BIS + EDBA Final'!A:F,6,FALSE)</f>
        <v>0</v>
      </c>
      <c r="J130" s="5">
        <f>VLOOKUP(B130,'CBG Final'!A:B,2,FALSE)</f>
        <v>3</v>
      </c>
      <c r="K130" s="9">
        <f t="shared" ref="K130:K193" si="2">0.3*F130+0.2*G130+0.2*H130+I130*0.1+J130*0.2</f>
        <v>1.5</v>
      </c>
      <c r="L130" s="5" t="s">
        <v>630</v>
      </c>
      <c r="M130" s="5" t="s">
        <v>27</v>
      </c>
      <c r="N130" s="5" t="s">
        <v>631</v>
      </c>
      <c r="O130" s="5"/>
      <c r="P130" s="5" t="s">
        <v>632</v>
      </c>
      <c r="Q130" s="5" t="s">
        <v>633</v>
      </c>
      <c r="R130" s="5" t="s">
        <v>20</v>
      </c>
      <c r="S130" s="10"/>
      <c r="T130" s="11"/>
      <c r="U130" s="11"/>
      <c r="V130" s="10"/>
      <c r="W130" s="10"/>
      <c r="X130" s="10"/>
      <c r="Y130" s="10"/>
      <c r="Z130" s="10"/>
      <c r="AA130" s="10"/>
      <c r="AB130" s="10"/>
      <c r="AC130" s="10"/>
      <c r="AD130" s="10"/>
      <c r="AE130" s="10"/>
      <c r="AF130" s="10"/>
      <c r="AG130" s="10"/>
      <c r="AH130" s="10"/>
    </row>
    <row r="131" spans="1:34" ht="15.75" customHeight="1">
      <c r="A131" s="5"/>
      <c r="B131" s="5" t="s">
        <v>1250</v>
      </c>
      <c r="C131" s="6" t="s">
        <v>94</v>
      </c>
      <c r="D131" s="7" t="s">
        <v>391</v>
      </c>
      <c r="E131" s="8">
        <v>59594</v>
      </c>
      <c r="F131" s="6" cm="1">
        <f t="array" ref="F131">_xlfn.IFS(
E131&lt;=$E$245,0,
E131&lt;=$E$246,1,
E131&lt;=$E$247,2,
E131&gt;=$E$247,3)</f>
        <v>0</v>
      </c>
      <c r="G131" s="7" cm="1">
        <f t="array" ref="G131">_xlfn.IFS(
OR(D131="Aerospace",D131="Aerospace &amp; Defense",D131="Agricultural Equipment",D131="Airlines",D131="Automotive",D131="Automotive &amp; Energy",D131="Automotive Components",D131="Aviation",D131="Building Materials",D131="Chemicals",D131="Commercial Vehicles",D131="Conglomerate &amp; Defense",D131="Conglomerate &amp; Energy",D131="Construction",D131="Construction &amp; Infrastructure",D131="Construction &amp; Real Estate",D131="Construction &amp; Telecom",D131="Discount Retail",D131="Energy Management",D131="Energy Technology",D131="Engines &amp; Power Systems",D131="Environmental Services",D131="Food Distribution",D131="Food Services",D131="Grocery Retail",D131="Healthcare &amp; Pharmacy",D131="Home Improvement Retail",D131="Industrial Engineering &amp; Electronics",D131="Oilfield Services",D131="Pharmaceuticals",D131="Pharmaceuticals &amp; Chemicals",D131="Pharmaceuticals &amp; Healthcare",D131="Pharmacy Retail",D131="Postal &amp; Logistics",D131="Retail",D131="Retail &amp; Distribution",D131="Retail &amp; Grocery",D131="Retail (IKEA)",D131="Tobacco",D131="Trading &amp; Conglomerate",D131="Utilities",D131="Utilities &amp; Energy",D131="Wholesale Retail"),2,
OR(D131="Agribusiness",D131="Automotive &amp; Heavy Vehicles",D131="Chemicals",D131="Commercial Vehicles",D131="Construction",D131="Construction &amp; Infrastructure",D131="Engines &amp; Power Systems",D131="Food Processing",D131="Healthcare",D131="Healthcare &amp; Medical Devices",D131="Heavy Equipment",D131="Heavy Industry",D131="Industrial Gases",D131="Industrial Manufacturing",D131="Logistics",D131="Medical Devices",D131="Mining",D131="Mining &amp; Commodities Trading",D131="Oil &amp; Gas",D131="Oilfield Services",D131="Rail Transport",D131="Shipping &amp; Logistics",D131="Steel"),3,
OR(D131="Apparel &amp; Footwear",D131="Beverage",D131="Coffeehouse &amp; Retail",D131="Conglomerate",D131="Consumer Goods",D131="Convenience Retail",D131="Electronics",D131="Electronics &amp; Semiconductors",D131="Electronics Retail",D131="Fashion Retail",D131="Food &amp; Beverage",D131="Food Retail &amp; Consumer Goods",D131="Industrial &amp; Technology",D131="Industrial Automation",D131="Industrial Technology",D131="Postal &amp; Financial Services",D131="Postal Services",D131="Scientific Instruments",D131="Technology Hardware",D131="Trading Company",D131="IT Consulting"),1,
OR(D131="Cosmetics",D131="E-commerce &amp; Cloud Computing",D131="Electronics &amp; Entertainment",D131="Entertainment &amp; Media",D131="Luxury Goods",D131="Media &amp; Telecommunications",D131="Networking Technology",D131="Real Estate Services",D131="Technology &amp; Consumer Electronics",D131="Telecommunications",D131="Telecommunications &amp; Investment"),1,
OR(D131="Asset Management",D131="Banking",D131="Banking &amp; Asset Services",D131="Banking &amp; Financial Services",D131="Banking &amp; Wealth Management",D131="Cloud Software",D131="Enterprise Software",D131="Financial Services",D131="Information Technology Consulting",D131="Investment Banking",D131="Social Media &amp; Technology",D131="Software &amp; Cloud Computing",D131="Technology &amp; Consulting",D131="Technology &amp; Internet Services",D131="Technology &amp; Software"),1,
TRUE,"Unmapped"
)</f>
        <v>3</v>
      </c>
      <c r="H131" s="5">
        <v>2</v>
      </c>
      <c r="I131" s="5">
        <f>VLOOKUP(B131,'BIS + EDBA Final'!A:F,6,FALSE)</f>
        <v>1</v>
      </c>
      <c r="J131" s="5">
        <f>VLOOKUP(B131,'CBG Final'!A:B,2,FALSE)</f>
        <v>2</v>
      </c>
      <c r="K131" s="9">
        <f t="shared" si="2"/>
        <v>1.5</v>
      </c>
      <c r="L131" s="5" t="s">
        <v>1251</v>
      </c>
      <c r="M131" s="5" t="s">
        <v>735</v>
      </c>
      <c r="N131" s="5" t="s">
        <v>1252</v>
      </c>
      <c r="O131" s="5" t="s">
        <v>1253</v>
      </c>
      <c r="P131" s="5" t="s">
        <v>1254</v>
      </c>
      <c r="Q131" s="5" t="s">
        <v>303</v>
      </c>
      <c r="R131" s="5" t="s">
        <v>422</v>
      </c>
      <c r="S131" s="10"/>
      <c r="T131" s="11"/>
      <c r="U131" s="11"/>
      <c r="V131" s="10"/>
      <c r="W131" s="10"/>
      <c r="X131" s="10"/>
      <c r="Y131" s="10"/>
      <c r="Z131" s="10"/>
      <c r="AA131" s="10"/>
      <c r="AB131" s="10"/>
      <c r="AC131" s="10"/>
      <c r="AD131" s="10"/>
      <c r="AE131" s="10"/>
      <c r="AF131" s="10"/>
      <c r="AG131" s="10"/>
      <c r="AH131" s="10"/>
    </row>
    <row r="132" spans="1:34" ht="15.75" customHeight="1">
      <c r="A132" s="5"/>
      <c r="B132" s="5" t="s">
        <v>83</v>
      </c>
      <c r="C132" s="6" t="s">
        <v>36</v>
      </c>
      <c r="D132" s="7" t="s">
        <v>84</v>
      </c>
      <c r="E132" s="8">
        <v>60900</v>
      </c>
      <c r="F132" s="6" cm="1">
        <f t="array" ref="F132">_xlfn.IFS(
E132&lt;=$E$245,0,
E132&lt;=$E$246,1,
E132&lt;=$E$247,2,
E132&gt;=$E$247,3)</f>
        <v>0</v>
      </c>
      <c r="G132" s="7" cm="1">
        <f t="array" ref="G132">_xlfn.IFS(
OR(D132="Aerospace",D132="Aerospace &amp; Defense",D132="Agricultural Equipment",D132="Airlines",D132="Automotive",D132="Automotive &amp; Energy",D132="Automotive Components",D132="Aviation",D132="Building Materials",D132="Chemicals",D132="Commercial Vehicles",D132="Conglomerate &amp; Defense",D132="Conglomerate &amp; Energy",D132="Construction",D132="Construction &amp; Infrastructure",D132="Construction &amp; Real Estate",D132="Construction &amp; Telecom",D132="Discount Retail",D132="Energy Management",D132="Energy Technology",D132="Engines &amp; Power Systems",D132="Environmental Services",D132="Food Distribution",D132="Food Services",D132="Grocery Retail",D132="Healthcare &amp; Pharmacy",D132="Home Improvement Retail",D132="Industrial Engineering &amp; Electronics",D132="Oilfield Services",D132="Pharmaceuticals",D132="Pharmaceuticals &amp; Chemicals",D132="Pharmaceuticals &amp; Healthcare",D132="Pharmacy Retail",D132="Postal &amp; Logistics",D132="Retail",D132="Retail &amp; Distribution",D132="Retail &amp; Grocery",D132="Retail (IKEA)",D132="Tobacco",D132="Trading &amp; Conglomerate",D132="Utilities",D132="Utilities &amp; Energy",D132="Wholesale Retail"),2,
OR(D132="Agribusiness",D132="Automotive &amp; Heavy Vehicles",D132="Chemicals",D132="Commercial Vehicles",D132="Construction",D132="Construction &amp; Infrastructure",D132="Engines &amp; Power Systems",D132="Food Processing",D132="Healthcare",D132="Healthcare &amp; Medical Devices",D132="Heavy Equipment",D132="Heavy Industry",D132="Industrial Gases",D132="Industrial Manufacturing",D132="Logistics",D132="Medical Devices",D132="Mining",D132="Mining &amp; Commodities Trading",D132="Oil &amp; Gas",D132="Oilfield Services",D132="Rail Transport",D132="Shipping &amp; Logistics",D132="Steel"),3,
OR(D132="Apparel &amp; Footwear",D132="Beverage",D132="Coffeehouse &amp; Retail",D132="Conglomerate",D132="Consumer Goods",D132="Convenience Retail",D132="Electronics",D132="Electronics &amp; Semiconductors",D132="Electronics Retail",D132="Fashion Retail",D132="Food &amp; Beverage",D132="Food Retail &amp; Consumer Goods",D132="Industrial &amp; Technology",D132="Industrial Automation",D132="Industrial Technology",D132="Postal &amp; Financial Services",D132="Postal Services",D132="Scientific Instruments",D132="Technology Hardware",D132="Trading Company",D132="IT Consulting"),1,
OR(D132="Cosmetics",D132="E-commerce &amp; Cloud Computing",D132="Electronics &amp; Entertainment",D132="Entertainment &amp; Media",D132="Luxury Goods",D132="Media &amp; Telecommunications",D132="Networking Technology",D132="Real Estate Services",D132="Technology &amp; Consumer Electronics",D132="Telecommunications",D132="Telecommunications &amp; Investment"),1,
OR(D132="Asset Management",D132="Banking",D132="Banking &amp; Asset Services",D132="Banking &amp; Financial Services",D132="Banking &amp; Wealth Management",D132="Cloud Software",D132="Enterprise Software",D132="Financial Services",D132="Information Technology Consulting",D132="Investment Banking",D132="Social Media &amp; Technology",D132="Software &amp; Cloud Computing",D132="Technology &amp; Consulting",D132="Technology &amp; Internet Services",D132="Technology &amp; Software"),1,
TRUE,"Unmapped"
)</f>
        <v>3</v>
      </c>
      <c r="H132" s="5">
        <v>1</v>
      </c>
      <c r="I132" s="5">
        <f>VLOOKUP(B132,'BIS + EDBA Final'!A:F,6,FALSE)</f>
        <v>1</v>
      </c>
      <c r="J132" s="5">
        <f>VLOOKUP(B132,'CBG Final'!A:B,2,FALSE)</f>
        <v>3</v>
      </c>
      <c r="K132" s="9">
        <f t="shared" si="2"/>
        <v>1.5</v>
      </c>
      <c r="L132" s="5" t="s">
        <v>889</v>
      </c>
      <c r="M132" s="5" t="s">
        <v>352</v>
      </c>
      <c r="N132" s="5" t="s">
        <v>890</v>
      </c>
      <c r="O132" s="5" t="s">
        <v>891</v>
      </c>
      <c r="P132" s="5" t="s">
        <v>892</v>
      </c>
      <c r="Q132" s="5" t="s">
        <v>29</v>
      </c>
      <c r="R132" s="5" t="s">
        <v>20</v>
      </c>
      <c r="S132" s="10"/>
      <c r="T132" s="11"/>
      <c r="U132" s="11"/>
      <c r="V132" s="10"/>
      <c r="W132" s="10"/>
      <c r="X132" s="11"/>
      <c r="Y132" s="11"/>
      <c r="Z132" s="10"/>
      <c r="AA132" s="10"/>
      <c r="AB132" s="10"/>
      <c r="AC132" s="10"/>
      <c r="AD132" s="10"/>
      <c r="AE132" s="10"/>
      <c r="AF132" s="10"/>
      <c r="AG132" s="10"/>
      <c r="AH132" s="10"/>
    </row>
    <row r="133" spans="1:34" ht="15.75" customHeight="1">
      <c r="A133" s="5"/>
      <c r="B133" s="5" t="s">
        <v>779</v>
      </c>
      <c r="C133" s="6" t="s">
        <v>36</v>
      </c>
      <c r="D133" s="7" t="s">
        <v>780</v>
      </c>
      <c r="E133" s="8">
        <v>69600</v>
      </c>
      <c r="F133" s="6" cm="1">
        <f t="array" ref="F133">_xlfn.IFS(
E133&lt;=$E$245,0,
E133&lt;=$E$246,1,
E133&lt;=$E$247,2,
E133&gt;=$E$247,3)</f>
        <v>0</v>
      </c>
      <c r="G133" s="7" cm="1">
        <f t="array" ref="G133">_xlfn.IFS(
OR(D133="Aerospace",D133="Aerospace &amp; Defense",D133="Agricultural Equipment",D133="Airlines",D133="Automotive",D133="Automotive &amp; Energy",D133="Automotive Components",D133="Aviation",D133="Building Materials",D133="Chemicals",D133="Commercial Vehicles",D133="Conglomerate &amp; Defense",D133="Conglomerate &amp; Energy",D133="Construction",D133="Construction &amp; Infrastructure",D133="Construction &amp; Real Estate",D133="Construction &amp; Telecom",D133="Discount Retail",D133="Energy Management",D133="Energy Technology",D133="Engines &amp; Power Systems",D133="Environmental Services",D133="Food Distribution",D133="Food Services",D133="Grocery Retail",D133="Healthcare &amp; Pharmacy",D133="Home Improvement Retail",D133="Industrial Engineering &amp; Electronics",D133="Oilfield Services",D133="Pharmaceuticals",D133="Pharmaceuticals &amp; Chemicals",D133="Pharmaceuticals &amp; Healthcare",D133="Pharmacy Retail",D133="Postal &amp; Logistics",D133="Retail",D133="Retail &amp; Distribution",D133="Retail &amp; Grocery",D133="Retail (IKEA)",D133="Tobacco",D133="Trading &amp; Conglomerate",D133="Utilities",D133="Utilities &amp; Energy",D133="Wholesale Retail"),2,
OR(D133="Agribusiness",D133="Automotive &amp; Heavy Vehicles",D133="Chemicals",D133="Commercial Vehicles",D133="Construction",D133="Construction &amp; Infrastructure",D133="Engines &amp; Power Systems",D133="Food Processing",D133="Healthcare",D133="Healthcare &amp; Medical Devices",D133="Heavy Equipment",D133="Heavy Industry",D133="Industrial Gases",D133="Industrial Manufacturing",D133="Logistics",D133="Medical Devices",D133="Mining",D133="Mining &amp; Commodities Trading",D133="Oil &amp; Gas",D133="Oilfield Services",D133="Rail Transport",D133="Shipping &amp; Logistics",D133="Steel"),3,
OR(D133="Apparel &amp; Footwear",D133="Beverage",D133="Coffeehouse &amp; Retail",D133="Conglomerate",D133="Consumer Goods",D133="Convenience Retail",D133="Electronics",D133="Electronics &amp; Semiconductors",D133="Electronics Retail",D133="Fashion Retail",D133="Food &amp; Beverage",D133="Food Retail &amp; Consumer Goods",D133="Industrial &amp; Technology",D133="Industrial Automation",D133="Industrial Technology",D133="Postal &amp; Financial Services",D133="Postal Services",D133="Scientific Instruments",D133="Technology Hardware",D133="Trading Company",D133="IT Consulting"),1,
OR(D133="Cosmetics",D133="E-commerce &amp; Cloud Computing",D133="Electronics &amp; Entertainment",D133="Entertainment &amp; Media",D133="Luxury Goods",D133="Media &amp; Telecommunications",D133="Networking Technology",D133="Real Estate Services",D133="Technology &amp; Consumer Electronics",D133="Telecommunications",D133="Telecommunications &amp; Investment"),1,
OR(D133="Asset Management",D133="Banking",D133="Banking &amp; Asset Services",D133="Banking &amp; Financial Services",D133="Banking &amp; Wealth Management",D133="Cloud Software",D133="Enterprise Software",D133="Financial Services",D133="Information Technology Consulting",D133="Investment Banking",D133="Social Media &amp; Technology",D133="Software &amp; Cloud Computing",D133="Technology &amp; Consulting",D133="Technology &amp; Internet Services",D133="Technology &amp; Software"),1,
TRUE,"Unmapped"
)</f>
        <v>2</v>
      </c>
      <c r="H133" s="5">
        <v>2</v>
      </c>
      <c r="I133" s="5">
        <f>VLOOKUP(B133,'BIS + EDBA Final'!A:F,6,FALSE)</f>
        <v>1</v>
      </c>
      <c r="J133" s="5">
        <f>VLOOKUP(B133,'CBG Final'!A:B,2,FALSE)</f>
        <v>3</v>
      </c>
      <c r="K133" s="9">
        <f t="shared" si="2"/>
        <v>1.5</v>
      </c>
      <c r="L133" s="5" t="s">
        <v>781</v>
      </c>
      <c r="M133" s="5" t="s">
        <v>384</v>
      </c>
      <c r="N133" s="5" t="s">
        <v>782</v>
      </c>
      <c r="O133" s="5" t="s">
        <v>783</v>
      </c>
      <c r="P133" s="5" t="s">
        <v>784</v>
      </c>
      <c r="Q133" s="5" t="s">
        <v>257</v>
      </c>
      <c r="R133" s="5" t="s">
        <v>169</v>
      </c>
      <c r="S133" s="10"/>
      <c r="T133" s="11"/>
      <c r="U133" s="11"/>
      <c r="V133" s="10"/>
      <c r="W133" s="10"/>
      <c r="X133" s="10"/>
      <c r="Y133" s="10"/>
      <c r="Z133" s="10"/>
      <c r="AA133" s="10"/>
      <c r="AB133" s="10"/>
      <c r="AC133" s="10"/>
      <c r="AD133" s="10"/>
      <c r="AE133" s="10"/>
      <c r="AF133" s="10"/>
      <c r="AG133" s="10"/>
      <c r="AH133" s="10"/>
    </row>
    <row r="134" spans="1:34" ht="15.75" customHeight="1">
      <c r="A134" s="5"/>
      <c r="B134" s="5" t="s">
        <v>468</v>
      </c>
      <c r="C134" s="6" t="s">
        <v>36</v>
      </c>
      <c r="D134" s="7" t="s">
        <v>469</v>
      </c>
      <c r="E134" s="8">
        <v>76000</v>
      </c>
      <c r="F134" s="6" cm="1">
        <f t="array" ref="F134">_xlfn.IFS(
E134&lt;=$E$245,0,
E134&lt;=$E$246,1,
E134&lt;=$E$247,2,
E134&gt;=$E$247,3)</f>
        <v>0</v>
      </c>
      <c r="G134" s="7" cm="1">
        <f t="array" ref="G134">_xlfn.IFS(
OR(D134="Aerospace",D134="Aerospace &amp; Defense",D134="Agricultural Equipment",D134="Airlines",D134="Automotive",D134="Automotive &amp; Energy",D134="Automotive Components",D134="Aviation",D134="Building Materials",D134="Chemicals",D134="Commercial Vehicles",D134="Conglomerate &amp; Defense",D134="Conglomerate &amp; Energy",D134="Construction",D134="Construction &amp; Infrastructure",D134="Construction &amp; Real Estate",D134="Construction &amp; Telecom",D134="Discount Retail",D134="Energy Management",D134="Energy Technology",D134="Engines &amp; Power Systems",D134="Environmental Services",D134="Food Distribution",D134="Food Services",D134="Grocery Retail",D134="Healthcare &amp; Pharmacy",D134="Home Improvement Retail",D134="Industrial Engineering &amp; Electronics",D134="Oilfield Services",D134="Pharmaceuticals",D134="Pharmaceuticals &amp; Chemicals",D134="Pharmaceuticals &amp; Healthcare",D134="Pharmacy Retail",D134="Postal &amp; Logistics",D134="Retail",D134="Retail &amp; Distribution",D134="Retail &amp; Grocery",D134="Retail (IKEA)",D134="Tobacco",D134="Trading &amp; Conglomerate",D134="Utilities",D134="Utilities &amp; Energy",D134="Wholesale Retail"),2,
OR(D134="Agribusiness",D134="Automotive &amp; Heavy Vehicles",D134="Chemicals",D134="Commercial Vehicles",D134="Construction",D134="Construction &amp; Infrastructure",D134="Engines &amp; Power Systems",D134="Food Processing",D134="Healthcare",D134="Healthcare &amp; Medical Devices",D134="Heavy Equipment",D134="Heavy Industry",D134="Industrial Gases",D134="Industrial Manufacturing",D134="Logistics",D134="Medical Devices",D134="Mining",D134="Mining &amp; Commodities Trading",D134="Oil &amp; Gas",D134="Oilfield Services",D134="Rail Transport",D134="Shipping &amp; Logistics",D134="Steel"),3,
OR(D134="Apparel &amp; Footwear",D134="Beverage",D134="Coffeehouse &amp; Retail",D134="Conglomerate",D134="Consumer Goods",D134="Convenience Retail",D134="Electronics",D134="Electronics &amp; Semiconductors",D134="Electronics Retail",D134="Fashion Retail",D134="Food &amp; Beverage",D134="Food Retail &amp; Consumer Goods",D134="Industrial &amp; Technology",D134="Industrial Automation",D134="Industrial Technology",D134="Postal &amp; Financial Services",D134="Postal Services",D134="Scientific Instruments",D134="Technology Hardware",D134="Trading Company",D134="IT Consulting"),1,
OR(D134="Cosmetics",D134="E-commerce &amp; Cloud Computing",D134="Electronics &amp; Entertainment",D134="Entertainment &amp; Media",D134="Luxury Goods",D134="Media &amp; Telecommunications",D134="Networking Technology",D134="Real Estate Services",D134="Technology &amp; Consumer Electronics",D134="Telecommunications",D134="Telecommunications &amp; Investment"),1,
OR(D134="Asset Management",D134="Banking",D134="Banking &amp; Asset Services",D134="Banking &amp; Financial Services",D134="Banking &amp; Wealth Management",D134="Cloud Software",D134="Enterprise Software",D134="Financial Services",D134="Information Technology Consulting",D134="Investment Banking",D134="Social Media &amp; Technology",D134="Software &amp; Cloud Computing",D134="Technology &amp; Consulting",D134="Technology &amp; Internet Services",D134="Technology &amp; Software"),1,
TRUE,"Unmapped"
)</f>
        <v>2</v>
      </c>
      <c r="H134" s="5">
        <f>'BIS + EDBA Final'!B186</f>
        <v>2</v>
      </c>
      <c r="I134" s="5">
        <f>VLOOKUP(B134,'BIS + EDBA Final'!A:F,6,FALSE)</f>
        <v>1</v>
      </c>
      <c r="J134" s="5">
        <f>VLOOKUP(B134,'CBG Final'!A:B,2,FALSE)</f>
        <v>3</v>
      </c>
      <c r="K134" s="9">
        <f t="shared" si="2"/>
        <v>1.5</v>
      </c>
      <c r="L134" s="5" t="s">
        <v>1358</v>
      </c>
      <c r="M134" s="5" t="s">
        <v>230</v>
      </c>
      <c r="N134" s="5" t="s">
        <v>1359</v>
      </c>
      <c r="O134" s="5" t="s">
        <v>1360</v>
      </c>
      <c r="P134" s="5" t="s">
        <v>1361</v>
      </c>
      <c r="Q134" s="5" t="s">
        <v>82</v>
      </c>
      <c r="R134" s="5" t="s">
        <v>20</v>
      </c>
      <c r="S134" s="10"/>
      <c r="T134" s="11"/>
      <c r="U134" s="11"/>
      <c r="V134" s="10"/>
      <c r="W134" s="10"/>
      <c r="X134" s="11"/>
      <c r="Y134" s="11"/>
      <c r="Z134" s="10"/>
      <c r="AA134" s="10"/>
      <c r="AB134" s="10"/>
      <c r="AC134" s="10"/>
      <c r="AD134" s="10"/>
      <c r="AE134" s="10"/>
      <c r="AF134" s="10"/>
      <c r="AG134" s="10"/>
      <c r="AH134" s="10"/>
    </row>
    <row r="135" spans="1:34" ht="15.75" customHeight="1">
      <c r="A135" s="5"/>
      <c r="B135" s="5" t="s">
        <v>482</v>
      </c>
      <c r="C135" s="6" t="s">
        <v>36</v>
      </c>
      <c r="D135" s="7" t="s">
        <v>483</v>
      </c>
      <c r="E135" s="8">
        <v>55000</v>
      </c>
      <c r="F135" s="6" cm="1">
        <f t="array" ref="F135">_xlfn.IFS(
E135&lt;=$E$245,0,
E135&lt;=$E$246,1,
E135&lt;=$E$247,2,
E135&gt;=$E$247,3)</f>
        <v>0</v>
      </c>
      <c r="G135" s="7" cm="1">
        <f t="array" ref="G135">_xlfn.IFS(
OR(D135="Aerospace",D135="Aerospace &amp; Defense",D135="Agricultural Equipment",D135="Airlines",D135="Automotive",D135="Automotive &amp; Energy",D135="Automotive Components",D135="Aviation",D135="Building Materials",D135="Chemicals",D135="Commercial Vehicles",D135="Conglomerate &amp; Defense",D135="Conglomerate &amp; Energy",D135="Construction",D135="Construction &amp; Infrastructure",D135="Construction &amp; Real Estate",D135="Construction &amp; Telecom",D135="Discount Retail",D135="Energy Management",D135="Energy Technology",D135="Engines &amp; Power Systems",D135="Environmental Services",D135="Food Distribution",D135="Food Services",D135="Grocery Retail",D135="Healthcare &amp; Pharmacy",D135="Home Improvement Retail",D135="Industrial Engineering &amp; Electronics",D135="Oilfield Services",D135="Pharmaceuticals",D135="Pharmaceuticals &amp; Chemicals",D135="Pharmaceuticals &amp; Healthcare",D135="Pharmacy Retail",D135="Postal &amp; Logistics",D135="Retail",D135="Retail &amp; Distribution",D135="Retail &amp; Grocery",D135="Retail (IKEA)",D135="Tobacco",D135="Trading &amp; Conglomerate",D135="Utilities",D135="Utilities &amp; Energy",D135="Wholesale Retail"),2,
OR(D135="Agribusiness",D135="Automotive &amp; Heavy Vehicles",D135="Chemicals",D135="Commercial Vehicles",D135="Construction",D135="Construction &amp; Infrastructure",D135="Engines &amp; Power Systems",D135="Food Processing",D135="Healthcare",D135="Healthcare &amp; Medical Devices",D135="Heavy Equipment",D135="Heavy Industry",D135="Industrial Gases",D135="Industrial Manufacturing",D135="Logistics",D135="Medical Devices",D135="Mining",D135="Mining &amp; Commodities Trading",D135="Oil &amp; Gas",D135="Oilfield Services",D135="Rail Transport",D135="Shipping &amp; Logistics",D135="Steel"),3,
OR(D135="Apparel &amp; Footwear",D135="Beverage",D135="Coffeehouse &amp; Retail",D135="Conglomerate",D135="Consumer Goods",D135="Convenience Retail",D135="Electronics",D135="Electronics &amp; Semiconductors",D135="Electronics Retail",D135="Fashion Retail",D135="Food &amp; Beverage",D135="Food Retail &amp; Consumer Goods",D135="Industrial &amp; Technology",D135="Industrial Automation",D135="Industrial Technology",D135="Postal &amp; Financial Services",D135="Postal Services",D135="Scientific Instruments",D135="Technology Hardware",D135="Trading Company",D135="IT Consulting"),1,
OR(D135="Cosmetics",D135="E-commerce &amp; Cloud Computing",D135="Electronics &amp; Entertainment",D135="Entertainment &amp; Media",D135="Luxury Goods",D135="Media &amp; Telecommunications",D135="Networking Technology",D135="Real Estate Services",D135="Technology &amp; Consumer Electronics",D135="Telecommunications",D135="Telecommunications &amp; Investment"),1,
OR(D135="Asset Management",D135="Banking",D135="Banking &amp; Asset Services",D135="Banking &amp; Financial Services",D135="Banking &amp; Wealth Management",D135="Cloud Software",D135="Enterprise Software",D135="Financial Services",D135="Information Technology Consulting",D135="Investment Banking",D135="Social Media &amp; Technology",D135="Software &amp; Cloud Computing",D135="Technology &amp; Consulting",D135="Technology &amp; Internet Services",D135="Technology &amp; Software"),1,
TRUE,"Unmapped"
)</f>
        <v>2</v>
      </c>
      <c r="H135" s="5">
        <f>'BIS + EDBA Final'!B187</f>
        <v>2</v>
      </c>
      <c r="I135" s="5">
        <f>VLOOKUP(B135,'BIS + EDBA Final'!A:F,6,FALSE)</f>
        <v>1</v>
      </c>
      <c r="J135" s="5">
        <f>VLOOKUP(B135,'CBG Final'!A:B,2,FALSE)</f>
        <v>3</v>
      </c>
      <c r="K135" s="9">
        <f t="shared" si="2"/>
        <v>1.5</v>
      </c>
      <c r="L135" s="5" t="s">
        <v>484</v>
      </c>
      <c r="M135" s="5" t="s">
        <v>485</v>
      </c>
      <c r="N135" s="5" t="s">
        <v>486</v>
      </c>
      <c r="O135" s="5" t="s">
        <v>487</v>
      </c>
      <c r="P135" s="5" t="s">
        <v>488</v>
      </c>
      <c r="Q135" s="5" t="s">
        <v>261</v>
      </c>
      <c r="R135" s="5" t="s">
        <v>261</v>
      </c>
      <c r="S135" s="10"/>
      <c r="T135" s="11"/>
      <c r="U135" s="11"/>
      <c r="V135" s="10"/>
      <c r="W135" s="10"/>
      <c r="X135" s="11"/>
      <c r="Y135" s="11"/>
      <c r="Z135" s="10"/>
      <c r="AA135" s="10"/>
      <c r="AB135" s="10"/>
      <c r="AC135" s="10"/>
      <c r="AD135" s="10"/>
      <c r="AE135" s="10"/>
      <c r="AF135" s="10"/>
      <c r="AG135" s="10"/>
      <c r="AH135" s="10"/>
    </row>
    <row r="136" spans="1:34" ht="15.75" customHeight="1">
      <c r="A136" s="5"/>
      <c r="B136" s="5" t="s">
        <v>935</v>
      </c>
      <c r="C136" s="6" t="s">
        <v>94</v>
      </c>
      <c r="D136" s="7" t="s">
        <v>483</v>
      </c>
      <c r="E136" s="8">
        <v>68629</v>
      </c>
      <c r="F136" s="6" cm="1">
        <f t="array" ref="F136">_xlfn.IFS(
E136&lt;=$E$245,0,
E136&lt;=$E$246,1,
E136&lt;=$E$247,2,
E136&gt;=$E$247,3)</f>
        <v>0</v>
      </c>
      <c r="G136" s="7" cm="1">
        <f t="array" ref="G136">_xlfn.IFS(
OR(D136="Aerospace",D136="Aerospace &amp; Defense",D136="Agricultural Equipment",D136="Airlines",D136="Automotive",D136="Automotive &amp; Energy",D136="Automotive Components",D136="Aviation",D136="Building Materials",D136="Chemicals",D136="Commercial Vehicles",D136="Conglomerate &amp; Defense",D136="Conglomerate &amp; Energy",D136="Construction",D136="Construction &amp; Infrastructure",D136="Construction &amp; Real Estate",D136="Construction &amp; Telecom",D136="Discount Retail",D136="Energy Management",D136="Energy Technology",D136="Engines &amp; Power Systems",D136="Environmental Services",D136="Food Distribution",D136="Food Services",D136="Grocery Retail",D136="Healthcare &amp; Pharmacy",D136="Home Improvement Retail",D136="Industrial Engineering &amp; Electronics",D136="Oilfield Services",D136="Pharmaceuticals",D136="Pharmaceuticals &amp; Chemicals",D136="Pharmaceuticals &amp; Healthcare",D136="Pharmacy Retail",D136="Postal &amp; Logistics",D136="Retail",D136="Retail &amp; Distribution",D136="Retail &amp; Grocery",D136="Retail (IKEA)",D136="Tobacco",D136="Trading &amp; Conglomerate",D136="Utilities",D136="Utilities &amp; Energy",D136="Wholesale Retail"),2,
OR(D136="Agribusiness",D136="Automotive &amp; Heavy Vehicles",D136="Chemicals",D136="Commercial Vehicles",D136="Construction",D136="Construction &amp; Infrastructure",D136="Engines &amp; Power Systems",D136="Food Processing",D136="Healthcare",D136="Healthcare &amp; Medical Devices",D136="Heavy Equipment",D136="Heavy Industry",D136="Industrial Gases",D136="Industrial Manufacturing",D136="Logistics",D136="Medical Devices",D136="Mining",D136="Mining &amp; Commodities Trading",D136="Oil &amp; Gas",D136="Oilfield Services",D136="Rail Transport",D136="Shipping &amp; Logistics",D136="Steel"),3,
OR(D136="Apparel &amp; Footwear",D136="Beverage",D136="Coffeehouse &amp; Retail",D136="Conglomerate",D136="Consumer Goods",D136="Convenience Retail",D136="Electronics",D136="Electronics &amp; Semiconductors",D136="Electronics Retail",D136="Fashion Retail",D136="Food &amp; Beverage",D136="Food Retail &amp; Consumer Goods",D136="Industrial &amp; Technology",D136="Industrial Automation",D136="Industrial Technology",D136="Postal &amp; Financial Services",D136="Postal Services",D136="Scientific Instruments",D136="Technology Hardware",D136="Trading Company",D136="IT Consulting"),1,
OR(D136="Cosmetics",D136="E-commerce &amp; Cloud Computing",D136="Electronics &amp; Entertainment",D136="Entertainment &amp; Media",D136="Luxury Goods",D136="Media &amp; Telecommunications",D136="Networking Technology",D136="Real Estate Services",D136="Technology &amp; Consumer Electronics",D136="Telecommunications",D136="Telecommunications &amp; Investment"),1,
OR(D136="Asset Management",D136="Banking",D136="Banking &amp; Asset Services",D136="Banking &amp; Financial Services",D136="Banking &amp; Wealth Management",D136="Cloud Software",D136="Enterprise Software",D136="Financial Services",D136="Information Technology Consulting",D136="Investment Banking",D136="Social Media &amp; Technology",D136="Software &amp; Cloud Computing",D136="Technology &amp; Consulting",D136="Technology &amp; Internet Services",D136="Technology &amp; Software"),1,
TRUE,"Unmapped"
)</f>
        <v>2</v>
      </c>
      <c r="H136" s="5">
        <f>'BIS + EDBA Final'!B188</f>
        <v>2</v>
      </c>
      <c r="I136" s="5">
        <f>VLOOKUP(B136,'BIS + EDBA Final'!A:F,6,FALSE)</f>
        <v>1</v>
      </c>
      <c r="J136" s="5">
        <f>VLOOKUP(B136,'CBG Final'!A:B,2,FALSE)</f>
        <v>3</v>
      </c>
      <c r="K136" s="9">
        <f t="shared" si="2"/>
        <v>1.5</v>
      </c>
      <c r="L136" s="5" t="s">
        <v>936</v>
      </c>
      <c r="M136" s="5" t="s">
        <v>610</v>
      </c>
      <c r="N136" s="5" t="s">
        <v>937</v>
      </c>
      <c r="O136" s="5" t="s">
        <v>938</v>
      </c>
      <c r="P136" s="5" t="s">
        <v>939</v>
      </c>
      <c r="Q136" s="5" t="s">
        <v>144</v>
      </c>
      <c r="R136" s="5" t="s">
        <v>20</v>
      </c>
      <c r="S136" s="10"/>
      <c r="T136" s="11"/>
      <c r="U136" s="11"/>
      <c r="V136" s="10"/>
      <c r="W136" s="10"/>
      <c r="X136" s="10"/>
      <c r="Y136" s="10"/>
      <c r="Z136" s="10"/>
      <c r="AA136" s="10"/>
      <c r="AB136" s="10"/>
      <c r="AC136" s="10"/>
      <c r="AD136" s="10"/>
      <c r="AE136" s="10"/>
      <c r="AF136" s="10"/>
      <c r="AG136" s="10"/>
      <c r="AH136" s="10"/>
    </row>
    <row r="137" spans="1:34" ht="15.75" customHeight="1">
      <c r="A137" s="5"/>
      <c r="B137" s="5" t="s">
        <v>748</v>
      </c>
      <c r="C137" s="6" t="s">
        <v>12</v>
      </c>
      <c r="D137" s="7" t="s">
        <v>483</v>
      </c>
      <c r="E137" s="8">
        <v>75883</v>
      </c>
      <c r="F137" s="6" cm="1">
        <f t="array" ref="F137">_xlfn.IFS(
E137&lt;=$E$245,0,
E137&lt;=$E$246,1,
E137&lt;=$E$247,2,
E137&gt;=$E$247,3)</f>
        <v>0</v>
      </c>
      <c r="G137" s="7" cm="1">
        <f t="array" ref="G137">_xlfn.IFS(
OR(D137="Aerospace",D137="Aerospace &amp; Defense",D137="Agricultural Equipment",D137="Airlines",D137="Automotive",D137="Automotive &amp; Energy",D137="Automotive Components",D137="Aviation",D137="Building Materials",D137="Chemicals",D137="Commercial Vehicles",D137="Conglomerate &amp; Defense",D137="Conglomerate &amp; Energy",D137="Construction",D137="Construction &amp; Infrastructure",D137="Construction &amp; Real Estate",D137="Construction &amp; Telecom",D137="Discount Retail",D137="Energy Management",D137="Energy Technology",D137="Engines &amp; Power Systems",D137="Environmental Services",D137="Food Distribution",D137="Food Services",D137="Grocery Retail",D137="Healthcare &amp; Pharmacy",D137="Home Improvement Retail",D137="Industrial Engineering &amp; Electronics",D137="Oilfield Services",D137="Pharmaceuticals",D137="Pharmaceuticals &amp; Chemicals",D137="Pharmaceuticals &amp; Healthcare",D137="Pharmacy Retail",D137="Postal &amp; Logistics",D137="Retail",D137="Retail &amp; Distribution",D137="Retail &amp; Grocery",D137="Retail (IKEA)",D137="Tobacco",D137="Trading &amp; Conglomerate",D137="Utilities",D137="Utilities &amp; Energy",D137="Wholesale Retail"),2,
OR(D137="Agribusiness",D137="Automotive &amp; Heavy Vehicles",D137="Chemicals",D137="Commercial Vehicles",D137="Construction",D137="Construction &amp; Infrastructure",D137="Engines &amp; Power Systems",D137="Food Processing",D137="Healthcare",D137="Healthcare &amp; Medical Devices",D137="Heavy Equipment",D137="Heavy Industry",D137="Industrial Gases",D137="Industrial Manufacturing",D137="Logistics",D137="Medical Devices",D137="Mining",D137="Mining &amp; Commodities Trading",D137="Oil &amp; Gas",D137="Oilfield Services",D137="Rail Transport",D137="Shipping &amp; Logistics",D137="Steel"),3,
OR(D137="Apparel &amp; Footwear",D137="Beverage",D137="Coffeehouse &amp; Retail",D137="Conglomerate",D137="Consumer Goods",D137="Convenience Retail",D137="Electronics",D137="Electronics &amp; Semiconductors",D137="Electronics Retail",D137="Fashion Retail",D137="Food &amp; Beverage",D137="Food Retail &amp; Consumer Goods",D137="Industrial &amp; Technology",D137="Industrial Automation",D137="Industrial Technology",D137="Postal &amp; Financial Services",D137="Postal Services",D137="Scientific Instruments",D137="Technology Hardware",D137="Trading Company",D137="IT Consulting"),1,
OR(D137="Cosmetics",D137="E-commerce &amp; Cloud Computing",D137="Electronics &amp; Entertainment",D137="Entertainment &amp; Media",D137="Luxury Goods",D137="Media &amp; Telecommunications",D137="Networking Technology",D137="Real Estate Services",D137="Technology &amp; Consumer Electronics",D137="Telecommunications",D137="Telecommunications &amp; Investment"),1,
OR(D137="Asset Management",D137="Banking",D137="Banking &amp; Asset Services",D137="Banking &amp; Financial Services",D137="Banking &amp; Wealth Management",D137="Cloud Software",D137="Enterprise Software",D137="Financial Services",D137="Information Technology Consulting",D137="Investment Banking",D137="Social Media &amp; Technology",D137="Software &amp; Cloud Computing",D137="Technology &amp; Consulting",D137="Technology &amp; Internet Services",D137="Technology &amp; Software"),1,
TRUE,"Unmapped"
)</f>
        <v>2</v>
      </c>
      <c r="H137" s="5">
        <f>'BIS + EDBA Final'!B189</f>
        <v>2</v>
      </c>
      <c r="I137" s="5">
        <f>VLOOKUP(B137,'BIS + EDBA Final'!A:F,6,FALSE)</f>
        <v>1</v>
      </c>
      <c r="J137" s="5">
        <f>VLOOKUP(B137,'CBG Final'!A:B,2,FALSE)</f>
        <v>3</v>
      </c>
      <c r="K137" s="9">
        <f t="shared" si="2"/>
        <v>1.5</v>
      </c>
      <c r="L137" s="5" t="s">
        <v>1183</v>
      </c>
      <c r="M137" s="5" t="s">
        <v>586</v>
      </c>
      <c r="N137" s="5" t="s">
        <v>1184</v>
      </c>
      <c r="O137" s="5" t="s">
        <v>1185</v>
      </c>
      <c r="P137" s="5" t="s">
        <v>1186</v>
      </c>
      <c r="Q137" s="5" t="s">
        <v>310</v>
      </c>
      <c r="R137" s="5" t="s">
        <v>20</v>
      </c>
      <c r="S137" s="10"/>
      <c r="T137" s="11"/>
      <c r="U137" s="11"/>
      <c r="V137" s="10"/>
      <c r="W137" s="10"/>
      <c r="X137" s="10"/>
      <c r="Y137" s="10"/>
      <c r="Z137" s="10"/>
      <c r="AA137" s="10"/>
      <c r="AB137" s="10"/>
      <c r="AC137" s="10"/>
      <c r="AD137" s="10"/>
      <c r="AE137" s="10"/>
      <c r="AF137" s="10"/>
      <c r="AG137" s="10"/>
      <c r="AH137" s="10"/>
    </row>
    <row r="138" spans="1:34" ht="15.75" customHeight="1">
      <c r="A138" s="5"/>
      <c r="B138" s="5" t="s">
        <v>928</v>
      </c>
      <c r="C138" s="6" t="s">
        <v>36</v>
      </c>
      <c r="D138" s="7" t="s">
        <v>929</v>
      </c>
      <c r="E138" s="8">
        <v>76453</v>
      </c>
      <c r="F138" s="6" cm="1">
        <f t="array" ref="F138">_xlfn.IFS(
E138&lt;=$E$245,0,
E138&lt;=$E$246,1,
E138&lt;=$E$247,2,
E138&gt;=$E$247,3)</f>
        <v>0</v>
      </c>
      <c r="G138" s="7" cm="1">
        <f t="array" ref="G138">_xlfn.IFS(
OR(D138="Aerospace",D138="Aerospace &amp; Defense",D138="Agricultural Equipment",D138="Airlines",D138="Automotive",D138="Automotive &amp; Energy",D138="Automotive Components",D138="Aviation",D138="Building Materials",D138="Chemicals",D138="Commercial Vehicles",D138="Conglomerate &amp; Defense",D138="Conglomerate &amp; Energy",D138="Construction",D138="Construction &amp; Infrastructure",D138="Construction &amp; Real Estate",D138="Construction &amp; Telecom",D138="Discount Retail",D138="Energy Management",D138="Energy Technology",D138="Engines &amp; Power Systems",D138="Environmental Services",D138="Food Distribution",D138="Food Services",D138="Grocery Retail",D138="Healthcare &amp; Pharmacy",D138="Home Improvement Retail",D138="Industrial Engineering &amp; Electronics",D138="Oilfield Services",D138="Pharmaceuticals",D138="Pharmaceuticals &amp; Chemicals",D138="Pharmaceuticals &amp; Healthcare",D138="Pharmacy Retail",D138="Postal &amp; Logistics",D138="Retail",D138="Retail &amp; Distribution",D138="Retail &amp; Grocery",D138="Retail (IKEA)",D138="Tobacco",D138="Trading &amp; Conglomerate",D138="Utilities",D138="Utilities &amp; Energy",D138="Wholesale Retail"),2,
OR(D138="Agribusiness",D138="Automotive &amp; Heavy Vehicles",D138="Chemicals",D138="Commercial Vehicles",D138="Construction",D138="Construction &amp; Infrastructure",D138="Engines &amp; Power Systems",D138="Food Processing",D138="Healthcare",D138="Healthcare &amp; Medical Devices",D138="Heavy Equipment",D138="Heavy Industry",D138="Industrial Gases",D138="Industrial Manufacturing",D138="Logistics",D138="Medical Devices",D138="Mining",D138="Mining &amp; Commodities Trading",D138="Oil &amp; Gas",D138="Oilfield Services",D138="Rail Transport",D138="Shipping &amp; Logistics",D138="Steel"),3,
OR(D138="Apparel &amp; Footwear",D138="Beverage",D138="Coffeehouse &amp; Retail",D138="Conglomerate",D138="Consumer Goods",D138="Convenience Retail",D138="Electronics",D138="Electronics &amp; Semiconductors",D138="Electronics Retail",D138="Fashion Retail",D138="Food &amp; Beverage",D138="Food Retail &amp; Consumer Goods",D138="Industrial &amp; Technology",D138="Industrial Automation",D138="Industrial Technology",D138="Postal &amp; Financial Services",D138="Postal Services",D138="Scientific Instruments",D138="Technology Hardware",D138="Trading Company",D138="IT Consulting"),1,
OR(D138="Cosmetics",D138="E-commerce &amp; Cloud Computing",D138="Electronics &amp; Entertainment",D138="Entertainment &amp; Media",D138="Luxury Goods",D138="Media &amp; Telecommunications",D138="Networking Technology",D138="Real Estate Services",D138="Technology &amp; Consumer Electronics",D138="Telecommunications",D138="Telecommunications &amp; Investment"),1,
OR(D138="Asset Management",D138="Banking",D138="Banking &amp; Asset Services",D138="Banking &amp; Financial Services",D138="Banking &amp; Wealth Management",D138="Cloud Software",D138="Enterprise Software",D138="Financial Services",D138="Information Technology Consulting",D138="Investment Banking",D138="Social Media &amp; Technology",D138="Software &amp; Cloud Computing",D138="Technology &amp; Consulting",D138="Technology &amp; Internet Services",D138="Technology &amp; Software"),1,
TRUE,"Unmapped"
)</f>
        <v>1</v>
      </c>
      <c r="H138" s="5">
        <f>'BIS + EDBA Final'!B228</f>
        <v>3</v>
      </c>
      <c r="I138" s="5">
        <f>VLOOKUP(B138,'BIS + EDBA Final'!A:F,6,FALSE)</f>
        <v>1</v>
      </c>
      <c r="J138" s="5">
        <f>VLOOKUP(B138,'CBG Final'!A:B,2,FALSE)</f>
        <v>3</v>
      </c>
      <c r="K138" s="9">
        <f t="shared" si="2"/>
        <v>1.5</v>
      </c>
      <c r="L138" s="5" t="s">
        <v>1273</v>
      </c>
      <c r="M138" s="5" t="s">
        <v>113</v>
      </c>
      <c r="N138" s="5" t="s">
        <v>1274</v>
      </c>
      <c r="O138" s="5" t="s">
        <v>1275</v>
      </c>
      <c r="P138" s="5" t="s">
        <v>1276</v>
      </c>
      <c r="Q138" s="5" t="s">
        <v>1277</v>
      </c>
      <c r="R138" s="5" t="s">
        <v>232</v>
      </c>
      <c r="S138" s="10"/>
      <c r="T138" s="11"/>
      <c r="U138" s="11"/>
      <c r="V138" s="10"/>
      <c r="W138" s="10"/>
      <c r="X138" s="10"/>
      <c r="Y138" s="10"/>
      <c r="Z138" s="10"/>
      <c r="AA138" s="10"/>
      <c r="AB138" s="10"/>
      <c r="AC138" s="10"/>
      <c r="AD138" s="10"/>
      <c r="AE138" s="10"/>
      <c r="AF138" s="10"/>
      <c r="AG138" s="10"/>
      <c r="AH138" s="10"/>
    </row>
    <row r="139" spans="1:34" ht="15.75" customHeight="1">
      <c r="A139" s="5"/>
      <c r="B139" s="5" t="s">
        <v>495</v>
      </c>
      <c r="C139" s="6" t="s">
        <v>36</v>
      </c>
      <c r="D139" s="7" t="s">
        <v>496</v>
      </c>
      <c r="E139" s="8">
        <v>75100</v>
      </c>
      <c r="F139" s="6" cm="1">
        <f t="array" ref="F139">_xlfn.IFS(
E139&lt;=$E$245,0,
E139&lt;=$E$246,1,
E139&lt;=$E$247,2,
E139&gt;=$E$247,3)</f>
        <v>0</v>
      </c>
      <c r="G139" s="7" cm="1">
        <f t="array" ref="G139">_xlfn.IFS(
OR(D139="Aerospace",D139="Aerospace &amp; Defense",D139="Agricultural Equipment",D139="Airlines",D139="Automotive",D139="Automotive &amp; Energy",D139="Automotive Components",D139="Aviation",D139="Building Materials",D139="Chemicals",D139="Commercial Vehicles",D139="Conglomerate &amp; Defense",D139="Conglomerate &amp; Energy",D139="Construction",D139="Construction &amp; Infrastructure",D139="Construction &amp; Real Estate",D139="Construction &amp; Telecom",D139="Discount Retail",D139="Energy Management",D139="Energy Technology",D139="Engines &amp; Power Systems",D139="Environmental Services",D139="Food Distribution",D139="Food Services",D139="Grocery Retail",D139="Healthcare &amp; Pharmacy",D139="Home Improvement Retail",D139="Industrial Engineering &amp; Electronics",D139="Oilfield Services",D139="Pharmaceuticals",D139="Pharmaceuticals &amp; Chemicals",D139="Pharmaceuticals &amp; Healthcare",D139="Pharmacy Retail",D139="Postal &amp; Logistics",D139="Retail",D139="Retail &amp; Distribution",D139="Retail &amp; Grocery",D139="Retail (IKEA)",D139="Tobacco",D139="Trading &amp; Conglomerate",D139="Utilities",D139="Utilities &amp; Energy",D139="Wholesale Retail"),2,
OR(D139="Agribusiness",D139="Automotive &amp; Heavy Vehicles",D139="Chemicals",D139="Commercial Vehicles",D139="Construction",D139="Construction &amp; Infrastructure",D139="Engines &amp; Power Systems",D139="Food Processing",D139="Healthcare",D139="Healthcare &amp; Medical Devices",D139="Heavy Equipment",D139="Heavy Industry",D139="Industrial Gases",D139="Industrial Manufacturing",D139="Logistics",D139="Medical Devices",D139="Mining",D139="Mining &amp; Commodities Trading",D139="Oil &amp; Gas",D139="Oilfield Services",D139="Rail Transport",D139="Shipping &amp; Logistics",D139="Steel"),3,
OR(D139="Apparel &amp; Footwear",D139="Beverage",D139="Coffeehouse &amp; Retail",D139="Conglomerate",D139="Consumer Goods",D139="Convenience Retail",D139="Electronics",D139="Electronics &amp; Semiconductors",D139="Electronics Retail",D139="Fashion Retail",D139="Food &amp; Beverage",D139="Food Retail &amp; Consumer Goods",D139="Industrial &amp; Technology",D139="Industrial Automation",D139="Industrial Technology",D139="Postal &amp; Financial Services",D139="Postal Services",D139="Scientific Instruments",D139="Technology Hardware",D139="Trading Company",D139="IT Consulting"),1,
OR(D139="Cosmetics",D139="E-commerce &amp; Cloud Computing",D139="Electronics &amp; Entertainment",D139="Entertainment &amp; Media",D139="Luxury Goods",D139="Media &amp; Telecommunications",D139="Networking Technology",D139="Real Estate Services",D139="Technology &amp; Consumer Electronics",D139="Telecommunications",D139="Telecommunications &amp; Investment"),1,
OR(D139="Asset Management",D139="Banking",D139="Banking &amp; Asset Services",D139="Banking &amp; Financial Services",D139="Banking &amp; Wealth Management",D139="Cloud Software",D139="Enterprise Software",D139="Financial Services",D139="Information Technology Consulting",D139="Investment Banking",D139="Social Media &amp; Technology",D139="Software &amp; Cloud Computing",D139="Technology &amp; Consulting",D139="Technology &amp; Internet Services",D139="Technology &amp; Software"),1,
TRUE,"Unmapped"
)</f>
        <v>1</v>
      </c>
      <c r="H139" s="5">
        <f>'BIS + EDBA Final'!B229</f>
        <v>3</v>
      </c>
      <c r="I139" s="5">
        <f>VLOOKUP(B139,'BIS + EDBA Final'!A:F,6,FALSE)</f>
        <v>1</v>
      </c>
      <c r="J139" s="5">
        <f>VLOOKUP(B139,'CBG Final'!A:B,2,FALSE)</f>
        <v>3</v>
      </c>
      <c r="K139" s="9">
        <f t="shared" si="2"/>
        <v>1.5</v>
      </c>
      <c r="L139" s="5" t="s">
        <v>535</v>
      </c>
      <c r="M139" s="5" t="s">
        <v>536</v>
      </c>
      <c r="N139" s="5" t="s">
        <v>537</v>
      </c>
      <c r="O139" s="5" t="s">
        <v>538</v>
      </c>
      <c r="P139" s="5" t="s">
        <v>539</v>
      </c>
      <c r="Q139" s="5" t="s">
        <v>422</v>
      </c>
      <c r="R139" s="5" t="s">
        <v>20</v>
      </c>
      <c r="S139" s="10"/>
      <c r="T139" s="11"/>
      <c r="U139" s="11"/>
      <c r="V139" s="10"/>
      <c r="W139" s="10"/>
      <c r="X139" s="11"/>
      <c r="Y139" s="11"/>
      <c r="Z139" s="10"/>
      <c r="AA139" s="10"/>
      <c r="AB139" s="10"/>
      <c r="AC139" s="10"/>
      <c r="AD139" s="10"/>
      <c r="AE139" s="10"/>
      <c r="AF139" s="10"/>
      <c r="AG139" s="10"/>
      <c r="AH139" s="10"/>
    </row>
    <row r="140" spans="1:34" ht="15.75" customHeight="1">
      <c r="A140" s="5"/>
      <c r="B140" s="5" t="s">
        <v>181</v>
      </c>
      <c r="C140" s="6" t="s">
        <v>182</v>
      </c>
      <c r="D140" s="7" t="s">
        <v>1278</v>
      </c>
      <c r="E140" s="8">
        <v>262647</v>
      </c>
      <c r="F140" s="6" cm="1">
        <f t="array" ref="F140">_xlfn.IFS(
E140&lt;=$E$245,0,
E140&lt;=$E$246,1,
E140&lt;=$E$247,2,
E140&gt;=$E$247,3)</f>
        <v>3</v>
      </c>
      <c r="G140" s="7" cm="1">
        <f t="array" ref="G140">_xlfn.IFS(
OR(D140="Aerospace",D140="Aerospace &amp; Defense",D140="Agricultural Equipment",D140="Airlines",D140="Automotive",D140="Automotive &amp; Energy",D140="Automotive Components",D140="Aviation",D140="Building Materials",D140="Chemicals",D140="Commercial Vehicles",D140="Conglomerate &amp; Defense",D140="Conglomerate &amp; Energy",D140="Construction",D140="Construction &amp; Infrastructure",D140="Construction &amp; Real Estate",D140="Construction &amp; Telecom",D140="Discount Retail",D140="Energy Management",D140="Energy Technology",D140="Engines &amp; Power Systems",D140="Environmental Services",D140="Food Distribution",D140="Food Services",D140="Grocery Retail",D140="Healthcare &amp; Pharmacy",D140="Home Improvement Retail",D140="Industrial Engineering &amp; Electronics",D140="Oilfield Services",D140="Pharmaceuticals",D140="Pharmaceuticals &amp; Chemicals",D140="Pharmaceuticals &amp; Healthcare",D140="Pharmacy Retail",D140="Postal &amp; Logistics",D140="Retail",D140="Retail &amp; Distribution",D140="Retail &amp; Grocery",D140="Retail (IKEA)",D140="Tobacco",D140="Trading &amp; Conglomerate",D140="Utilities",D140="Utilities &amp; Energy",D140="Wholesale Retail"),2,
OR(D140="Agribusiness",D140="Automotive &amp; Heavy Vehicles",D140="Chemicals",D140="Commercial Vehicles",D140="Construction",D140="Construction &amp; Infrastructure",D140="Engines &amp; Power Systems",D140="Food Processing",D140="Healthcare",D140="Healthcare &amp; Medical Devices",D140="Heavy Equipment",D140="Heavy Industry",D140="Industrial Gases",D140="Industrial Manufacturing",D140="Logistics",D140="Medical Devices",D140="Mining",D140="Mining &amp; Commodities Trading",D140="Oil &amp; Gas",D140="Oilfield Services",D140="Rail Transport",D140="Shipping &amp; Logistics",D140="Steel"),3,
OR(D140="Apparel &amp; Footwear",D140="Beverage",D140="Coffeehouse &amp; Retail",D140="Conglomerate",D140="Consumer Goods",D140="Convenience Retail",D140="Electronics",D140="Electronics &amp; Semiconductors",D140="Electronics Retail",D140="Fashion Retail",D140="Food &amp; Beverage",D140="Food Retail &amp; Consumer Goods",D140="Industrial &amp; Technology",D140="Industrial Automation",D140="Industrial Technology",D140="Postal &amp; Financial Services",D140="Postal Services",D140="Scientific Instruments",D140="Technology Hardware",D140="Trading Company",D140="IT Consulting"),1,
OR(D140="Cosmetics",D140="E-commerce &amp; Cloud Computing",D140="Electronics &amp; Entertainment",D140="Entertainment &amp; Media",D140="Luxury Goods",D140="Media &amp; Telecommunications",D140="Networking Technology",D140="Real Estate Services",D140="Technology &amp; Consumer Electronics",D140="Telecommunications",D140="Telecommunications &amp; Investment"),1,
OR(D140="Asset Management",D140="Banking",D140="Banking &amp; Asset Services",D140="Banking &amp; Financial Services",D140="Banking &amp; Wealth Management",D140="Cloud Software",D140="Enterprise Software",D140="Financial Services",D140="Information Technology Consulting",D140="Investment Banking",D140="Social Media &amp; Technology",D140="Software &amp; Cloud Computing",D140="Technology &amp; Consulting",D140="Technology &amp; Internet Services",D140="Technology &amp; Software"),1,
TRUE,"Unmapped"
)</f>
        <v>1</v>
      </c>
      <c r="H140" s="5">
        <v>1</v>
      </c>
      <c r="I140" s="5">
        <f>VLOOKUP(B140,'BIS + EDBA Final'!A:F,6,FALSE)</f>
        <v>0</v>
      </c>
      <c r="J140" s="5">
        <f>VLOOKUP(B140,'CBG Final'!A:B,2,FALSE)</f>
        <v>1</v>
      </c>
      <c r="K140" s="9">
        <f t="shared" si="2"/>
        <v>1.4999999999999998</v>
      </c>
      <c r="L140" s="5" t="s">
        <v>1279</v>
      </c>
      <c r="M140" s="5" t="s">
        <v>768</v>
      </c>
      <c r="N140" s="5" t="s">
        <v>1280</v>
      </c>
      <c r="O140" s="5" t="s">
        <v>1281</v>
      </c>
      <c r="P140" s="5" t="s">
        <v>1282</v>
      </c>
      <c r="Q140" s="5" t="s">
        <v>180</v>
      </c>
      <c r="R140" s="5" t="s">
        <v>20</v>
      </c>
      <c r="S140" s="10"/>
      <c r="T140" s="11"/>
      <c r="U140" s="11"/>
      <c r="V140" s="10"/>
      <c r="W140" s="10"/>
      <c r="X140" s="11"/>
      <c r="Y140" s="11"/>
      <c r="Z140" s="10"/>
      <c r="AA140" s="10"/>
      <c r="AB140" s="10"/>
      <c r="AC140" s="10"/>
      <c r="AD140" s="10"/>
      <c r="AE140" s="10"/>
      <c r="AF140" s="10"/>
      <c r="AG140" s="10"/>
      <c r="AH140" s="10"/>
    </row>
    <row r="141" spans="1:34" ht="15.75" customHeight="1">
      <c r="A141" s="5"/>
      <c r="B141" s="5" t="s">
        <v>1078</v>
      </c>
      <c r="C141" s="6" t="s">
        <v>39</v>
      </c>
      <c r="D141" s="7" t="s">
        <v>1079</v>
      </c>
      <c r="E141" s="8">
        <v>226831</v>
      </c>
      <c r="F141" s="6" cm="1">
        <f t="array" ref="F141">_xlfn.IFS(
E141&lt;=$E$245,0,
E141&lt;=$E$246,1,
E141&lt;=$E$247,2,
E141&gt;=$E$247,3)</f>
        <v>3</v>
      </c>
      <c r="G141" s="7" cm="1">
        <f t="array" ref="G141">_xlfn.IFS(
OR(D141="Aerospace",D141="Aerospace &amp; Defense",D141="Agricultural Equipment",D141="Airlines",D141="Automotive",D141="Automotive &amp; Energy",D141="Automotive Components",D141="Aviation",D141="Building Materials",D141="Chemicals",D141="Commercial Vehicles",D141="Conglomerate &amp; Defense",D141="Conglomerate &amp; Energy",D141="Construction",D141="Construction &amp; Infrastructure",D141="Construction &amp; Real Estate",D141="Construction &amp; Telecom",D141="Discount Retail",D141="Energy Management",D141="Energy Technology",D141="Engines &amp; Power Systems",D141="Environmental Services",D141="Food Distribution",D141="Food Services",D141="Grocery Retail",D141="Healthcare &amp; Pharmacy",D141="Home Improvement Retail",D141="Industrial Engineering &amp; Electronics",D141="Oilfield Services",D141="Pharmaceuticals",D141="Pharmaceuticals &amp; Chemicals",D141="Pharmaceuticals &amp; Healthcare",D141="Pharmacy Retail",D141="Postal &amp; Logistics",D141="Retail",D141="Retail &amp; Distribution",D141="Retail &amp; Grocery",D141="Retail (IKEA)",D141="Tobacco",D141="Trading &amp; Conglomerate",D141="Utilities",D141="Utilities &amp; Energy",D141="Wholesale Retail"),2,
OR(D141="Agribusiness",D141="Automotive &amp; Heavy Vehicles",D141="Chemicals",D141="Commercial Vehicles",D141="Construction",D141="Construction &amp; Infrastructure",D141="Engines &amp; Power Systems",D141="Food Processing",D141="Healthcare",D141="Healthcare &amp; Medical Devices",D141="Heavy Equipment",D141="Heavy Industry",D141="Industrial Gases",D141="Industrial Manufacturing",D141="Logistics",D141="Medical Devices",D141="Mining",D141="Mining &amp; Commodities Trading",D141="Oil &amp; Gas",D141="Oilfield Services",D141="Rail Transport",D141="Shipping &amp; Logistics",D141="Steel"),3,
OR(D141="Apparel &amp; Footwear",D141="Beverage",D141="Coffeehouse &amp; Retail",D141="Conglomerate",D141="Consumer Goods",D141="Convenience Retail",D141="Electronics",D141="Electronics &amp; Semiconductors",D141="Electronics Retail",D141="Fashion Retail",D141="Food &amp; Beverage",D141="Food Retail &amp; Consumer Goods",D141="Industrial &amp; Technology",D141="Industrial Automation",D141="Industrial Technology",D141="Postal &amp; Financial Services",D141="Postal Services",D141="Scientific Instruments",D141="Technology Hardware",D141="Trading Company",D141="IT Consulting"),1,
OR(D141="Cosmetics",D141="E-commerce &amp; Cloud Computing",D141="Electronics &amp; Entertainment",D141="Entertainment &amp; Media",D141="Luxury Goods",D141="Media &amp; Telecommunications",D141="Networking Technology",D141="Real Estate Services",D141="Technology &amp; Consumer Electronics",D141="Telecommunications",D141="Telecommunications &amp; Investment"),1,
OR(D141="Asset Management",D141="Banking",D141="Banking &amp; Asset Services",D141="Banking &amp; Financial Services",D141="Banking &amp; Wealth Management",D141="Cloud Software",D141="Enterprise Software",D141="Financial Services",D141="Information Technology Consulting",D141="Investment Banking",D141="Social Media &amp; Technology",D141="Software &amp; Cloud Computing",D141="Technology &amp; Consulting",D141="Technology &amp; Internet Services",D141="Technology &amp; Software"),1,
TRUE,"Unmapped"
)</f>
        <v>1</v>
      </c>
      <c r="H141" s="5">
        <v>1</v>
      </c>
      <c r="I141" s="5">
        <f>VLOOKUP(B141,'BIS + EDBA Final'!A:F,6,FALSE)</f>
        <v>0</v>
      </c>
      <c r="J141" s="5">
        <f>VLOOKUP(B141,'CBG Final'!A:B,2,FALSE)</f>
        <v>1</v>
      </c>
      <c r="K141" s="9">
        <f t="shared" si="2"/>
        <v>1.4999999999999998</v>
      </c>
      <c r="L141" s="5" t="s">
        <v>1080</v>
      </c>
      <c r="M141" s="5" t="s">
        <v>352</v>
      </c>
      <c r="N141" s="5" t="s">
        <v>1081</v>
      </c>
      <c r="O141" s="5" t="s">
        <v>1082</v>
      </c>
      <c r="P141" s="5" t="s">
        <v>1083</v>
      </c>
      <c r="Q141" s="5" t="s">
        <v>1084</v>
      </c>
      <c r="R141" s="5" t="s">
        <v>145</v>
      </c>
      <c r="S141" s="10"/>
      <c r="T141" s="11"/>
      <c r="U141" s="11"/>
      <c r="V141" s="10"/>
      <c r="W141" s="10"/>
      <c r="X141" s="10"/>
      <c r="Y141" s="10"/>
      <c r="Z141" s="10"/>
      <c r="AA141" s="10"/>
      <c r="AB141" s="10"/>
      <c r="AC141" s="10"/>
      <c r="AD141" s="10"/>
      <c r="AE141" s="10"/>
      <c r="AF141" s="10"/>
      <c r="AG141" s="10"/>
      <c r="AH141" s="10"/>
    </row>
    <row r="142" spans="1:34" ht="15.75" customHeight="1">
      <c r="A142" s="5"/>
      <c r="B142" s="5" t="s">
        <v>492</v>
      </c>
      <c r="C142" s="6" t="s">
        <v>62</v>
      </c>
      <c r="D142" s="7" t="s">
        <v>493</v>
      </c>
      <c r="E142" s="8">
        <v>218718</v>
      </c>
      <c r="F142" s="6" cm="1">
        <f t="array" ref="F142">_xlfn.IFS(
E142&lt;=$E$245,0,
E142&lt;=$E$246,1,
E142&lt;=$E$247,2,
E142&gt;=$E$247,3)</f>
        <v>3</v>
      </c>
      <c r="G142" s="7" cm="1">
        <f t="array" ref="G142">_xlfn.IFS(
OR(D142="Aerospace",D142="Aerospace &amp; Defense",D142="Agricultural Equipment",D142="Airlines",D142="Automotive",D142="Automotive &amp; Energy",D142="Automotive Components",D142="Aviation",D142="Building Materials",D142="Chemicals",D142="Commercial Vehicles",D142="Conglomerate &amp; Defense",D142="Conglomerate &amp; Energy",D142="Construction",D142="Construction &amp; Infrastructure",D142="Construction &amp; Real Estate",D142="Construction &amp; Telecom",D142="Discount Retail",D142="Energy Management",D142="Energy Technology",D142="Engines &amp; Power Systems",D142="Environmental Services",D142="Food Distribution",D142="Food Services",D142="Grocery Retail",D142="Healthcare &amp; Pharmacy",D142="Home Improvement Retail",D142="Industrial Engineering &amp; Electronics",D142="Oilfield Services",D142="Pharmaceuticals",D142="Pharmaceuticals &amp; Chemicals",D142="Pharmaceuticals &amp; Healthcare",D142="Pharmacy Retail",D142="Postal &amp; Logistics",D142="Retail",D142="Retail &amp; Distribution",D142="Retail &amp; Grocery",D142="Retail (IKEA)",D142="Tobacco",D142="Trading &amp; Conglomerate",D142="Utilities",D142="Utilities &amp; Energy",D142="Wholesale Retail"),2,
OR(D142="Agribusiness",D142="Automotive &amp; Heavy Vehicles",D142="Chemicals",D142="Commercial Vehicles",D142="Construction",D142="Construction &amp; Infrastructure",D142="Engines &amp; Power Systems",D142="Food Processing",D142="Healthcare",D142="Healthcare &amp; Medical Devices",D142="Heavy Equipment",D142="Heavy Industry",D142="Industrial Gases",D142="Industrial Manufacturing",D142="Logistics",D142="Medical Devices",D142="Mining",D142="Mining &amp; Commodities Trading",D142="Oil &amp; Gas",D142="Oilfield Services",D142="Rail Transport",D142="Shipping &amp; Logistics",D142="Steel"),3,
OR(D142="Apparel &amp; Footwear",D142="Beverage",D142="Coffeehouse &amp; Retail",D142="Conglomerate",D142="Consumer Goods",D142="Convenience Retail",D142="Electronics",D142="Electronics &amp; Semiconductors",D142="Electronics Retail",D142="Fashion Retail",D142="Food &amp; Beverage",D142="Food Retail &amp; Consumer Goods",D142="Industrial &amp; Technology",D142="Industrial Automation",D142="Industrial Technology",D142="Postal &amp; Financial Services",D142="Postal Services",D142="Scientific Instruments",D142="Technology Hardware",D142="Trading Company",D142="IT Consulting"),1,
OR(D142="Cosmetics",D142="E-commerce &amp; Cloud Computing",D142="Electronics &amp; Entertainment",D142="Entertainment &amp; Media",D142="Luxury Goods",D142="Media &amp; Telecommunications",D142="Networking Technology",D142="Real Estate Services",D142="Technology &amp; Consumer Electronics",D142="Telecommunications",D142="Telecommunications &amp; Investment"),1,
OR(D142="Asset Management",D142="Banking",D142="Banking &amp; Asset Services",D142="Banking &amp; Financial Services",D142="Banking &amp; Wealth Management",D142="Cloud Software",D142="Enterprise Software",D142="Financial Services",D142="Information Technology Consulting",D142="Investment Banking",D142="Social Media &amp; Technology",D142="Software &amp; Cloud Computing",D142="Technology &amp; Consulting",D142="Technology &amp; Internet Services",D142="Technology &amp; Software"),1,
TRUE,"Unmapped"
)</f>
        <v>1</v>
      </c>
      <c r="H142" s="5">
        <v>1</v>
      </c>
      <c r="I142" s="5">
        <f>VLOOKUP(B142,'BIS + EDBA Final'!A:F,6,FALSE)</f>
        <v>0</v>
      </c>
      <c r="J142" s="5">
        <f>VLOOKUP(B142,'CBG Final'!A:B,2,FALSE)</f>
        <v>1</v>
      </c>
      <c r="K142" s="9">
        <f t="shared" si="2"/>
        <v>1.4999999999999998</v>
      </c>
      <c r="L142" s="5" t="s">
        <v>1038</v>
      </c>
      <c r="M142" s="5" t="s">
        <v>1039</v>
      </c>
      <c r="N142" s="5" t="s">
        <v>1040</v>
      </c>
      <c r="O142" s="5" t="s">
        <v>1041</v>
      </c>
      <c r="P142" s="5" t="s">
        <v>1042</v>
      </c>
      <c r="Q142" s="5" t="s">
        <v>615</v>
      </c>
      <c r="R142" s="5" t="s">
        <v>58</v>
      </c>
      <c r="S142" s="10"/>
      <c r="T142" s="11"/>
      <c r="U142" s="11"/>
      <c r="V142" s="10"/>
      <c r="W142" s="10"/>
      <c r="X142" s="11"/>
      <c r="Y142" s="11"/>
      <c r="Z142" s="10"/>
      <c r="AA142" s="10"/>
      <c r="AB142" s="10"/>
      <c r="AC142" s="10"/>
      <c r="AD142" s="10"/>
      <c r="AE142" s="10"/>
      <c r="AF142" s="10"/>
      <c r="AG142" s="10"/>
      <c r="AH142" s="10"/>
    </row>
    <row r="143" spans="1:34" ht="15.75" customHeight="1">
      <c r="A143" s="5"/>
      <c r="B143" s="5" t="s">
        <v>480</v>
      </c>
      <c r="C143" s="6" t="s">
        <v>22</v>
      </c>
      <c r="D143" s="7" t="s">
        <v>157</v>
      </c>
      <c r="E143" s="8">
        <v>236226</v>
      </c>
      <c r="F143" s="6" cm="1">
        <f t="array" ref="F143">_xlfn.IFS(
E143&lt;=$E$245,0,
E143&lt;=$E$246,1,
E143&lt;=$E$247,2,
E143&gt;=$E$247,3)</f>
        <v>3</v>
      </c>
      <c r="G143" s="7" cm="1">
        <f t="array" ref="G143">_xlfn.IFS(
OR(D143="Aerospace",D143="Aerospace &amp; Defense",D143="Agricultural Equipment",D143="Airlines",D143="Automotive",D143="Automotive &amp; Energy",D143="Automotive Components",D143="Aviation",D143="Building Materials",D143="Chemicals",D143="Commercial Vehicles",D143="Conglomerate &amp; Defense",D143="Conglomerate &amp; Energy",D143="Construction",D143="Construction &amp; Infrastructure",D143="Construction &amp; Real Estate",D143="Construction &amp; Telecom",D143="Discount Retail",D143="Energy Management",D143="Energy Technology",D143="Engines &amp; Power Systems",D143="Environmental Services",D143="Food Distribution",D143="Food Services",D143="Grocery Retail",D143="Healthcare &amp; Pharmacy",D143="Home Improvement Retail",D143="Industrial Engineering &amp; Electronics",D143="Oilfield Services",D143="Pharmaceuticals",D143="Pharmaceuticals &amp; Chemicals",D143="Pharmaceuticals &amp; Healthcare",D143="Pharmacy Retail",D143="Postal &amp; Logistics",D143="Retail",D143="Retail &amp; Distribution",D143="Retail &amp; Grocery",D143="Retail (IKEA)",D143="Tobacco",D143="Trading &amp; Conglomerate",D143="Utilities",D143="Utilities &amp; Energy",D143="Wholesale Retail"),2,
OR(D143="Agribusiness",D143="Automotive &amp; Heavy Vehicles",D143="Chemicals",D143="Commercial Vehicles",D143="Construction",D143="Construction &amp; Infrastructure",D143="Engines &amp; Power Systems",D143="Food Processing",D143="Healthcare",D143="Healthcare &amp; Medical Devices",D143="Heavy Equipment",D143="Heavy Industry",D143="Industrial Gases",D143="Industrial Manufacturing",D143="Logistics",D143="Medical Devices",D143="Mining",D143="Mining &amp; Commodities Trading",D143="Oil &amp; Gas",D143="Oilfield Services",D143="Rail Transport",D143="Shipping &amp; Logistics",D143="Steel"),3,
OR(D143="Apparel &amp; Footwear",D143="Beverage",D143="Coffeehouse &amp; Retail",D143="Conglomerate",D143="Consumer Goods",D143="Convenience Retail",D143="Electronics",D143="Electronics &amp; Semiconductors",D143="Electronics Retail",D143="Fashion Retail",D143="Food &amp; Beverage",D143="Food Retail &amp; Consumer Goods",D143="Industrial &amp; Technology",D143="Industrial Automation",D143="Industrial Technology",D143="Postal &amp; Financial Services",D143="Postal Services",D143="Scientific Instruments",D143="Technology Hardware",D143="Trading Company",D143="IT Consulting"),1,
OR(D143="Cosmetics",D143="E-commerce &amp; Cloud Computing",D143="Electronics &amp; Entertainment",D143="Entertainment &amp; Media",D143="Luxury Goods",D143="Media &amp; Telecommunications",D143="Networking Technology",D143="Real Estate Services",D143="Technology &amp; Consumer Electronics",D143="Telecommunications",D143="Telecommunications &amp; Investment"),1,
OR(D143="Asset Management",D143="Banking",D143="Banking &amp; Asset Services",D143="Banking &amp; Financial Services",D143="Banking &amp; Wealth Management",D143="Cloud Software",D143="Enterprise Software",D143="Financial Services",D143="Information Technology Consulting",D143="Investment Banking",D143="Social Media &amp; Technology",D143="Software &amp; Cloud Computing",D143="Technology &amp; Consulting",D143="Technology &amp; Internet Services",D143="Technology &amp; Software"),1,
TRUE,"Unmapped"
)</f>
        <v>1</v>
      </c>
      <c r="H143" s="5">
        <v>1</v>
      </c>
      <c r="I143" s="5">
        <f>VLOOKUP(B143,'BIS + EDBA Final'!A:F,6,FALSE)</f>
        <v>0</v>
      </c>
      <c r="J143" s="5">
        <f>VLOOKUP(B143,'CBG Final'!A:B,2,FALSE)</f>
        <v>1</v>
      </c>
      <c r="K143" s="9">
        <f t="shared" si="2"/>
        <v>1.4999999999999998</v>
      </c>
      <c r="L143" s="5" t="s">
        <v>1340</v>
      </c>
      <c r="M143" s="5" t="s">
        <v>1341</v>
      </c>
      <c r="N143" s="5" t="s">
        <v>1342</v>
      </c>
      <c r="O143" s="5" t="s">
        <v>1119</v>
      </c>
      <c r="P143" s="5" t="s">
        <v>1343</v>
      </c>
      <c r="Q143" s="5" t="s">
        <v>431</v>
      </c>
      <c r="R143" s="5" t="s">
        <v>422</v>
      </c>
      <c r="S143" s="10"/>
      <c r="T143" s="11"/>
      <c r="U143" s="11"/>
      <c r="V143" s="10"/>
      <c r="W143" s="10"/>
      <c r="X143" s="11"/>
      <c r="Y143" s="11"/>
      <c r="Z143" s="10"/>
      <c r="AA143" s="10"/>
      <c r="AB143" s="10"/>
      <c r="AC143" s="10"/>
      <c r="AD143" s="10"/>
      <c r="AE143" s="10"/>
      <c r="AF143" s="10"/>
      <c r="AG143" s="10"/>
      <c r="AH143" s="10"/>
    </row>
    <row r="144" spans="1:34" ht="15.75" customHeight="1">
      <c r="A144" s="5"/>
      <c r="B144" s="5" t="s">
        <v>953</v>
      </c>
      <c r="C144" s="6" t="s">
        <v>22</v>
      </c>
      <c r="D144" s="7" t="s">
        <v>157</v>
      </c>
      <c r="E144" s="8">
        <v>214521</v>
      </c>
      <c r="F144" s="6" cm="1">
        <f t="array" ref="F144">_xlfn.IFS(
E144&lt;=$E$245,0,
E144&lt;=$E$246,1,
E144&lt;=$E$247,2,
E144&gt;=$E$247,3)</f>
        <v>3</v>
      </c>
      <c r="G144" s="7" cm="1">
        <f t="array" ref="G144">_xlfn.IFS(
OR(D144="Aerospace",D144="Aerospace &amp; Defense",D144="Agricultural Equipment",D144="Airlines",D144="Automotive",D144="Automotive &amp; Energy",D144="Automotive Components",D144="Aviation",D144="Building Materials",D144="Chemicals",D144="Commercial Vehicles",D144="Conglomerate &amp; Defense",D144="Conglomerate &amp; Energy",D144="Construction",D144="Construction &amp; Infrastructure",D144="Construction &amp; Real Estate",D144="Construction &amp; Telecom",D144="Discount Retail",D144="Energy Management",D144="Energy Technology",D144="Engines &amp; Power Systems",D144="Environmental Services",D144="Food Distribution",D144="Food Services",D144="Grocery Retail",D144="Healthcare &amp; Pharmacy",D144="Home Improvement Retail",D144="Industrial Engineering &amp; Electronics",D144="Oilfield Services",D144="Pharmaceuticals",D144="Pharmaceuticals &amp; Chemicals",D144="Pharmaceuticals &amp; Healthcare",D144="Pharmacy Retail",D144="Postal &amp; Logistics",D144="Retail",D144="Retail &amp; Distribution",D144="Retail &amp; Grocery",D144="Retail (IKEA)",D144="Tobacco",D144="Trading &amp; Conglomerate",D144="Utilities",D144="Utilities &amp; Energy",D144="Wholesale Retail"),2,
OR(D144="Agribusiness",D144="Automotive &amp; Heavy Vehicles",D144="Chemicals",D144="Commercial Vehicles",D144="Construction",D144="Construction &amp; Infrastructure",D144="Engines &amp; Power Systems",D144="Food Processing",D144="Healthcare",D144="Healthcare &amp; Medical Devices",D144="Heavy Equipment",D144="Heavy Industry",D144="Industrial Gases",D144="Industrial Manufacturing",D144="Logistics",D144="Medical Devices",D144="Mining",D144="Mining &amp; Commodities Trading",D144="Oil &amp; Gas",D144="Oilfield Services",D144="Rail Transport",D144="Shipping &amp; Logistics",D144="Steel"),3,
OR(D144="Apparel &amp; Footwear",D144="Beverage",D144="Coffeehouse &amp; Retail",D144="Conglomerate",D144="Consumer Goods",D144="Convenience Retail",D144="Electronics",D144="Electronics &amp; Semiconductors",D144="Electronics Retail",D144="Fashion Retail",D144="Food &amp; Beverage",D144="Food Retail &amp; Consumer Goods",D144="Industrial &amp; Technology",D144="Industrial Automation",D144="Industrial Technology",D144="Postal &amp; Financial Services",D144="Postal Services",D144="Scientific Instruments",D144="Technology Hardware",D144="Trading Company",D144="IT Consulting"),1,
OR(D144="Cosmetics",D144="E-commerce &amp; Cloud Computing",D144="Electronics &amp; Entertainment",D144="Entertainment &amp; Media",D144="Luxury Goods",D144="Media &amp; Telecommunications",D144="Networking Technology",D144="Real Estate Services",D144="Technology &amp; Consumer Electronics",D144="Telecommunications",D144="Telecommunications &amp; Investment"),1,
OR(D144="Asset Management",D144="Banking",D144="Banking &amp; Asset Services",D144="Banking &amp; Financial Services",D144="Banking &amp; Wealth Management",D144="Cloud Software",D144="Enterprise Software",D144="Financial Services",D144="Information Technology Consulting",D144="Investment Banking",D144="Social Media &amp; Technology",D144="Software &amp; Cloud Computing",D144="Technology &amp; Consulting",D144="Technology &amp; Internet Services",D144="Technology &amp; Software"),1,
TRUE,"Unmapped"
)</f>
        <v>1</v>
      </c>
      <c r="H144" s="5">
        <v>1</v>
      </c>
      <c r="I144" s="5">
        <f>VLOOKUP(B144,'BIS + EDBA Final'!A:F,6,FALSE)</f>
        <v>0</v>
      </c>
      <c r="J144" s="5">
        <f>VLOOKUP(B144,'CBG Final'!A:B,2,FALSE)</f>
        <v>1</v>
      </c>
      <c r="K144" s="9">
        <f t="shared" si="2"/>
        <v>1.4999999999999998</v>
      </c>
      <c r="L144" s="5" t="s">
        <v>954</v>
      </c>
      <c r="M144" s="5" t="s">
        <v>414</v>
      </c>
      <c r="N144" s="5" t="s">
        <v>955</v>
      </c>
      <c r="O144" s="5" t="s">
        <v>956</v>
      </c>
      <c r="P144" s="5" t="s">
        <v>957</v>
      </c>
      <c r="Q144" s="5" t="s">
        <v>958</v>
      </c>
      <c r="R144" s="5" t="s">
        <v>169</v>
      </c>
      <c r="S144" s="10"/>
      <c r="T144" s="11"/>
      <c r="U144" s="11"/>
      <c r="V144" s="10"/>
      <c r="W144" s="10"/>
      <c r="X144" s="11"/>
      <c r="Y144" s="11"/>
      <c r="Z144" s="10"/>
      <c r="AA144" s="10"/>
      <c r="AB144" s="10"/>
      <c r="AC144" s="10"/>
      <c r="AD144" s="10"/>
      <c r="AE144" s="10"/>
      <c r="AF144" s="10"/>
      <c r="AG144" s="10"/>
      <c r="AH144" s="10"/>
    </row>
    <row r="145" spans="1:34" ht="15.75" customHeight="1">
      <c r="A145" s="5"/>
      <c r="B145" s="5" t="s">
        <v>1140</v>
      </c>
      <c r="C145" s="6" t="s">
        <v>62</v>
      </c>
      <c r="D145" s="7" t="s">
        <v>600</v>
      </c>
      <c r="E145" s="8">
        <v>149914</v>
      </c>
      <c r="F145" s="6" cm="1">
        <f t="array" ref="F145">_xlfn.IFS(
E145&lt;=$E$245,0,
E145&lt;=$E$246,1,
E145&lt;=$E$247,2,
E145&gt;=$E$247,3)</f>
        <v>2</v>
      </c>
      <c r="G145" s="7" cm="1">
        <f t="array" ref="G145">_xlfn.IFS(
OR(D145="Aerospace",D145="Aerospace &amp; Defense",D145="Agricultural Equipment",D145="Airlines",D145="Automotive",D145="Automotive &amp; Energy",D145="Automotive Components",D145="Aviation",D145="Building Materials",D145="Chemicals",D145="Commercial Vehicles",D145="Conglomerate &amp; Defense",D145="Conglomerate &amp; Energy",D145="Construction",D145="Construction &amp; Infrastructure",D145="Construction &amp; Real Estate",D145="Construction &amp; Telecom",D145="Discount Retail",D145="Energy Management",D145="Energy Technology",D145="Engines &amp; Power Systems",D145="Environmental Services",D145="Food Distribution",D145="Food Services",D145="Grocery Retail",D145="Healthcare &amp; Pharmacy",D145="Home Improvement Retail",D145="Industrial Engineering &amp; Electronics",D145="Oilfield Services",D145="Pharmaceuticals",D145="Pharmaceuticals &amp; Chemicals",D145="Pharmaceuticals &amp; Healthcare",D145="Pharmacy Retail",D145="Postal &amp; Logistics",D145="Retail",D145="Retail &amp; Distribution",D145="Retail &amp; Grocery",D145="Retail (IKEA)",D145="Tobacco",D145="Trading &amp; Conglomerate",D145="Utilities",D145="Utilities &amp; Energy",D145="Wholesale Retail"),2,
OR(D145="Agribusiness",D145="Automotive &amp; Heavy Vehicles",D145="Chemicals",D145="Commercial Vehicles",D145="Construction",D145="Construction &amp; Infrastructure",D145="Engines &amp; Power Systems",D145="Food Processing",D145="Healthcare",D145="Healthcare &amp; Medical Devices",D145="Heavy Equipment",D145="Heavy Industry",D145="Industrial Gases",D145="Industrial Manufacturing",D145="Logistics",D145="Medical Devices",D145="Mining",D145="Mining &amp; Commodities Trading",D145="Oil &amp; Gas",D145="Oilfield Services",D145="Rail Transport",D145="Shipping &amp; Logistics",D145="Steel"),3,
OR(D145="Apparel &amp; Footwear",D145="Beverage",D145="Coffeehouse &amp; Retail",D145="Conglomerate",D145="Consumer Goods",D145="Convenience Retail",D145="Electronics",D145="Electronics &amp; Semiconductors",D145="Electronics Retail",D145="Fashion Retail",D145="Food &amp; Beverage",D145="Food Retail &amp; Consumer Goods",D145="Industrial &amp; Technology",D145="Industrial Automation",D145="Industrial Technology",D145="Postal &amp; Financial Services",D145="Postal Services",D145="Scientific Instruments",D145="Technology Hardware",D145="Trading Company",D145="IT Consulting"),1,
OR(D145="Cosmetics",D145="E-commerce &amp; Cloud Computing",D145="Electronics &amp; Entertainment",D145="Entertainment &amp; Media",D145="Luxury Goods",D145="Media &amp; Telecommunications",D145="Networking Technology",D145="Real Estate Services",D145="Technology &amp; Consumer Electronics",D145="Telecommunications",D145="Telecommunications &amp; Investment"),1,
OR(D145="Asset Management",D145="Banking",D145="Banking &amp; Asset Services",D145="Banking &amp; Financial Services",D145="Banking &amp; Wealth Management",D145="Cloud Software",D145="Enterprise Software",D145="Financial Services",D145="Information Technology Consulting",D145="Investment Banking",D145="Social Media &amp; Technology",D145="Software &amp; Cloud Computing",D145="Technology &amp; Consulting",D145="Technology &amp; Internet Services",D145="Technology &amp; Software"),1,
TRUE,"Unmapped"
)</f>
        <v>1</v>
      </c>
      <c r="H145" s="5">
        <v>2</v>
      </c>
      <c r="I145" s="5">
        <f>VLOOKUP(B145,'BIS + EDBA Final'!A:F,6,FALSE)</f>
        <v>0</v>
      </c>
      <c r="J145" s="5">
        <f>VLOOKUP(B145,'CBG Final'!A:B,2,FALSE)</f>
        <v>1</v>
      </c>
      <c r="K145" s="9">
        <f t="shared" si="2"/>
        <v>1.4000000000000001</v>
      </c>
      <c r="L145" s="5" t="s">
        <v>1141</v>
      </c>
      <c r="M145" s="5" t="s">
        <v>65</v>
      </c>
      <c r="N145" s="5" t="s">
        <v>1142</v>
      </c>
      <c r="O145" s="5" t="s">
        <v>1019</v>
      </c>
      <c r="P145" s="5" t="s">
        <v>1143</v>
      </c>
      <c r="Q145" s="5" t="s">
        <v>1144</v>
      </c>
      <c r="R145" s="5" t="s">
        <v>20</v>
      </c>
      <c r="S145" s="10"/>
      <c r="T145" s="11"/>
      <c r="U145" s="11"/>
      <c r="V145" s="10"/>
      <c r="W145" s="10"/>
      <c r="X145" s="10"/>
      <c r="Y145" s="10"/>
      <c r="Z145" s="10"/>
      <c r="AA145" s="10"/>
      <c r="AB145" s="10"/>
      <c r="AC145" s="10"/>
      <c r="AD145" s="10"/>
      <c r="AE145" s="10"/>
      <c r="AF145" s="10"/>
      <c r="AG145" s="10"/>
      <c r="AH145" s="10"/>
    </row>
    <row r="146" spans="1:34" ht="15.75" customHeight="1">
      <c r="A146" s="5"/>
      <c r="B146" s="5" t="s">
        <v>1187</v>
      </c>
      <c r="C146" s="6" t="s">
        <v>110</v>
      </c>
      <c r="D146" s="7" t="s">
        <v>483</v>
      </c>
      <c r="E146" s="8">
        <v>77349</v>
      </c>
      <c r="F146" s="6" cm="1">
        <f t="array" ref="F146">_xlfn.IFS(
E146&lt;=$E$245,0,
E146&lt;=$E$246,1,
E146&lt;=$E$247,2,
E146&gt;=$E$247,3)</f>
        <v>0</v>
      </c>
      <c r="G146" s="7" cm="1">
        <f t="array" ref="G146">_xlfn.IFS(
OR(D146="Aerospace",D146="Aerospace &amp; Defense",D146="Agricultural Equipment",D146="Airlines",D146="Automotive",D146="Automotive &amp; Energy",D146="Automotive Components",D146="Aviation",D146="Building Materials",D146="Chemicals",D146="Commercial Vehicles",D146="Conglomerate &amp; Defense",D146="Conglomerate &amp; Energy",D146="Construction",D146="Construction &amp; Infrastructure",D146="Construction &amp; Real Estate",D146="Construction &amp; Telecom",D146="Discount Retail",D146="Energy Management",D146="Energy Technology",D146="Engines &amp; Power Systems",D146="Environmental Services",D146="Food Distribution",D146="Food Services",D146="Grocery Retail",D146="Healthcare &amp; Pharmacy",D146="Home Improvement Retail",D146="Industrial Engineering &amp; Electronics",D146="Oilfield Services",D146="Pharmaceuticals",D146="Pharmaceuticals &amp; Chemicals",D146="Pharmaceuticals &amp; Healthcare",D146="Pharmacy Retail",D146="Postal &amp; Logistics",D146="Retail",D146="Retail &amp; Distribution",D146="Retail &amp; Grocery",D146="Retail (IKEA)",D146="Tobacco",D146="Trading &amp; Conglomerate",D146="Utilities",D146="Utilities &amp; Energy",D146="Wholesale Retail"),2,
OR(D146="Agribusiness",D146="Automotive &amp; Heavy Vehicles",D146="Chemicals",D146="Commercial Vehicles",D146="Construction",D146="Construction &amp; Infrastructure",D146="Engines &amp; Power Systems",D146="Food Processing",D146="Healthcare",D146="Healthcare &amp; Medical Devices",D146="Heavy Equipment",D146="Heavy Industry",D146="Industrial Gases",D146="Industrial Manufacturing",D146="Logistics",D146="Medical Devices",D146="Mining",D146="Mining &amp; Commodities Trading",D146="Oil &amp; Gas",D146="Oilfield Services",D146="Rail Transport",D146="Shipping &amp; Logistics",D146="Steel"),3,
OR(D146="Apparel &amp; Footwear",D146="Beverage",D146="Coffeehouse &amp; Retail",D146="Conglomerate",D146="Consumer Goods",D146="Convenience Retail",D146="Electronics",D146="Electronics &amp; Semiconductors",D146="Electronics Retail",D146="Fashion Retail",D146="Food &amp; Beverage",D146="Food Retail &amp; Consumer Goods",D146="Industrial &amp; Technology",D146="Industrial Automation",D146="Industrial Technology",D146="Postal &amp; Financial Services",D146="Postal Services",D146="Scientific Instruments",D146="Technology Hardware",D146="Trading Company",D146="IT Consulting"),1,
OR(D146="Cosmetics",D146="E-commerce &amp; Cloud Computing",D146="Electronics &amp; Entertainment",D146="Entertainment &amp; Media",D146="Luxury Goods",D146="Media &amp; Telecommunications",D146="Networking Technology",D146="Real Estate Services",D146="Technology &amp; Consumer Electronics",D146="Telecommunications",D146="Telecommunications &amp; Investment"),1,
OR(D146="Asset Management",D146="Banking",D146="Banking &amp; Asset Services",D146="Banking &amp; Financial Services",D146="Banking &amp; Wealth Management",D146="Cloud Software",D146="Enterprise Software",D146="Financial Services",D146="Information Technology Consulting",D146="Investment Banking",D146="Social Media &amp; Technology",D146="Software &amp; Cloud Computing",D146="Technology &amp; Consulting",D146="Technology &amp; Internet Services",D146="Technology &amp; Software"),1,
TRUE,"Unmapped"
)</f>
        <v>2</v>
      </c>
      <c r="H146" s="5">
        <v>2</v>
      </c>
      <c r="I146" s="5">
        <f>VLOOKUP(B146,'BIS + EDBA Final'!A:F,6,FALSE)</f>
        <v>0</v>
      </c>
      <c r="J146" s="5">
        <f>VLOOKUP(B146,'CBG Final'!A:B,2,FALSE)</f>
        <v>3</v>
      </c>
      <c r="K146" s="9">
        <f t="shared" si="2"/>
        <v>1.4000000000000001</v>
      </c>
      <c r="L146" s="5" t="s">
        <v>1188</v>
      </c>
      <c r="M146" s="5" t="s">
        <v>1189</v>
      </c>
      <c r="N146" s="5" t="s">
        <v>1190</v>
      </c>
      <c r="O146" s="5" t="s">
        <v>428</v>
      </c>
      <c r="P146" s="5" t="s">
        <v>1191</v>
      </c>
      <c r="Q146" s="5" t="s">
        <v>1192</v>
      </c>
      <c r="R146" s="5" t="s">
        <v>169</v>
      </c>
      <c r="S146" s="10"/>
      <c r="T146" s="11"/>
      <c r="U146" s="11"/>
      <c r="V146" s="10"/>
      <c r="W146" s="10"/>
      <c r="X146" s="10"/>
      <c r="Y146" s="10"/>
      <c r="Z146" s="10"/>
      <c r="AA146" s="10"/>
      <c r="AB146" s="10"/>
      <c r="AC146" s="10"/>
      <c r="AD146" s="10"/>
      <c r="AE146" s="10"/>
      <c r="AF146" s="10"/>
      <c r="AG146" s="10"/>
      <c r="AH146" s="10"/>
    </row>
    <row r="147" spans="1:34" ht="15.75" customHeight="1">
      <c r="A147" s="5"/>
      <c r="B147" s="5" t="s">
        <v>616</v>
      </c>
      <c r="C147" s="6" t="s">
        <v>36</v>
      </c>
      <c r="D147" s="7" t="s">
        <v>483</v>
      </c>
      <c r="E147" s="8">
        <v>81000</v>
      </c>
      <c r="F147" s="6" cm="1">
        <f t="array" ref="F147">_xlfn.IFS(
E147&lt;=$E$245,0,
E147&lt;=$E$246,1,
E147&lt;=$E$247,2,
E147&gt;=$E$247,3)</f>
        <v>0</v>
      </c>
      <c r="G147" s="7" cm="1">
        <f t="array" ref="G147">_xlfn.IFS(
OR(D147="Aerospace",D147="Aerospace &amp; Defense",D147="Agricultural Equipment",D147="Airlines",D147="Automotive",D147="Automotive &amp; Energy",D147="Automotive Components",D147="Aviation",D147="Building Materials",D147="Chemicals",D147="Commercial Vehicles",D147="Conglomerate &amp; Defense",D147="Conglomerate &amp; Energy",D147="Construction",D147="Construction &amp; Infrastructure",D147="Construction &amp; Real Estate",D147="Construction &amp; Telecom",D147="Discount Retail",D147="Energy Management",D147="Energy Technology",D147="Engines &amp; Power Systems",D147="Environmental Services",D147="Food Distribution",D147="Food Services",D147="Grocery Retail",D147="Healthcare &amp; Pharmacy",D147="Home Improvement Retail",D147="Industrial Engineering &amp; Electronics",D147="Oilfield Services",D147="Pharmaceuticals",D147="Pharmaceuticals &amp; Chemicals",D147="Pharmaceuticals &amp; Healthcare",D147="Pharmacy Retail",D147="Postal &amp; Logistics",D147="Retail",D147="Retail &amp; Distribution",D147="Retail &amp; Grocery",D147="Retail (IKEA)",D147="Tobacco",D147="Trading &amp; Conglomerate",D147="Utilities",D147="Utilities &amp; Energy",D147="Wholesale Retail"),2,
OR(D147="Agribusiness",D147="Automotive &amp; Heavy Vehicles",D147="Chemicals",D147="Commercial Vehicles",D147="Construction",D147="Construction &amp; Infrastructure",D147="Engines &amp; Power Systems",D147="Food Processing",D147="Healthcare",D147="Healthcare &amp; Medical Devices",D147="Heavy Equipment",D147="Heavy Industry",D147="Industrial Gases",D147="Industrial Manufacturing",D147="Logistics",D147="Medical Devices",D147="Mining",D147="Mining &amp; Commodities Trading",D147="Oil &amp; Gas",D147="Oilfield Services",D147="Rail Transport",D147="Shipping &amp; Logistics",D147="Steel"),3,
OR(D147="Apparel &amp; Footwear",D147="Beverage",D147="Coffeehouse &amp; Retail",D147="Conglomerate",D147="Consumer Goods",D147="Convenience Retail",D147="Electronics",D147="Electronics &amp; Semiconductors",D147="Electronics Retail",D147="Fashion Retail",D147="Food &amp; Beverage",D147="Food Retail &amp; Consumer Goods",D147="Industrial &amp; Technology",D147="Industrial Automation",D147="Industrial Technology",D147="Postal &amp; Financial Services",D147="Postal Services",D147="Scientific Instruments",D147="Technology Hardware",D147="Trading Company",D147="IT Consulting"),1,
OR(D147="Cosmetics",D147="E-commerce &amp; Cloud Computing",D147="Electronics &amp; Entertainment",D147="Entertainment &amp; Media",D147="Luxury Goods",D147="Media &amp; Telecommunications",D147="Networking Technology",D147="Real Estate Services",D147="Technology &amp; Consumer Electronics",D147="Telecommunications",D147="Telecommunications &amp; Investment"),1,
OR(D147="Asset Management",D147="Banking",D147="Banking &amp; Asset Services",D147="Banking &amp; Financial Services",D147="Banking &amp; Wealth Management",D147="Cloud Software",D147="Enterprise Software",D147="Financial Services",D147="Information Technology Consulting",D147="Investment Banking",D147="Social Media &amp; Technology",D147="Software &amp; Cloud Computing",D147="Technology &amp; Consulting",D147="Technology &amp; Internet Services",D147="Technology &amp; Software"),1,
TRUE,"Unmapped"
)</f>
        <v>2</v>
      </c>
      <c r="H147" s="5">
        <v>2</v>
      </c>
      <c r="I147" s="5">
        <f>VLOOKUP(B147,'BIS + EDBA Final'!A:F,6,FALSE)</f>
        <v>0</v>
      </c>
      <c r="J147" s="5">
        <f>VLOOKUP(B147,'CBG Final'!A:B,2,FALSE)</f>
        <v>3</v>
      </c>
      <c r="K147" s="9">
        <f t="shared" si="2"/>
        <v>1.4000000000000001</v>
      </c>
      <c r="L147" s="5" t="s">
        <v>1223</v>
      </c>
      <c r="M147" s="5" t="s">
        <v>275</v>
      </c>
      <c r="N147" s="5" t="s">
        <v>1224</v>
      </c>
      <c r="O147" s="5" t="s">
        <v>1225</v>
      </c>
      <c r="P147" s="5" t="s">
        <v>1226</v>
      </c>
      <c r="Q147" s="5" t="s">
        <v>136</v>
      </c>
      <c r="R147" s="5" t="s">
        <v>20</v>
      </c>
      <c r="S147" s="10"/>
      <c r="T147" s="11"/>
      <c r="U147" s="11"/>
      <c r="V147" s="10"/>
      <c r="W147" s="10"/>
      <c r="X147" s="11"/>
      <c r="Y147" s="11"/>
      <c r="Z147" s="10"/>
      <c r="AA147" s="10"/>
      <c r="AB147" s="10"/>
      <c r="AC147" s="10"/>
      <c r="AD147" s="10"/>
      <c r="AE147" s="10"/>
      <c r="AF147" s="10"/>
      <c r="AG147" s="10"/>
      <c r="AH147" s="10"/>
    </row>
    <row r="148" spans="1:34" ht="15.75" customHeight="1">
      <c r="A148" s="5"/>
      <c r="B148" s="5" t="s">
        <v>734</v>
      </c>
      <c r="C148" s="6" t="s">
        <v>39</v>
      </c>
      <c r="D148" s="7" t="s">
        <v>483</v>
      </c>
      <c r="E148" s="8">
        <v>82878</v>
      </c>
      <c r="F148" s="6" cm="1">
        <f t="array" ref="F148">_xlfn.IFS(
E148&lt;=$E$245,0,
E148&lt;=$E$246,1,
E148&lt;=$E$247,2,
E148&gt;=$E$247,3)</f>
        <v>0</v>
      </c>
      <c r="G148" s="7" cm="1">
        <f t="array" ref="G148">_xlfn.IFS(
OR(D148="Aerospace",D148="Aerospace &amp; Defense",D148="Agricultural Equipment",D148="Airlines",D148="Automotive",D148="Automotive &amp; Energy",D148="Automotive Components",D148="Aviation",D148="Building Materials",D148="Chemicals",D148="Commercial Vehicles",D148="Conglomerate &amp; Defense",D148="Conglomerate &amp; Energy",D148="Construction",D148="Construction &amp; Infrastructure",D148="Construction &amp; Real Estate",D148="Construction &amp; Telecom",D148="Discount Retail",D148="Energy Management",D148="Energy Technology",D148="Engines &amp; Power Systems",D148="Environmental Services",D148="Food Distribution",D148="Food Services",D148="Grocery Retail",D148="Healthcare &amp; Pharmacy",D148="Home Improvement Retail",D148="Industrial Engineering &amp; Electronics",D148="Oilfield Services",D148="Pharmaceuticals",D148="Pharmaceuticals &amp; Chemicals",D148="Pharmaceuticals &amp; Healthcare",D148="Pharmacy Retail",D148="Postal &amp; Logistics",D148="Retail",D148="Retail &amp; Distribution",D148="Retail &amp; Grocery",D148="Retail (IKEA)",D148="Tobacco",D148="Trading &amp; Conglomerate",D148="Utilities",D148="Utilities &amp; Energy",D148="Wholesale Retail"),2,
OR(D148="Agribusiness",D148="Automotive &amp; Heavy Vehicles",D148="Chemicals",D148="Commercial Vehicles",D148="Construction",D148="Construction &amp; Infrastructure",D148="Engines &amp; Power Systems",D148="Food Processing",D148="Healthcare",D148="Healthcare &amp; Medical Devices",D148="Heavy Equipment",D148="Heavy Industry",D148="Industrial Gases",D148="Industrial Manufacturing",D148="Logistics",D148="Medical Devices",D148="Mining",D148="Mining &amp; Commodities Trading",D148="Oil &amp; Gas",D148="Oilfield Services",D148="Rail Transport",D148="Shipping &amp; Logistics",D148="Steel"),3,
OR(D148="Apparel &amp; Footwear",D148="Beverage",D148="Coffeehouse &amp; Retail",D148="Conglomerate",D148="Consumer Goods",D148="Convenience Retail",D148="Electronics",D148="Electronics &amp; Semiconductors",D148="Electronics Retail",D148="Fashion Retail",D148="Food &amp; Beverage",D148="Food Retail &amp; Consumer Goods",D148="Industrial &amp; Technology",D148="Industrial Automation",D148="Industrial Technology",D148="Postal &amp; Financial Services",D148="Postal Services",D148="Scientific Instruments",D148="Technology Hardware",D148="Trading Company",D148="IT Consulting"),1,
OR(D148="Cosmetics",D148="E-commerce &amp; Cloud Computing",D148="Electronics &amp; Entertainment",D148="Entertainment &amp; Media",D148="Luxury Goods",D148="Media &amp; Telecommunications",D148="Networking Technology",D148="Real Estate Services",D148="Technology &amp; Consumer Electronics",D148="Telecommunications",D148="Telecommunications &amp; Investment"),1,
OR(D148="Asset Management",D148="Banking",D148="Banking &amp; Asset Services",D148="Banking &amp; Financial Services",D148="Banking &amp; Wealth Management",D148="Cloud Software",D148="Enterprise Software",D148="Financial Services",D148="Information Technology Consulting",D148="Investment Banking",D148="Social Media &amp; Technology",D148="Software &amp; Cloud Computing",D148="Technology &amp; Consulting",D148="Technology &amp; Internet Services",D148="Technology &amp; Software"),1,
TRUE,"Unmapped"
)</f>
        <v>2</v>
      </c>
      <c r="H148" s="5">
        <v>2</v>
      </c>
      <c r="I148" s="5">
        <f>VLOOKUP(B148,'BIS + EDBA Final'!A:F,6,FALSE)</f>
        <v>0</v>
      </c>
      <c r="J148" s="5">
        <f>VLOOKUP(B148,'CBG Final'!A:B,2,FALSE)</f>
        <v>3</v>
      </c>
      <c r="K148" s="9">
        <f t="shared" si="2"/>
        <v>1.4000000000000001</v>
      </c>
      <c r="L148" s="5" t="s">
        <v>1283</v>
      </c>
      <c r="M148" s="5" t="s">
        <v>370</v>
      </c>
      <c r="N148" s="5" t="s">
        <v>1284</v>
      </c>
      <c r="O148" s="5" t="s">
        <v>189</v>
      </c>
      <c r="P148" s="5" t="s">
        <v>1285</v>
      </c>
      <c r="Q148" s="5" t="s">
        <v>422</v>
      </c>
      <c r="R148" s="5" t="s">
        <v>167</v>
      </c>
      <c r="S148" s="10"/>
      <c r="T148" s="11"/>
      <c r="U148" s="11"/>
      <c r="V148" s="10"/>
      <c r="W148" s="10"/>
      <c r="X148" s="10"/>
      <c r="Y148" s="10"/>
      <c r="Z148" s="10"/>
      <c r="AA148" s="10"/>
      <c r="AB148" s="10"/>
      <c r="AC148" s="10"/>
      <c r="AD148" s="10"/>
      <c r="AE148" s="10"/>
      <c r="AF148" s="10"/>
      <c r="AG148" s="10"/>
      <c r="AH148" s="10"/>
    </row>
    <row r="149" spans="1:34" ht="15.75" customHeight="1">
      <c r="A149" s="5"/>
      <c r="B149" s="5" t="s">
        <v>838</v>
      </c>
      <c r="C149" s="6" t="s">
        <v>94</v>
      </c>
      <c r="D149" s="7" t="s">
        <v>266</v>
      </c>
      <c r="E149" s="8">
        <v>92834</v>
      </c>
      <c r="F149" s="6" cm="1">
        <f t="array" ref="F149">_xlfn.IFS(
E149&lt;=$E$245,0,
E149&lt;=$E$246,1,
E149&lt;=$E$247,2,
E149&gt;=$E$247,3)</f>
        <v>1</v>
      </c>
      <c r="G149" s="7" cm="1">
        <f t="array" ref="G149">_xlfn.IFS(
OR(D149="Aerospace",D149="Aerospace &amp; Defense",D149="Agricultural Equipment",D149="Airlines",D149="Automotive",D149="Automotive &amp; Energy",D149="Automotive Components",D149="Aviation",D149="Building Materials",D149="Chemicals",D149="Commercial Vehicles",D149="Conglomerate &amp; Defense",D149="Conglomerate &amp; Energy",D149="Construction",D149="Construction &amp; Infrastructure",D149="Construction &amp; Real Estate",D149="Construction &amp; Telecom",D149="Discount Retail",D149="Energy Management",D149="Energy Technology",D149="Engines &amp; Power Systems",D149="Environmental Services",D149="Food Distribution",D149="Food Services",D149="Grocery Retail",D149="Healthcare &amp; Pharmacy",D149="Home Improvement Retail",D149="Industrial Engineering &amp; Electronics",D149="Oilfield Services",D149="Pharmaceuticals",D149="Pharmaceuticals &amp; Chemicals",D149="Pharmaceuticals &amp; Healthcare",D149="Pharmacy Retail",D149="Postal &amp; Logistics",D149="Retail",D149="Retail &amp; Distribution",D149="Retail &amp; Grocery",D149="Retail (IKEA)",D149="Tobacco",D149="Trading &amp; Conglomerate",D149="Utilities",D149="Utilities &amp; Energy",D149="Wholesale Retail"),2,
OR(D149="Agribusiness",D149="Automotive &amp; Heavy Vehicles",D149="Chemicals",D149="Commercial Vehicles",D149="Construction",D149="Construction &amp; Infrastructure",D149="Engines &amp; Power Systems",D149="Food Processing",D149="Healthcare",D149="Healthcare &amp; Medical Devices",D149="Heavy Equipment",D149="Heavy Industry",D149="Industrial Gases",D149="Industrial Manufacturing",D149="Logistics",D149="Medical Devices",D149="Mining",D149="Mining &amp; Commodities Trading",D149="Oil &amp; Gas",D149="Oilfield Services",D149="Rail Transport",D149="Shipping &amp; Logistics",D149="Steel"),3,
OR(D149="Apparel &amp; Footwear",D149="Beverage",D149="Coffeehouse &amp; Retail",D149="Conglomerate",D149="Consumer Goods",D149="Convenience Retail",D149="Electronics",D149="Electronics &amp; Semiconductors",D149="Electronics Retail",D149="Fashion Retail",D149="Food &amp; Beverage",D149="Food Retail &amp; Consumer Goods",D149="Industrial &amp; Technology",D149="Industrial Automation",D149="Industrial Technology",D149="Postal &amp; Financial Services",D149="Postal Services",D149="Scientific Instruments",D149="Technology Hardware",D149="Trading Company",D149="IT Consulting"),1,
OR(D149="Cosmetics",D149="E-commerce &amp; Cloud Computing",D149="Electronics &amp; Entertainment",D149="Entertainment &amp; Media",D149="Luxury Goods",D149="Media &amp; Telecommunications",D149="Networking Technology",D149="Real Estate Services",D149="Technology &amp; Consumer Electronics",D149="Telecommunications",D149="Telecommunications &amp; Investment"),1,
OR(D149="Asset Management",D149="Banking",D149="Banking &amp; Asset Services",D149="Banking &amp; Financial Services",D149="Banking &amp; Wealth Management",D149="Cloud Software",D149="Enterprise Software",D149="Financial Services",D149="Information Technology Consulting",D149="Investment Banking",D149="Social Media &amp; Technology",D149="Software &amp; Cloud Computing",D149="Technology &amp; Consulting",D149="Technology &amp; Internet Services",D149="Technology &amp; Software"),1,
TRUE,"Unmapped"
)</f>
        <v>1</v>
      </c>
      <c r="H149" s="5">
        <f>'BIS + EDBA Final'!B198</f>
        <v>2</v>
      </c>
      <c r="I149" s="5">
        <f>VLOOKUP(B149,'BIS + EDBA Final'!A:F,6,FALSE)</f>
        <v>-1</v>
      </c>
      <c r="J149" s="5">
        <f>VLOOKUP(B149,'CBG Final'!A:B,2,FALSE)</f>
        <v>3</v>
      </c>
      <c r="K149" s="9">
        <f t="shared" si="2"/>
        <v>1.4000000000000001</v>
      </c>
      <c r="L149" s="5" t="s">
        <v>1427</v>
      </c>
      <c r="M149" s="5" t="s">
        <v>477</v>
      </c>
      <c r="N149" s="5" t="s">
        <v>1428</v>
      </c>
      <c r="O149" s="5" t="s">
        <v>1429</v>
      </c>
      <c r="P149" s="5" t="s">
        <v>1430</v>
      </c>
      <c r="Q149" s="5" t="s">
        <v>1287</v>
      </c>
      <c r="R149" s="5" t="s">
        <v>118</v>
      </c>
      <c r="S149" s="10"/>
      <c r="T149" s="11"/>
      <c r="U149" s="11"/>
      <c r="V149" s="10"/>
      <c r="W149" s="10"/>
      <c r="X149" s="10"/>
      <c r="Y149" s="10"/>
      <c r="Z149" s="10"/>
      <c r="AA149" s="10"/>
      <c r="AB149" s="10"/>
      <c r="AC149" s="10"/>
      <c r="AD149" s="10"/>
      <c r="AE149" s="10"/>
      <c r="AF149" s="10"/>
      <c r="AG149" s="10"/>
      <c r="AH149" s="10"/>
    </row>
    <row r="150" spans="1:34" ht="15.75" customHeight="1">
      <c r="A150" s="5"/>
      <c r="B150" s="5" t="s">
        <v>158</v>
      </c>
      <c r="C150" s="6" t="s">
        <v>159</v>
      </c>
      <c r="D150" s="7" t="s">
        <v>160</v>
      </c>
      <c r="E150" s="8">
        <v>157284</v>
      </c>
      <c r="F150" s="6" cm="1">
        <f t="array" ref="F150">_xlfn.IFS(
E150&lt;=$E$245,0,
E150&lt;=$E$246,1,
E150&lt;=$E$247,2,
E150&gt;=$E$247,3)</f>
        <v>2</v>
      </c>
      <c r="G150" s="7" cm="1">
        <f t="array" ref="G150">_xlfn.IFS(
OR(D150="Aerospace",D150="Aerospace &amp; Defense",D150="Agricultural Equipment",D150="Airlines",D150="Automotive",D150="Automotive &amp; Energy",D150="Automotive Components",D150="Aviation",D150="Building Materials",D150="Chemicals",D150="Commercial Vehicles",D150="Conglomerate &amp; Defense",D150="Conglomerate &amp; Energy",D150="Construction",D150="Construction &amp; Infrastructure",D150="Construction &amp; Real Estate",D150="Construction &amp; Telecom",D150="Discount Retail",D150="Energy Management",D150="Energy Technology",D150="Engines &amp; Power Systems",D150="Environmental Services",D150="Food Distribution",D150="Food Services",D150="Grocery Retail",D150="Healthcare &amp; Pharmacy",D150="Home Improvement Retail",D150="Industrial Engineering &amp; Electronics",D150="Oilfield Services",D150="Pharmaceuticals",D150="Pharmaceuticals &amp; Chemicals",D150="Pharmaceuticals &amp; Healthcare",D150="Pharmacy Retail",D150="Postal &amp; Logistics",D150="Retail",D150="Retail &amp; Distribution",D150="Retail &amp; Grocery",D150="Retail (IKEA)",D150="Tobacco",D150="Trading &amp; Conglomerate",D150="Utilities",D150="Utilities &amp; Energy",D150="Wholesale Retail"),2,
OR(D150="Agribusiness",D150="Automotive &amp; Heavy Vehicles",D150="Chemicals",D150="Commercial Vehicles",D150="Construction",D150="Construction &amp; Infrastructure",D150="Engines &amp; Power Systems",D150="Food Processing",D150="Healthcare",D150="Healthcare &amp; Medical Devices",D150="Heavy Equipment",D150="Heavy Industry",D150="Industrial Gases",D150="Industrial Manufacturing",D150="Logistics",D150="Medical Devices",D150="Mining",D150="Mining &amp; Commodities Trading",D150="Oil &amp; Gas",D150="Oilfield Services",D150="Rail Transport",D150="Shipping &amp; Logistics",D150="Steel"),3,
OR(D150="Apparel &amp; Footwear",D150="Beverage",D150="Coffeehouse &amp; Retail",D150="Conglomerate",D150="Consumer Goods",D150="Convenience Retail",D150="Electronics",D150="Electronics &amp; Semiconductors",D150="Electronics Retail",D150="Fashion Retail",D150="Food &amp; Beverage",D150="Food Retail &amp; Consumer Goods",D150="Industrial &amp; Technology",D150="Industrial Automation",D150="Industrial Technology",D150="Postal &amp; Financial Services",D150="Postal Services",D150="Scientific Instruments",D150="Technology Hardware",D150="Trading Company",D150="IT Consulting"),1,
OR(D150="Cosmetics",D150="E-commerce &amp; Cloud Computing",D150="Electronics &amp; Entertainment",D150="Entertainment &amp; Media",D150="Luxury Goods",D150="Media &amp; Telecommunications",D150="Networking Technology",D150="Real Estate Services",D150="Technology &amp; Consumer Electronics",D150="Telecommunications",D150="Telecommunications &amp; Investment"),1,
OR(D150="Asset Management",D150="Banking",D150="Banking &amp; Asset Services",D150="Banking &amp; Financial Services",D150="Banking &amp; Wealth Management",D150="Cloud Software",D150="Enterprise Software",D150="Financial Services",D150="Information Technology Consulting",D150="Investment Banking",D150="Social Media &amp; Technology",D150="Software &amp; Cloud Computing",D150="Technology &amp; Consulting",D150="Technology &amp; Internet Services",D150="Technology &amp; Software"),1,
TRUE,"Unmapped"
)</f>
        <v>2</v>
      </c>
      <c r="H150" s="5">
        <f>VLOOKUP(B150,'BIS + EDBA Final'!A:K,2,FALSE)</f>
        <v>1</v>
      </c>
      <c r="I150" s="5">
        <f>VLOOKUP(B150,'BIS + EDBA Final'!A:F,6,FALSE)</f>
        <v>0</v>
      </c>
      <c r="J150" s="5">
        <f>VLOOKUP(B150,'CBG Final'!A:B,2,FALSE)</f>
        <v>1</v>
      </c>
      <c r="K150" s="9">
        <f t="shared" si="2"/>
        <v>1.4</v>
      </c>
      <c r="L150" s="5" t="s">
        <v>161</v>
      </c>
      <c r="M150" s="5" t="s">
        <v>162</v>
      </c>
      <c r="N150" s="5" t="s">
        <v>163</v>
      </c>
      <c r="O150" s="5" t="s">
        <v>164</v>
      </c>
      <c r="P150" s="5" t="s">
        <v>165</v>
      </c>
      <c r="Q150" s="5" t="s">
        <v>166</v>
      </c>
      <c r="R150" s="5" t="s">
        <v>167</v>
      </c>
      <c r="S150" s="10"/>
      <c r="T150" s="11"/>
      <c r="U150" s="11"/>
      <c r="V150" s="10"/>
      <c r="W150" s="10"/>
      <c r="X150" s="10"/>
      <c r="Y150" s="10"/>
      <c r="Z150" s="10"/>
      <c r="AA150" s="10"/>
      <c r="AB150" s="10"/>
      <c r="AC150" s="10"/>
      <c r="AD150" s="10"/>
      <c r="AE150" s="10"/>
      <c r="AF150" s="10"/>
      <c r="AG150" s="10"/>
      <c r="AH150" s="10"/>
    </row>
    <row r="151" spans="1:34" ht="15.75" customHeight="1">
      <c r="A151" s="5"/>
      <c r="B151" s="5" t="s">
        <v>70</v>
      </c>
      <c r="C151" s="6" t="s">
        <v>71</v>
      </c>
      <c r="D151" s="7" t="s">
        <v>72</v>
      </c>
      <c r="E151" s="8">
        <v>111822</v>
      </c>
      <c r="F151" s="6" cm="1">
        <f t="array" ref="F151">_xlfn.IFS(
E151&lt;=$E$245,0,
E151&lt;=$E$246,1,
E151&lt;=$E$247,2,
E151&gt;=$E$247,3)</f>
        <v>1</v>
      </c>
      <c r="G151" s="7" cm="1">
        <f t="array" ref="G151">_xlfn.IFS(
OR(D151="Aerospace",D151="Aerospace &amp; Defense",D151="Agricultural Equipment",D151="Airlines",D151="Automotive",D151="Automotive &amp; Energy",D151="Automotive Components",D151="Aviation",D151="Building Materials",D151="Chemicals",D151="Commercial Vehicles",D151="Conglomerate &amp; Defense",D151="Conglomerate &amp; Energy",D151="Construction",D151="Construction &amp; Infrastructure",D151="Construction &amp; Real Estate",D151="Construction &amp; Telecom",D151="Discount Retail",D151="Energy Management",D151="Energy Technology",D151="Engines &amp; Power Systems",D151="Environmental Services",D151="Food Distribution",D151="Food Services",D151="Grocery Retail",D151="Healthcare &amp; Pharmacy",D151="Home Improvement Retail",D151="Industrial Engineering &amp; Electronics",D151="Oilfield Services",D151="Pharmaceuticals",D151="Pharmaceuticals &amp; Chemicals",D151="Pharmaceuticals &amp; Healthcare",D151="Pharmacy Retail",D151="Postal &amp; Logistics",D151="Retail",D151="Retail &amp; Distribution",D151="Retail &amp; Grocery",D151="Retail (IKEA)",D151="Tobacco",D151="Trading &amp; Conglomerate",D151="Utilities",D151="Utilities &amp; Energy",D151="Wholesale Retail"),2,
OR(D151="Agribusiness",D151="Automotive &amp; Heavy Vehicles",D151="Chemicals",D151="Commercial Vehicles",D151="Construction",D151="Construction &amp; Infrastructure",D151="Engines &amp; Power Systems",D151="Food Processing",D151="Healthcare",D151="Healthcare &amp; Medical Devices",D151="Heavy Equipment",D151="Heavy Industry",D151="Industrial Gases",D151="Industrial Manufacturing",D151="Logistics",D151="Medical Devices",D151="Mining",D151="Mining &amp; Commodities Trading",D151="Oil &amp; Gas",D151="Oilfield Services",D151="Rail Transport",D151="Shipping &amp; Logistics",D151="Steel"),3,
OR(D151="Apparel &amp; Footwear",D151="Beverage",D151="Coffeehouse &amp; Retail",D151="Conglomerate",D151="Consumer Goods",D151="Convenience Retail",D151="Electronics",D151="Electronics &amp; Semiconductors",D151="Electronics Retail",D151="Fashion Retail",D151="Food &amp; Beverage",D151="Food Retail &amp; Consumer Goods",D151="Industrial &amp; Technology",D151="Industrial Automation",D151="Industrial Technology",D151="Postal &amp; Financial Services",D151="Postal Services",D151="Scientific Instruments",D151="Technology Hardware",D151="Trading Company",D151="IT Consulting"),1,
OR(D151="Cosmetics",D151="E-commerce &amp; Cloud Computing",D151="Electronics &amp; Entertainment",D151="Entertainment &amp; Media",D151="Luxury Goods",D151="Media &amp; Telecommunications",D151="Networking Technology",D151="Real Estate Services",D151="Technology &amp; Consumer Electronics",D151="Telecommunications",D151="Telecommunications &amp; Investment"),1,
OR(D151="Asset Management",D151="Banking",D151="Banking &amp; Asset Services",D151="Banking &amp; Financial Services",D151="Banking &amp; Wealth Management",D151="Cloud Software",D151="Enterprise Software",D151="Financial Services",D151="Information Technology Consulting",D151="Investment Banking",D151="Social Media &amp; Technology",D151="Software &amp; Cloud Computing",D151="Technology &amp; Consulting",D151="Technology &amp; Internet Services",D151="Technology &amp; Software"),1,
TRUE,"Unmapped"
)</f>
        <v>2</v>
      </c>
      <c r="H151" s="5">
        <f>VLOOKUP(B151,'BIS + EDBA Final'!A:K,2,FALSE)</f>
        <v>2</v>
      </c>
      <c r="I151" s="5">
        <f>VLOOKUP(B151,'BIS + EDBA Final'!A:F,6,FALSE)</f>
        <v>-1</v>
      </c>
      <c r="J151" s="5">
        <f>VLOOKUP(B151,'CBG Final'!A:B,2,FALSE)</f>
        <v>2</v>
      </c>
      <c r="K151" s="9">
        <f t="shared" si="2"/>
        <v>1.4</v>
      </c>
      <c r="L151" s="5" t="s">
        <v>73</v>
      </c>
      <c r="M151" s="5" t="s">
        <v>74</v>
      </c>
      <c r="N151" s="5" t="s">
        <v>75</v>
      </c>
      <c r="O151" s="5" t="s">
        <v>76</v>
      </c>
      <c r="P151" s="5" t="s">
        <v>77</v>
      </c>
      <c r="Q151" s="5" t="s">
        <v>78</v>
      </c>
      <c r="R151" s="5" t="s">
        <v>20</v>
      </c>
      <c r="S151" s="10"/>
      <c r="T151" s="11"/>
      <c r="U151" s="11"/>
      <c r="V151" s="10"/>
      <c r="W151" s="10"/>
      <c r="X151" s="11"/>
      <c r="Y151" s="11"/>
      <c r="Z151" s="10"/>
      <c r="AA151" s="10"/>
      <c r="AB151" s="10"/>
      <c r="AC151" s="10"/>
      <c r="AD151" s="10"/>
      <c r="AE151" s="10"/>
      <c r="AF151" s="10"/>
      <c r="AG151" s="10"/>
      <c r="AH151" s="10"/>
    </row>
    <row r="152" spans="1:34" ht="15.75" customHeight="1">
      <c r="A152" s="5"/>
      <c r="B152" s="5" t="s">
        <v>211</v>
      </c>
      <c r="C152" s="6" t="s">
        <v>94</v>
      </c>
      <c r="D152" s="7" t="s">
        <v>212</v>
      </c>
      <c r="E152" s="8">
        <v>100000</v>
      </c>
      <c r="F152" s="6" cm="1">
        <f t="array" ref="F152">_xlfn.IFS(
E152&lt;=$E$245,0,
E152&lt;=$E$246,1,
E152&lt;=$E$247,2,
E152&gt;=$E$247,3)</f>
        <v>1</v>
      </c>
      <c r="G152" s="7" cm="1">
        <f t="array" ref="G152">_xlfn.IFS(
OR(D152="Aerospace",D152="Aerospace &amp; Defense",D152="Agricultural Equipment",D152="Airlines",D152="Automotive",D152="Automotive &amp; Energy",D152="Automotive Components",D152="Aviation",D152="Building Materials",D152="Chemicals",D152="Commercial Vehicles",D152="Conglomerate &amp; Defense",D152="Conglomerate &amp; Energy",D152="Construction",D152="Construction &amp; Infrastructure",D152="Construction &amp; Real Estate",D152="Construction &amp; Telecom",D152="Discount Retail",D152="Energy Management",D152="Energy Technology",D152="Engines &amp; Power Systems",D152="Environmental Services",D152="Food Distribution",D152="Food Services",D152="Grocery Retail",D152="Healthcare &amp; Pharmacy",D152="Home Improvement Retail",D152="Industrial Engineering &amp; Electronics",D152="Oilfield Services",D152="Pharmaceuticals",D152="Pharmaceuticals &amp; Chemicals",D152="Pharmaceuticals &amp; Healthcare",D152="Pharmacy Retail",D152="Postal &amp; Logistics",D152="Retail",D152="Retail &amp; Distribution",D152="Retail &amp; Grocery",D152="Retail (IKEA)",D152="Tobacco",D152="Trading &amp; Conglomerate",D152="Utilities",D152="Utilities &amp; Energy",D152="Wholesale Retail"),2,
OR(D152="Agribusiness",D152="Automotive &amp; Heavy Vehicles",D152="Chemicals",D152="Commercial Vehicles",D152="Construction",D152="Construction &amp; Infrastructure",D152="Engines &amp; Power Systems",D152="Food Processing",D152="Healthcare",D152="Healthcare &amp; Medical Devices",D152="Heavy Equipment",D152="Heavy Industry",D152="Industrial Gases",D152="Industrial Manufacturing",D152="Logistics",D152="Medical Devices",D152="Mining",D152="Mining &amp; Commodities Trading",D152="Oil &amp; Gas",D152="Oilfield Services",D152="Rail Transport",D152="Shipping &amp; Logistics",D152="Steel"),3,
OR(D152="Apparel &amp; Footwear",D152="Beverage",D152="Coffeehouse &amp; Retail",D152="Conglomerate",D152="Consumer Goods",D152="Convenience Retail",D152="Electronics",D152="Electronics &amp; Semiconductors",D152="Electronics Retail",D152="Fashion Retail",D152="Food &amp; Beverage",D152="Food Retail &amp; Consumer Goods",D152="Industrial &amp; Technology",D152="Industrial Automation",D152="Industrial Technology",D152="Postal &amp; Financial Services",D152="Postal Services",D152="Scientific Instruments",D152="Technology Hardware",D152="Trading Company",D152="IT Consulting"),1,
OR(D152="Cosmetics",D152="E-commerce &amp; Cloud Computing",D152="Electronics &amp; Entertainment",D152="Entertainment &amp; Media",D152="Luxury Goods",D152="Media &amp; Telecommunications",D152="Networking Technology",D152="Real Estate Services",D152="Technology &amp; Consumer Electronics",D152="Telecommunications",D152="Telecommunications &amp; Investment"),1,
OR(D152="Asset Management",D152="Banking",D152="Banking &amp; Asset Services",D152="Banking &amp; Financial Services",D152="Banking &amp; Wealth Management",D152="Cloud Software",D152="Enterprise Software",D152="Financial Services",D152="Information Technology Consulting",D152="Investment Banking",D152="Social Media &amp; Technology",D152="Software &amp; Cloud Computing",D152="Technology &amp; Consulting",D152="Technology &amp; Internet Services",D152="Technology &amp; Software"),1,
TRUE,"Unmapped"
)</f>
        <v>2</v>
      </c>
      <c r="H152" s="5">
        <f>VLOOKUP(B152,'BIS + EDBA Final'!A:K,2,FALSE)</f>
        <v>2</v>
      </c>
      <c r="I152" s="5">
        <f>VLOOKUP(B152,'BIS + EDBA Final'!A:F,6,FALSE)</f>
        <v>-1</v>
      </c>
      <c r="J152" s="5">
        <f>VLOOKUP(B152,'CBG Final'!A:B,2,FALSE)</f>
        <v>2</v>
      </c>
      <c r="K152" s="9">
        <f t="shared" si="2"/>
        <v>1.4</v>
      </c>
      <c r="L152" s="5" t="s">
        <v>213</v>
      </c>
      <c r="M152" s="5" t="s">
        <v>152</v>
      </c>
      <c r="N152" s="5" t="s">
        <v>214</v>
      </c>
      <c r="O152" s="5" t="s">
        <v>215</v>
      </c>
      <c r="P152" s="5" t="s">
        <v>216</v>
      </c>
      <c r="Q152" s="5" t="s">
        <v>33</v>
      </c>
      <c r="R152" s="5" t="s">
        <v>118</v>
      </c>
      <c r="S152" s="10"/>
      <c r="T152" s="11"/>
      <c r="U152" s="11"/>
      <c r="V152" s="10"/>
      <c r="W152" s="10"/>
      <c r="X152" s="10"/>
      <c r="Y152" s="10"/>
      <c r="Z152" s="10"/>
      <c r="AA152" s="10"/>
      <c r="AB152" s="10"/>
      <c r="AC152" s="10"/>
      <c r="AD152" s="10"/>
      <c r="AE152" s="10"/>
      <c r="AF152" s="10"/>
      <c r="AG152" s="10"/>
      <c r="AH152" s="10"/>
    </row>
    <row r="153" spans="1:34" ht="15.75" customHeight="1">
      <c r="A153" s="5"/>
      <c r="B153" s="5" t="s">
        <v>915</v>
      </c>
      <c r="C153" s="6" t="s">
        <v>491</v>
      </c>
      <c r="D153" s="7" t="s">
        <v>916</v>
      </c>
      <c r="E153" s="8">
        <v>200250</v>
      </c>
      <c r="F153" s="6" cm="1">
        <f t="array" ref="F153">_xlfn.IFS(
E153&lt;=$E$245,0,
E153&lt;=$E$246,1,
E153&lt;=$E$247,2,
E153&gt;=$E$247,3)</f>
        <v>2</v>
      </c>
      <c r="G153" s="7" cm="1">
        <f t="array" ref="G153">_xlfn.IFS(
OR(D153="Aerospace",D153="Aerospace &amp; Defense",D153="Agricultural Equipment",D153="Airlines",D153="Automotive",D153="Automotive &amp; Energy",D153="Automotive Components",D153="Aviation",D153="Building Materials",D153="Chemicals",D153="Commercial Vehicles",D153="Conglomerate &amp; Defense",D153="Conglomerate &amp; Energy",D153="Construction",D153="Construction &amp; Infrastructure",D153="Construction &amp; Real Estate",D153="Construction &amp; Telecom",D153="Discount Retail",D153="Energy Management",D153="Energy Technology",D153="Engines &amp; Power Systems",D153="Environmental Services",D153="Food Distribution",D153="Food Services",D153="Grocery Retail",D153="Healthcare &amp; Pharmacy",D153="Home Improvement Retail",D153="Industrial Engineering &amp; Electronics",D153="Oilfield Services",D153="Pharmaceuticals",D153="Pharmaceuticals &amp; Chemicals",D153="Pharmaceuticals &amp; Healthcare",D153="Pharmacy Retail",D153="Postal &amp; Logistics",D153="Retail",D153="Retail &amp; Distribution",D153="Retail &amp; Grocery",D153="Retail (IKEA)",D153="Tobacco",D153="Trading &amp; Conglomerate",D153="Utilities",D153="Utilities &amp; Energy",D153="Wholesale Retail"),2,
OR(D153="Agribusiness",D153="Automotive &amp; Heavy Vehicles",D153="Chemicals",D153="Commercial Vehicles",D153="Construction",D153="Construction &amp; Infrastructure",D153="Engines &amp; Power Systems",D153="Food Processing",D153="Healthcare",D153="Healthcare &amp; Medical Devices",D153="Heavy Equipment",D153="Heavy Industry",D153="Industrial Gases",D153="Industrial Manufacturing",D153="Logistics",D153="Medical Devices",D153="Mining",D153="Mining &amp; Commodities Trading",D153="Oil &amp; Gas",D153="Oilfield Services",D153="Rail Transport",D153="Shipping &amp; Logistics",D153="Steel"),3,
OR(D153="Apparel &amp; Footwear",D153="Beverage",D153="Coffeehouse &amp; Retail",D153="Conglomerate",D153="Consumer Goods",D153="Convenience Retail",D153="Electronics",D153="Electronics &amp; Semiconductors",D153="Electronics Retail",D153="Fashion Retail",D153="Food &amp; Beverage",D153="Food Retail &amp; Consumer Goods",D153="Industrial &amp; Technology",D153="Industrial Automation",D153="Industrial Technology",D153="Postal &amp; Financial Services",D153="Postal Services",D153="Scientific Instruments",D153="Technology Hardware",D153="Trading Company",D153="IT Consulting"),1,
OR(D153="Cosmetics",D153="E-commerce &amp; Cloud Computing",D153="Electronics &amp; Entertainment",D153="Entertainment &amp; Media",D153="Luxury Goods",D153="Media &amp; Telecommunications",D153="Networking Technology",D153="Real Estate Services",D153="Technology &amp; Consumer Electronics",D153="Telecommunications",D153="Telecommunications &amp; Investment"),1,
OR(D153="Asset Management",D153="Banking",D153="Banking &amp; Asset Services",D153="Banking &amp; Financial Services",D153="Banking &amp; Wealth Management",D153="Cloud Software",D153="Enterprise Software",D153="Financial Services",D153="Information Technology Consulting",D153="Investment Banking",D153="Social Media &amp; Technology",D153="Software &amp; Cloud Computing",D153="Technology &amp; Consulting",D153="Technology &amp; Internet Services",D153="Technology &amp; Software"),1,
TRUE,"Unmapped"
)</f>
        <v>1</v>
      </c>
      <c r="H153" s="5">
        <v>1</v>
      </c>
      <c r="I153" s="5">
        <f>VLOOKUP(B153,'BIS + EDBA Final'!A:F,6,FALSE)</f>
        <v>0</v>
      </c>
      <c r="J153" s="5">
        <f>VLOOKUP(B153,'CBG Final'!A:B,2,FALSE)</f>
        <v>2</v>
      </c>
      <c r="K153" s="9">
        <f t="shared" si="2"/>
        <v>1.4</v>
      </c>
      <c r="L153" s="5" t="s">
        <v>917</v>
      </c>
      <c r="M153" s="5" t="s">
        <v>184</v>
      </c>
      <c r="N153" s="5" t="s">
        <v>918</v>
      </c>
      <c r="O153" s="5" t="s">
        <v>733</v>
      </c>
      <c r="P153" s="5" t="s">
        <v>919</v>
      </c>
      <c r="Q153" s="5" t="s">
        <v>344</v>
      </c>
      <c r="R153" s="5" t="s">
        <v>20</v>
      </c>
      <c r="S153" s="10"/>
      <c r="T153" s="11"/>
      <c r="U153" s="11"/>
      <c r="V153" s="10"/>
      <c r="W153" s="10"/>
      <c r="X153" s="10"/>
      <c r="Y153" s="10"/>
      <c r="Z153" s="10"/>
      <c r="AA153" s="10"/>
      <c r="AB153" s="10"/>
      <c r="AC153" s="10"/>
      <c r="AD153" s="10"/>
      <c r="AE153" s="10"/>
      <c r="AF153" s="10"/>
      <c r="AG153" s="10"/>
      <c r="AH153" s="10"/>
    </row>
    <row r="154" spans="1:34" ht="15.75" customHeight="1">
      <c r="A154" s="5"/>
      <c r="B154" s="5" t="s">
        <v>968</v>
      </c>
      <c r="C154" s="6" t="s">
        <v>1048</v>
      </c>
      <c r="D154" s="7" t="s">
        <v>63</v>
      </c>
      <c r="E154" s="8">
        <v>139907</v>
      </c>
      <c r="F154" s="6" cm="1">
        <f t="array" ref="F154">_xlfn.IFS(
E154&lt;=$E$245,0,
E154&lt;=$E$246,1,
E154&lt;=$E$247,2,
E154&gt;=$E$247,3)</f>
        <v>2</v>
      </c>
      <c r="G154" s="7" cm="1">
        <f t="array" ref="G154">_xlfn.IFS(
OR(D154="Aerospace",D154="Aerospace &amp; Defense",D154="Agricultural Equipment",D154="Airlines",D154="Automotive",D154="Automotive &amp; Energy",D154="Automotive Components",D154="Aviation",D154="Building Materials",D154="Chemicals",D154="Commercial Vehicles",D154="Conglomerate &amp; Defense",D154="Conglomerate &amp; Energy",D154="Construction",D154="Construction &amp; Infrastructure",D154="Construction &amp; Real Estate",D154="Construction &amp; Telecom",D154="Discount Retail",D154="Energy Management",D154="Energy Technology",D154="Engines &amp; Power Systems",D154="Environmental Services",D154="Food Distribution",D154="Food Services",D154="Grocery Retail",D154="Healthcare &amp; Pharmacy",D154="Home Improvement Retail",D154="Industrial Engineering &amp; Electronics",D154="Oilfield Services",D154="Pharmaceuticals",D154="Pharmaceuticals &amp; Chemicals",D154="Pharmaceuticals &amp; Healthcare",D154="Pharmacy Retail",D154="Postal &amp; Logistics",D154="Retail",D154="Retail &amp; Distribution",D154="Retail &amp; Grocery",D154="Retail (IKEA)",D154="Tobacco",D154="Trading &amp; Conglomerate",D154="Utilities",D154="Utilities &amp; Energy",D154="Wholesale Retail"),2,
OR(D154="Agribusiness",D154="Automotive &amp; Heavy Vehicles",D154="Chemicals",D154="Commercial Vehicles",D154="Construction",D154="Construction &amp; Infrastructure",D154="Engines &amp; Power Systems",D154="Food Processing",D154="Healthcare",D154="Healthcare &amp; Medical Devices",D154="Heavy Equipment",D154="Heavy Industry",D154="Industrial Gases",D154="Industrial Manufacturing",D154="Logistics",D154="Medical Devices",D154="Mining",D154="Mining &amp; Commodities Trading",D154="Oil &amp; Gas",D154="Oilfield Services",D154="Rail Transport",D154="Shipping &amp; Logistics",D154="Steel"),3,
OR(D154="Apparel &amp; Footwear",D154="Beverage",D154="Coffeehouse &amp; Retail",D154="Conglomerate",D154="Consumer Goods",D154="Convenience Retail",D154="Electronics",D154="Electronics &amp; Semiconductors",D154="Electronics Retail",D154="Fashion Retail",D154="Food &amp; Beverage",D154="Food Retail &amp; Consumer Goods",D154="Industrial &amp; Technology",D154="Industrial Automation",D154="Industrial Technology",D154="Postal &amp; Financial Services",D154="Postal Services",D154="Scientific Instruments",D154="Technology Hardware",D154="Trading Company",D154="IT Consulting"),1,
OR(D154="Cosmetics",D154="E-commerce &amp; Cloud Computing",D154="Electronics &amp; Entertainment",D154="Entertainment &amp; Media",D154="Luxury Goods",D154="Media &amp; Telecommunications",D154="Networking Technology",D154="Real Estate Services",D154="Technology &amp; Consumer Electronics",D154="Telecommunications",D154="Telecommunications &amp; Investment"),1,
OR(D154="Asset Management",D154="Banking",D154="Banking &amp; Asset Services",D154="Banking &amp; Financial Services",D154="Banking &amp; Wealth Management",D154="Cloud Software",D154="Enterprise Software",D154="Financial Services",D154="Information Technology Consulting",D154="Investment Banking",D154="Social Media &amp; Technology",D154="Software &amp; Cloud Computing",D154="Technology &amp; Consulting",D154="Technology &amp; Internet Services",D154="Technology &amp; Software"),1,
TRUE,"Unmapped"
)</f>
        <v>2</v>
      </c>
      <c r="H154" s="5">
        <v>1</v>
      </c>
      <c r="I154" s="5">
        <f>VLOOKUP(B154,'BIS + EDBA Final'!A:F,6,FALSE)</f>
        <v>0</v>
      </c>
      <c r="J154" s="5">
        <f>VLOOKUP(B154,'CBG Final'!A:B,2,FALSE)</f>
        <v>1</v>
      </c>
      <c r="K154" s="9">
        <f t="shared" si="2"/>
        <v>1.4</v>
      </c>
      <c r="L154" s="5" t="s">
        <v>1049</v>
      </c>
      <c r="M154" s="5" t="s">
        <v>479</v>
      </c>
      <c r="N154" s="5" t="s">
        <v>1050</v>
      </c>
      <c r="O154" s="5" t="s">
        <v>626</v>
      </c>
      <c r="P154" s="5" t="s">
        <v>1051</v>
      </c>
      <c r="Q154" s="5" t="s">
        <v>1052</v>
      </c>
      <c r="R154" s="5" t="s">
        <v>169</v>
      </c>
      <c r="S154" s="10"/>
      <c r="T154" s="11"/>
      <c r="U154" s="11"/>
      <c r="V154" s="10"/>
      <c r="W154" s="10"/>
      <c r="X154" s="10"/>
      <c r="Y154" s="10"/>
      <c r="Z154" s="10"/>
      <c r="AA154" s="10"/>
      <c r="AB154" s="10"/>
      <c r="AC154" s="10"/>
      <c r="AD154" s="10"/>
      <c r="AE154" s="10"/>
      <c r="AF154" s="10"/>
      <c r="AG154" s="10"/>
      <c r="AH154" s="10"/>
    </row>
    <row r="155" spans="1:34" ht="15.75" customHeight="1">
      <c r="A155" s="5"/>
      <c r="B155" s="5" t="s">
        <v>1369</v>
      </c>
      <c r="C155" s="6" t="s">
        <v>159</v>
      </c>
      <c r="D155" s="7" t="s">
        <v>266</v>
      </c>
      <c r="E155" s="8">
        <v>100870</v>
      </c>
      <c r="F155" s="6" cm="1">
        <f t="array" ref="F155">_xlfn.IFS(
E155&lt;=$E$245,0,
E155&lt;=$E$246,1,
E155&lt;=$E$247,2,
E155&gt;=$E$247,3)</f>
        <v>1</v>
      </c>
      <c r="G155" s="7" cm="1">
        <f t="array" ref="G155">_xlfn.IFS(
OR(D155="Aerospace",D155="Aerospace &amp; Defense",D155="Agricultural Equipment",D155="Airlines",D155="Automotive",D155="Automotive &amp; Energy",D155="Automotive Components",D155="Aviation",D155="Building Materials",D155="Chemicals",D155="Commercial Vehicles",D155="Conglomerate &amp; Defense",D155="Conglomerate &amp; Energy",D155="Construction",D155="Construction &amp; Infrastructure",D155="Construction &amp; Real Estate",D155="Construction &amp; Telecom",D155="Discount Retail",D155="Energy Management",D155="Energy Technology",D155="Engines &amp; Power Systems",D155="Environmental Services",D155="Food Distribution",D155="Food Services",D155="Grocery Retail",D155="Healthcare &amp; Pharmacy",D155="Home Improvement Retail",D155="Industrial Engineering &amp; Electronics",D155="Oilfield Services",D155="Pharmaceuticals",D155="Pharmaceuticals &amp; Chemicals",D155="Pharmaceuticals &amp; Healthcare",D155="Pharmacy Retail",D155="Postal &amp; Logistics",D155="Retail",D155="Retail &amp; Distribution",D155="Retail &amp; Grocery",D155="Retail (IKEA)",D155="Tobacco",D155="Trading &amp; Conglomerate",D155="Utilities",D155="Utilities &amp; Energy",D155="Wholesale Retail"),2,
OR(D155="Agribusiness",D155="Automotive &amp; Heavy Vehicles",D155="Chemicals",D155="Commercial Vehicles",D155="Construction",D155="Construction &amp; Infrastructure",D155="Engines &amp; Power Systems",D155="Food Processing",D155="Healthcare",D155="Healthcare &amp; Medical Devices",D155="Heavy Equipment",D155="Heavy Industry",D155="Industrial Gases",D155="Industrial Manufacturing",D155="Logistics",D155="Medical Devices",D155="Mining",D155="Mining &amp; Commodities Trading",D155="Oil &amp; Gas",D155="Oilfield Services",D155="Rail Transport",D155="Shipping &amp; Logistics",D155="Steel"),3,
OR(D155="Apparel &amp; Footwear",D155="Beverage",D155="Coffeehouse &amp; Retail",D155="Conglomerate",D155="Consumer Goods",D155="Convenience Retail",D155="Electronics",D155="Electronics &amp; Semiconductors",D155="Electronics Retail",D155="Fashion Retail",D155="Food &amp; Beverage",D155="Food Retail &amp; Consumer Goods",D155="Industrial &amp; Technology",D155="Industrial Automation",D155="Industrial Technology",D155="Postal &amp; Financial Services",D155="Postal Services",D155="Scientific Instruments",D155="Technology Hardware",D155="Trading Company",D155="IT Consulting"),1,
OR(D155="Cosmetics",D155="E-commerce &amp; Cloud Computing",D155="Electronics &amp; Entertainment",D155="Entertainment &amp; Media",D155="Luxury Goods",D155="Media &amp; Telecommunications",D155="Networking Technology",D155="Real Estate Services",D155="Technology &amp; Consumer Electronics",D155="Telecommunications",D155="Telecommunications &amp; Investment"),1,
OR(D155="Asset Management",D155="Banking",D155="Banking &amp; Asset Services",D155="Banking &amp; Financial Services",D155="Banking &amp; Wealth Management",D155="Cloud Software",D155="Enterprise Software",D155="Financial Services",D155="Information Technology Consulting",D155="Investment Banking",D155="Social Media &amp; Technology",D155="Software &amp; Cloud Computing",D155="Technology &amp; Consulting",D155="Technology &amp; Internet Services",D155="Technology &amp; Software"),1,
TRUE,"Unmapped"
)</f>
        <v>1</v>
      </c>
      <c r="H155" s="5">
        <v>1</v>
      </c>
      <c r="I155" s="5">
        <f>VLOOKUP(B155,'BIS + EDBA Final'!A:F,6,FALSE)</f>
        <v>1</v>
      </c>
      <c r="J155" s="5">
        <f>VLOOKUP(B155,'CBG Final'!A:B,2,FALSE)</f>
        <v>3</v>
      </c>
      <c r="K155" s="9">
        <f t="shared" si="2"/>
        <v>1.4</v>
      </c>
      <c r="L155" s="5" t="s">
        <v>1370</v>
      </c>
      <c r="M155" s="5" t="s">
        <v>675</v>
      </c>
      <c r="N155" s="5" t="s">
        <v>1118</v>
      </c>
      <c r="O155" s="5"/>
      <c r="P155" s="5" t="s">
        <v>1371</v>
      </c>
      <c r="Q155" s="5" t="s">
        <v>344</v>
      </c>
      <c r="R155" s="5" t="s">
        <v>20</v>
      </c>
      <c r="S155" s="10"/>
      <c r="T155" s="11"/>
      <c r="U155" s="11"/>
      <c r="V155" s="10"/>
      <c r="W155" s="10"/>
      <c r="X155" s="10"/>
      <c r="Y155" s="10"/>
      <c r="Z155" s="10"/>
      <c r="AA155" s="10"/>
      <c r="AB155" s="10"/>
      <c r="AC155" s="10"/>
      <c r="AD155" s="10"/>
      <c r="AE155" s="10"/>
      <c r="AF155" s="10"/>
      <c r="AG155" s="10"/>
      <c r="AH155" s="10"/>
    </row>
    <row r="156" spans="1:34" ht="15.75" customHeight="1">
      <c r="A156" s="5"/>
      <c r="B156" s="5" t="s">
        <v>415</v>
      </c>
      <c r="C156" s="6" t="s">
        <v>491</v>
      </c>
      <c r="D156" s="7" t="s">
        <v>157</v>
      </c>
      <c r="E156" s="8">
        <v>101759</v>
      </c>
      <c r="F156" s="6" cm="1">
        <f t="array" ref="F156">_xlfn.IFS(
E156&lt;=$E$245,0,
E156&lt;=$E$246,1,
E156&lt;=$E$247,2,
E156&gt;=$E$247,3)</f>
        <v>1</v>
      </c>
      <c r="G156" s="7" cm="1">
        <f t="array" ref="G156">_xlfn.IFS(
OR(D156="Aerospace",D156="Aerospace &amp; Defense",D156="Agricultural Equipment",D156="Airlines",D156="Automotive",D156="Automotive &amp; Energy",D156="Automotive Components",D156="Aviation",D156="Building Materials",D156="Chemicals",D156="Commercial Vehicles",D156="Conglomerate &amp; Defense",D156="Conglomerate &amp; Energy",D156="Construction",D156="Construction &amp; Infrastructure",D156="Construction &amp; Real Estate",D156="Construction &amp; Telecom",D156="Discount Retail",D156="Energy Management",D156="Energy Technology",D156="Engines &amp; Power Systems",D156="Environmental Services",D156="Food Distribution",D156="Food Services",D156="Grocery Retail",D156="Healthcare &amp; Pharmacy",D156="Home Improvement Retail",D156="Industrial Engineering &amp; Electronics",D156="Oilfield Services",D156="Pharmaceuticals",D156="Pharmaceuticals &amp; Chemicals",D156="Pharmaceuticals &amp; Healthcare",D156="Pharmacy Retail",D156="Postal &amp; Logistics",D156="Retail",D156="Retail &amp; Distribution",D156="Retail &amp; Grocery",D156="Retail (IKEA)",D156="Tobacco",D156="Trading &amp; Conglomerate",D156="Utilities",D156="Utilities &amp; Energy",D156="Wholesale Retail"),2,
OR(D156="Agribusiness",D156="Automotive &amp; Heavy Vehicles",D156="Chemicals",D156="Commercial Vehicles",D156="Construction",D156="Construction &amp; Infrastructure",D156="Engines &amp; Power Systems",D156="Food Processing",D156="Healthcare",D156="Healthcare &amp; Medical Devices",D156="Heavy Equipment",D156="Heavy Industry",D156="Industrial Gases",D156="Industrial Manufacturing",D156="Logistics",D156="Medical Devices",D156="Mining",D156="Mining &amp; Commodities Trading",D156="Oil &amp; Gas",D156="Oilfield Services",D156="Rail Transport",D156="Shipping &amp; Logistics",D156="Steel"),3,
OR(D156="Apparel &amp; Footwear",D156="Beverage",D156="Coffeehouse &amp; Retail",D156="Conglomerate",D156="Consumer Goods",D156="Convenience Retail",D156="Electronics",D156="Electronics &amp; Semiconductors",D156="Electronics Retail",D156="Fashion Retail",D156="Food &amp; Beverage",D156="Food Retail &amp; Consumer Goods",D156="Industrial &amp; Technology",D156="Industrial Automation",D156="Industrial Technology",D156="Postal &amp; Financial Services",D156="Postal Services",D156="Scientific Instruments",D156="Technology Hardware",D156="Trading Company",D156="IT Consulting"),1,
OR(D156="Cosmetics",D156="E-commerce &amp; Cloud Computing",D156="Electronics &amp; Entertainment",D156="Entertainment &amp; Media",D156="Luxury Goods",D156="Media &amp; Telecommunications",D156="Networking Technology",D156="Real Estate Services",D156="Technology &amp; Consumer Electronics",D156="Telecommunications",D156="Telecommunications &amp; Investment"),1,
OR(D156="Asset Management",D156="Banking",D156="Banking &amp; Asset Services",D156="Banking &amp; Financial Services",D156="Banking &amp; Wealth Management",D156="Cloud Software",D156="Enterprise Software",D156="Financial Services",D156="Information Technology Consulting",D156="Investment Banking",D156="Social Media &amp; Technology",D156="Software &amp; Cloud Computing",D156="Technology &amp; Consulting",D156="Technology &amp; Internet Services",D156="Technology &amp; Software"),1,
TRUE,"Unmapped"
)</f>
        <v>1</v>
      </c>
      <c r="H156" s="5">
        <v>1</v>
      </c>
      <c r="I156" s="5">
        <f>VLOOKUP(B156,'BIS + EDBA Final'!A:F,6,FALSE)</f>
        <v>1</v>
      </c>
      <c r="J156" s="5">
        <f>VLOOKUP(B156,'CBG Final'!A:B,2,FALSE)</f>
        <v>3</v>
      </c>
      <c r="K156" s="9">
        <f t="shared" si="2"/>
        <v>1.4</v>
      </c>
      <c r="L156" s="5" t="s">
        <v>1383</v>
      </c>
      <c r="M156" s="5" t="s">
        <v>1384</v>
      </c>
      <c r="N156" s="5" t="s">
        <v>1385</v>
      </c>
      <c r="O156" s="5" t="s">
        <v>1386</v>
      </c>
      <c r="P156" s="5" t="s">
        <v>1387</v>
      </c>
      <c r="Q156" s="5" t="s">
        <v>1169</v>
      </c>
      <c r="R156" s="5" t="s">
        <v>118</v>
      </c>
      <c r="S156" s="10"/>
      <c r="T156" s="11"/>
      <c r="U156" s="11"/>
      <c r="V156" s="10"/>
      <c r="W156" s="10"/>
      <c r="X156" s="11"/>
      <c r="Y156" s="11"/>
      <c r="Z156" s="10"/>
      <c r="AA156" s="10"/>
      <c r="AB156" s="10"/>
      <c r="AC156" s="10"/>
      <c r="AD156" s="10"/>
      <c r="AE156" s="10"/>
      <c r="AF156" s="10"/>
      <c r="AG156" s="10"/>
      <c r="AH156" s="10"/>
    </row>
    <row r="157" spans="1:34" ht="15.75" customHeight="1">
      <c r="A157" s="5"/>
      <c r="B157" s="5" t="s">
        <v>420</v>
      </c>
      <c r="C157" s="6" t="s">
        <v>12</v>
      </c>
      <c r="D157" s="7" t="s">
        <v>421</v>
      </c>
      <c r="E157" s="8">
        <v>108648</v>
      </c>
      <c r="F157" s="6" cm="1">
        <f t="array" ref="F157">_xlfn.IFS(
E157&lt;=$E$245,0,
E157&lt;=$E$246,1,
E157&lt;=$E$247,2,
E157&gt;=$E$247,3)</f>
        <v>1</v>
      </c>
      <c r="G157" s="7" cm="1">
        <f t="array" ref="G157">_xlfn.IFS(
OR(D157="Aerospace",D157="Aerospace &amp; Defense",D157="Agricultural Equipment",D157="Airlines",D157="Automotive",D157="Automotive &amp; Energy",D157="Automotive Components",D157="Aviation",D157="Building Materials",D157="Chemicals",D157="Commercial Vehicles",D157="Conglomerate &amp; Defense",D157="Conglomerate &amp; Energy",D157="Construction",D157="Construction &amp; Infrastructure",D157="Construction &amp; Real Estate",D157="Construction &amp; Telecom",D157="Discount Retail",D157="Energy Management",D157="Energy Technology",D157="Engines &amp; Power Systems",D157="Environmental Services",D157="Food Distribution",D157="Food Services",D157="Grocery Retail",D157="Healthcare &amp; Pharmacy",D157="Home Improvement Retail",D157="Industrial Engineering &amp; Electronics",D157="Oilfield Services",D157="Pharmaceuticals",D157="Pharmaceuticals &amp; Chemicals",D157="Pharmaceuticals &amp; Healthcare",D157="Pharmacy Retail",D157="Postal &amp; Logistics",D157="Retail",D157="Retail &amp; Distribution",D157="Retail &amp; Grocery",D157="Retail (IKEA)",D157="Tobacco",D157="Trading &amp; Conglomerate",D157="Utilities",D157="Utilities &amp; Energy",D157="Wholesale Retail"),2,
OR(D157="Agribusiness",D157="Automotive &amp; Heavy Vehicles",D157="Chemicals",D157="Commercial Vehicles",D157="Construction",D157="Construction &amp; Infrastructure",D157="Engines &amp; Power Systems",D157="Food Processing",D157="Healthcare",D157="Healthcare &amp; Medical Devices",D157="Heavy Equipment",D157="Heavy Industry",D157="Industrial Gases",D157="Industrial Manufacturing",D157="Logistics",D157="Medical Devices",D157="Mining",D157="Mining &amp; Commodities Trading",D157="Oil &amp; Gas",D157="Oilfield Services",D157="Rail Transport",D157="Shipping &amp; Logistics",D157="Steel"),3,
OR(D157="Apparel &amp; Footwear",D157="Beverage",D157="Coffeehouse &amp; Retail",D157="Conglomerate",D157="Consumer Goods",D157="Convenience Retail",D157="Electronics",D157="Electronics &amp; Semiconductors",D157="Electronics Retail",D157="Fashion Retail",D157="Food &amp; Beverage",D157="Food Retail &amp; Consumer Goods",D157="Industrial &amp; Technology",D157="Industrial Automation",D157="Industrial Technology",D157="Postal &amp; Financial Services",D157="Postal Services",D157="Scientific Instruments",D157="Technology Hardware",D157="Trading Company",D157="IT Consulting"),1,
OR(D157="Cosmetics",D157="E-commerce &amp; Cloud Computing",D157="Electronics &amp; Entertainment",D157="Entertainment &amp; Media",D157="Luxury Goods",D157="Media &amp; Telecommunications",D157="Networking Technology",D157="Real Estate Services",D157="Technology &amp; Consumer Electronics",D157="Telecommunications",D157="Telecommunications &amp; Investment"),1,
OR(D157="Asset Management",D157="Banking",D157="Banking &amp; Asset Services",D157="Banking &amp; Financial Services",D157="Banking &amp; Wealth Management",D157="Cloud Software",D157="Enterprise Software",D157="Financial Services",D157="Information Technology Consulting",D157="Investment Banking",D157="Social Media &amp; Technology",D157="Software &amp; Cloud Computing",D157="Technology &amp; Consulting",D157="Technology &amp; Internet Services",D157="Technology &amp; Software"),1,
TRUE,"Unmapped"
)</f>
        <v>1</v>
      </c>
      <c r="H157" s="5">
        <v>1</v>
      </c>
      <c r="I157" s="5">
        <f>VLOOKUP(B157,'BIS + EDBA Final'!A:F,6,FALSE)</f>
        <v>1</v>
      </c>
      <c r="J157" s="5">
        <f>VLOOKUP(B157,'CBG Final'!A:B,2,FALSE)</f>
        <v>3</v>
      </c>
      <c r="K157" s="9">
        <f t="shared" si="2"/>
        <v>1.4</v>
      </c>
      <c r="L157" s="5" t="s">
        <v>1404</v>
      </c>
      <c r="M157" s="5" t="s">
        <v>260</v>
      </c>
      <c r="N157" s="5" t="s">
        <v>1405</v>
      </c>
      <c r="O157" s="5" t="s">
        <v>1406</v>
      </c>
      <c r="P157" s="5" t="s">
        <v>1407</v>
      </c>
      <c r="Q157" s="5" t="s">
        <v>1408</v>
      </c>
      <c r="R157" s="5" t="s">
        <v>20</v>
      </c>
      <c r="S157" s="10"/>
      <c r="T157" s="11"/>
      <c r="U157" s="11"/>
      <c r="V157" s="10"/>
      <c r="W157" s="10"/>
      <c r="X157" s="11"/>
      <c r="Y157" s="11"/>
      <c r="Z157" s="10"/>
      <c r="AA157" s="10"/>
      <c r="AB157" s="10"/>
      <c r="AC157" s="10"/>
      <c r="AD157" s="10"/>
      <c r="AE157" s="10"/>
      <c r="AF157" s="10"/>
      <c r="AG157" s="10"/>
      <c r="AH157" s="10"/>
    </row>
    <row r="158" spans="1:34" ht="15.75" customHeight="1">
      <c r="A158" s="5"/>
      <c r="B158" s="5" t="s">
        <v>265</v>
      </c>
      <c r="C158" s="6" t="s">
        <v>71</v>
      </c>
      <c r="D158" s="7" t="s">
        <v>266</v>
      </c>
      <c r="E158" s="8">
        <v>198194</v>
      </c>
      <c r="F158" s="6" cm="1">
        <f t="array" ref="F158">_xlfn.IFS(
E158&lt;=$E$245,0,
E158&lt;=$E$246,1,
E158&lt;=$E$247,2,
E158&gt;=$E$247,3)</f>
        <v>2</v>
      </c>
      <c r="G158" s="7" cm="1">
        <f t="array" ref="G158">_xlfn.IFS(
OR(D158="Aerospace",D158="Aerospace &amp; Defense",D158="Agricultural Equipment",D158="Airlines",D158="Automotive",D158="Automotive &amp; Energy",D158="Automotive Components",D158="Aviation",D158="Building Materials",D158="Chemicals",D158="Commercial Vehicles",D158="Conglomerate &amp; Defense",D158="Conglomerate &amp; Energy",D158="Construction",D158="Construction &amp; Infrastructure",D158="Construction &amp; Real Estate",D158="Construction &amp; Telecom",D158="Discount Retail",D158="Energy Management",D158="Energy Technology",D158="Engines &amp; Power Systems",D158="Environmental Services",D158="Food Distribution",D158="Food Services",D158="Grocery Retail",D158="Healthcare &amp; Pharmacy",D158="Home Improvement Retail",D158="Industrial Engineering &amp; Electronics",D158="Oilfield Services",D158="Pharmaceuticals",D158="Pharmaceuticals &amp; Chemicals",D158="Pharmaceuticals &amp; Healthcare",D158="Pharmacy Retail",D158="Postal &amp; Logistics",D158="Retail",D158="Retail &amp; Distribution",D158="Retail &amp; Grocery",D158="Retail (IKEA)",D158="Tobacco",D158="Trading &amp; Conglomerate",D158="Utilities",D158="Utilities &amp; Energy",D158="Wholesale Retail"),2,
OR(D158="Agribusiness",D158="Automotive &amp; Heavy Vehicles",D158="Chemicals",D158="Commercial Vehicles",D158="Construction",D158="Construction &amp; Infrastructure",D158="Engines &amp; Power Systems",D158="Food Processing",D158="Healthcare",D158="Healthcare &amp; Medical Devices",D158="Heavy Equipment",D158="Heavy Industry",D158="Industrial Gases",D158="Industrial Manufacturing",D158="Logistics",D158="Medical Devices",D158="Mining",D158="Mining &amp; Commodities Trading",D158="Oil &amp; Gas",D158="Oilfield Services",D158="Rail Transport",D158="Shipping &amp; Logistics",D158="Steel"),3,
OR(D158="Apparel &amp; Footwear",D158="Beverage",D158="Coffeehouse &amp; Retail",D158="Conglomerate",D158="Consumer Goods",D158="Convenience Retail",D158="Electronics",D158="Electronics &amp; Semiconductors",D158="Electronics Retail",D158="Fashion Retail",D158="Food &amp; Beverage",D158="Food Retail &amp; Consumer Goods",D158="Industrial &amp; Technology",D158="Industrial Automation",D158="Industrial Technology",D158="Postal &amp; Financial Services",D158="Postal Services",D158="Scientific Instruments",D158="Technology Hardware",D158="Trading Company",D158="IT Consulting"),1,
OR(D158="Cosmetics",D158="E-commerce &amp; Cloud Computing",D158="Electronics &amp; Entertainment",D158="Entertainment &amp; Media",D158="Luxury Goods",D158="Media &amp; Telecommunications",D158="Networking Technology",D158="Real Estate Services",D158="Technology &amp; Consumer Electronics",D158="Telecommunications",D158="Telecommunications &amp; Investment"),1,
OR(D158="Asset Management",D158="Banking",D158="Banking &amp; Asset Services",D158="Banking &amp; Financial Services",D158="Banking &amp; Wealth Management",D158="Cloud Software",D158="Enterprise Software",D158="Financial Services",D158="Information Technology Consulting",D158="Investment Banking",D158="Social Media &amp; Technology",D158="Software &amp; Cloud Computing",D158="Technology &amp; Consulting",D158="Technology &amp; Internet Services",D158="Technology &amp; Software"),1,
TRUE,"Unmapped"
)</f>
        <v>1</v>
      </c>
      <c r="H158" s="5">
        <v>2</v>
      </c>
      <c r="I158" s="5">
        <f>VLOOKUP(B158,'BIS + EDBA Final'!A:F,6,FALSE)</f>
        <v>1</v>
      </c>
      <c r="J158" s="5">
        <f>VLOOKUP(B158,'CBG Final'!A:B,2,FALSE)</f>
        <v>0</v>
      </c>
      <c r="K158" s="9">
        <f t="shared" si="2"/>
        <v>1.3000000000000003</v>
      </c>
      <c r="L158" s="5" t="s">
        <v>839</v>
      </c>
      <c r="M158" s="5" t="s">
        <v>840</v>
      </c>
      <c r="N158" s="5" t="s">
        <v>841</v>
      </c>
      <c r="O158" s="5" t="s">
        <v>842</v>
      </c>
      <c r="P158" s="5" t="s">
        <v>843</v>
      </c>
      <c r="Q158" s="5" t="s">
        <v>82</v>
      </c>
      <c r="R158" s="5" t="s">
        <v>20</v>
      </c>
      <c r="S158" s="10"/>
      <c r="T158" s="11"/>
      <c r="U158" s="11"/>
      <c r="V158" s="10"/>
      <c r="W158" s="10"/>
      <c r="X158" s="11"/>
      <c r="Y158" s="11"/>
      <c r="Z158" s="10"/>
      <c r="AA158" s="10"/>
      <c r="AB158" s="10"/>
      <c r="AC158" s="10"/>
      <c r="AD158" s="10"/>
      <c r="AE158" s="10"/>
      <c r="AF158" s="10"/>
      <c r="AG158" s="10"/>
      <c r="AH158" s="10"/>
    </row>
    <row r="159" spans="1:34" ht="15.75" customHeight="1">
      <c r="A159" s="5"/>
      <c r="B159" s="5" t="s">
        <v>1227</v>
      </c>
      <c r="C159" s="6" t="s">
        <v>36</v>
      </c>
      <c r="D159" s="7" t="s">
        <v>1228</v>
      </c>
      <c r="E159" s="8">
        <v>83100</v>
      </c>
      <c r="F159" s="6" cm="1">
        <f t="array" ref="F159">_xlfn.IFS(
E159&lt;=$E$245,0,
E159&lt;=$E$246,1,
E159&lt;=$E$247,2,
E159&gt;=$E$247,3)</f>
        <v>0</v>
      </c>
      <c r="G159" s="7" cm="1">
        <f t="array" ref="G159">_xlfn.IFS(
OR(D159="Aerospace",D159="Aerospace &amp; Defense",D159="Agricultural Equipment",D159="Airlines",D159="Automotive",D159="Automotive &amp; Energy",D159="Automotive Components",D159="Aviation",D159="Building Materials",D159="Chemicals",D159="Commercial Vehicles",D159="Conglomerate &amp; Defense",D159="Conglomerate &amp; Energy",D159="Construction",D159="Construction &amp; Infrastructure",D159="Construction &amp; Real Estate",D159="Construction &amp; Telecom",D159="Discount Retail",D159="Energy Management",D159="Energy Technology",D159="Engines &amp; Power Systems",D159="Environmental Services",D159="Food Distribution",D159="Food Services",D159="Grocery Retail",D159="Healthcare &amp; Pharmacy",D159="Home Improvement Retail",D159="Industrial Engineering &amp; Electronics",D159="Oilfield Services",D159="Pharmaceuticals",D159="Pharmaceuticals &amp; Chemicals",D159="Pharmaceuticals &amp; Healthcare",D159="Pharmacy Retail",D159="Postal &amp; Logistics",D159="Retail",D159="Retail &amp; Distribution",D159="Retail &amp; Grocery",D159="Retail (IKEA)",D159="Tobacco",D159="Trading &amp; Conglomerate",D159="Utilities",D159="Utilities &amp; Energy",D159="Wholesale Retail"),2,
OR(D159="Agribusiness",D159="Automotive &amp; Heavy Vehicles",D159="Chemicals",D159="Commercial Vehicles",D159="Construction",D159="Construction &amp; Infrastructure",D159="Engines &amp; Power Systems",D159="Food Processing",D159="Healthcare",D159="Healthcare &amp; Medical Devices",D159="Heavy Equipment",D159="Heavy Industry",D159="Industrial Gases",D159="Industrial Manufacturing",D159="Logistics",D159="Medical Devices",D159="Mining",D159="Mining &amp; Commodities Trading",D159="Oil &amp; Gas",D159="Oilfield Services",D159="Rail Transport",D159="Shipping &amp; Logistics",D159="Steel"),3,
OR(D159="Apparel &amp; Footwear",D159="Beverage",D159="Coffeehouse &amp; Retail",D159="Conglomerate",D159="Consumer Goods",D159="Convenience Retail",D159="Electronics",D159="Electronics &amp; Semiconductors",D159="Electronics Retail",D159="Fashion Retail",D159="Food &amp; Beverage",D159="Food Retail &amp; Consumer Goods",D159="Industrial &amp; Technology",D159="Industrial Automation",D159="Industrial Technology",D159="Postal &amp; Financial Services",D159="Postal Services",D159="Scientific Instruments",D159="Technology Hardware",D159="Trading Company",D159="IT Consulting"),1,
OR(D159="Cosmetics",D159="E-commerce &amp; Cloud Computing",D159="Electronics &amp; Entertainment",D159="Entertainment &amp; Media",D159="Luxury Goods",D159="Media &amp; Telecommunications",D159="Networking Technology",D159="Real Estate Services",D159="Technology &amp; Consumer Electronics",D159="Telecommunications",D159="Telecommunications &amp; Investment"),1,
OR(D159="Asset Management",D159="Banking",D159="Banking &amp; Asset Services",D159="Banking &amp; Financial Services",D159="Banking &amp; Wealth Management",D159="Cloud Software",D159="Enterprise Software",D159="Financial Services",D159="Information Technology Consulting",D159="Investment Banking",D159="Social Media &amp; Technology",D159="Software &amp; Cloud Computing",D159="Technology &amp; Consulting",D159="Technology &amp; Internet Services",D159="Technology &amp; Software"),1,
TRUE,"Unmapped"
)</f>
        <v>2</v>
      </c>
      <c r="H159" s="5">
        <v>2</v>
      </c>
      <c r="I159" s="5">
        <f>VLOOKUP(B159,'BIS + EDBA Final'!A:F,6,FALSE)</f>
        <v>-1</v>
      </c>
      <c r="J159" s="5">
        <f>VLOOKUP(B159,'CBG Final'!A:B,2,FALSE)</f>
        <v>3</v>
      </c>
      <c r="K159" s="9">
        <f t="shared" si="2"/>
        <v>1.3000000000000003</v>
      </c>
      <c r="L159" s="5" t="s">
        <v>1229</v>
      </c>
      <c r="M159" s="5" t="s">
        <v>57</v>
      </c>
      <c r="N159" s="5" t="s">
        <v>1230</v>
      </c>
      <c r="O159" s="5" t="s">
        <v>614</v>
      </c>
      <c r="P159" s="5" t="s">
        <v>1231</v>
      </c>
      <c r="Q159" s="5" t="s">
        <v>107</v>
      </c>
      <c r="R159" s="5" t="s">
        <v>136</v>
      </c>
      <c r="S159" s="10"/>
      <c r="T159" s="11"/>
      <c r="U159" s="11"/>
      <c r="V159" s="10"/>
      <c r="W159" s="10"/>
      <c r="X159" s="10"/>
      <c r="Y159" s="10"/>
      <c r="Z159" s="10"/>
      <c r="AA159" s="10"/>
      <c r="AB159" s="10"/>
      <c r="AC159" s="10"/>
      <c r="AD159" s="10"/>
      <c r="AE159" s="10"/>
      <c r="AF159" s="10"/>
      <c r="AG159" s="10"/>
      <c r="AH159" s="10"/>
    </row>
    <row r="160" spans="1:34" ht="15.75" customHeight="1">
      <c r="A160" s="5"/>
      <c r="B160" s="5" t="s">
        <v>750</v>
      </c>
      <c r="C160" s="6" t="s">
        <v>36</v>
      </c>
      <c r="D160" s="7" t="s">
        <v>751</v>
      </c>
      <c r="E160" s="8">
        <v>55524</v>
      </c>
      <c r="F160" s="6" cm="1">
        <f t="array" ref="F160">_xlfn.IFS(
E160&lt;=$E$245,0,
E160&lt;=$E$246,1,
E160&lt;=$E$247,2,
E160&gt;=$E$247,3)</f>
        <v>0</v>
      </c>
      <c r="G160" s="7" cm="1">
        <f t="array" ref="G160">_xlfn.IFS(
OR(D160="Aerospace",D160="Aerospace &amp; Defense",D160="Agricultural Equipment",D160="Airlines",D160="Automotive",D160="Automotive &amp; Energy",D160="Automotive Components",D160="Aviation",D160="Building Materials",D160="Chemicals",D160="Commercial Vehicles",D160="Conglomerate &amp; Defense",D160="Conglomerate &amp; Energy",D160="Construction",D160="Construction &amp; Infrastructure",D160="Construction &amp; Real Estate",D160="Construction &amp; Telecom",D160="Discount Retail",D160="Energy Management",D160="Energy Technology",D160="Engines &amp; Power Systems",D160="Environmental Services",D160="Food Distribution",D160="Food Services",D160="Grocery Retail",D160="Healthcare &amp; Pharmacy",D160="Home Improvement Retail",D160="Industrial Engineering &amp; Electronics",D160="Oilfield Services",D160="Pharmaceuticals",D160="Pharmaceuticals &amp; Chemicals",D160="Pharmaceuticals &amp; Healthcare",D160="Pharmacy Retail",D160="Postal &amp; Logistics",D160="Retail",D160="Retail &amp; Distribution",D160="Retail &amp; Grocery",D160="Retail (IKEA)",D160="Tobacco",D160="Trading &amp; Conglomerate",D160="Utilities",D160="Utilities &amp; Energy",D160="Wholesale Retail"),2,
OR(D160="Agribusiness",D160="Automotive &amp; Heavy Vehicles",D160="Chemicals",D160="Commercial Vehicles",D160="Construction",D160="Construction &amp; Infrastructure",D160="Engines &amp; Power Systems",D160="Food Processing",D160="Healthcare",D160="Healthcare &amp; Medical Devices",D160="Heavy Equipment",D160="Heavy Industry",D160="Industrial Gases",D160="Industrial Manufacturing",D160="Logistics",D160="Medical Devices",D160="Mining",D160="Mining &amp; Commodities Trading",D160="Oil &amp; Gas",D160="Oilfield Services",D160="Rail Transport",D160="Shipping &amp; Logistics",D160="Steel"),3,
OR(D160="Apparel &amp; Footwear",D160="Beverage",D160="Coffeehouse &amp; Retail",D160="Conglomerate",D160="Consumer Goods",D160="Convenience Retail",D160="Electronics",D160="Electronics &amp; Semiconductors",D160="Electronics Retail",D160="Fashion Retail",D160="Food &amp; Beverage",D160="Food Retail &amp; Consumer Goods",D160="Industrial &amp; Technology",D160="Industrial Automation",D160="Industrial Technology",D160="Postal &amp; Financial Services",D160="Postal Services",D160="Scientific Instruments",D160="Technology Hardware",D160="Trading Company",D160="IT Consulting"),1,
OR(D160="Cosmetics",D160="E-commerce &amp; Cloud Computing",D160="Electronics &amp; Entertainment",D160="Entertainment &amp; Media",D160="Luxury Goods",D160="Media &amp; Telecommunications",D160="Networking Technology",D160="Real Estate Services",D160="Technology &amp; Consumer Electronics",D160="Telecommunications",D160="Telecommunications &amp; Investment"),1,
OR(D160="Asset Management",D160="Banking",D160="Banking &amp; Asset Services",D160="Banking &amp; Financial Services",D160="Banking &amp; Wealth Management",D160="Cloud Software",D160="Enterprise Software",D160="Financial Services",D160="Information Technology Consulting",D160="Investment Banking",D160="Social Media &amp; Technology",D160="Software &amp; Cloud Computing",D160="Technology &amp; Consulting",D160="Technology &amp; Internet Services",D160="Technology &amp; Software"),1,
TRUE,"Unmapped"
)</f>
        <v>2</v>
      </c>
      <c r="H160" s="5">
        <v>1</v>
      </c>
      <c r="I160" s="5">
        <f>VLOOKUP(B160,'BIS + EDBA Final'!A:F,6,FALSE)</f>
        <v>1</v>
      </c>
      <c r="J160" s="5">
        <f>VLOOKUP(B160,'CBG Final'!A:B,2,FALSE)</f>
        <v>3</v>
      </c>
      <c r="K160" s="9">
        <f t="shared" si="2"/>
        <v>1.3000000000000003</v>
      </c>
      <c r="L160" s="5" t="s">
        <v>806</v>
      </c>
      <c r="M160" s="5" t="s">
        <v>807</v>
      </c>
      <c r="N160" s="5" t="s">
        <v>808</v>
      </c>
      <c r="O160" s="5" t="s">
        <v>809</v>
      </c>
      <c r="P160" s="5" t="s">
        <v>810</v>
      </c>
      <c r="Q160" s="5" t="s">
        <v>811</v>
      </c>
      <c r="R160" s="5" t="s">
        <v>20</v>
      </c>
      <c r="S160" s="10"/>
      <c r="T160" s="11"/>
      <c r="U160" s="11"/>
      <c r="V160" s="10"/>
      <c r="W160" s="10"/>
      <c r="X160" s="10"/>
      <c r="Y160" s="10"/>
      <c r="Z160" s="10"/>
      <c r="AA160" s="10"/>
      <c r="AB160" s="10"/>
      <c r="AC160" s="10"/>
      <c r="AD160" s="10"/>
      <c r="AE160" s="10"/>
      <c r="AF160" s="10"/>
      <c r="AG160" s="10"/>
      <c r="AH160" s="10"/>
    </row>
    <row r="161" spans="1:34" ht="15.75" customHeight="1">
      <c r="A161" s="5"/>
      <c r="B161" s="5" t="s">
        <v>593</v>
      </c>
      <c r="C161" s="6" t="s">
        <v>491</v>
      </c>
      <c r="D161" s="7" t="s">
        <v>157</v>
      </c>
      <c r="E161" s="8">
        <v>53597</v>
      </c>
      <c r="F161" s="6" cm="1">
        <f t="array" ref="F161">_xlfn.IFS(
E161&lt;=$E$245,0,
E161&lt;=$E$246,1,
E161&lt;=$E$247,2,
E161&gt;=$E$247,3)</f>
        <v>0</v>
      </c>
      <c r="G161" s="7" cm="1">
        <f t="array" ref="G161">_xlfn.IFS(
OR(D161="Aerospace",D161="Aerospace &amp; Defense",D161="Agricultural Equipment",D161="Airlines",D161="Automotive",D161="Automotive &amp; Energy",D161="Automotive Components",D161="Aviation",D161="Building Materials",D161="Chemicals",D161="Commercial Vehicles",D161="Conglomerate &amp; Defense",D161="Conglomerate &amp; Energy",D161="Construction",D161="Construction &amp; Infrastructure",D161="Construction &amp; Real Estate",D161="Construction &amp; Telecom",D161="Discount Retail",D161="Energy Management",D161="Energy Technology",D161="Engines &amp; Power Systems",D161="Environmental Services",D161="Food Distribution",D161="Food Services",D161="Grocery Retail",D161="Healthcare &amp; Pharmacy",D161="Home Improvement Retail",D161="Industrial Engineering &amp; Electronics",D161="Oilfield Services",D161="Pharmaceuticals",D161="Pharmaceuticals &amp; Chemicals",D161="Pharmaceuticals &amp; Healthcare",D161="Pharmacy Retail",D161="Postal &amp; Logistics",D161="Retail",D161="Retail &amp; Distribution",D161="Retail &amp; Grocery",D161="Retail (IKEA)",D161="Tobacco",D161="Trading &amp; Conglomerate",D161="Utilities",D161="Utilities &amp; Energy",D161="Wholesale Retail"),2,
OR(D161="Agribusiness",D161="Automotive &amp; Heavy Vehicles",D161="Chemicals",D161="Commercial Vehicles",D161="Construction",D161="Construction &amp; Infrastructure",D161="Engines &amp; Power Systems",D161="Food Processing",D161="Healthcare",D161="Healthcare &amp; Medical Devices",D161="Heavy Equipment",D161="Heavy Industry",D161="Industrial Gases",D161="Industrial Manufacturing",D161="Logistics",D161="Medical Devices",D161="Mining",D161="Mining &amp; Commodities Trading",D161="Oil &amp; Gas",D161="Oilfield Services",D161="Rail Transport",D161="Shipping &amp; Logistics",D161="Steel"),3,
OR(D161="Apparel &amp; Footwear",D161="Beverage",D161="Coffeehouse &amp; Retail",D161="Conglomerate",D161="Consumer Goods",D161="Convenience Retail",D161="Electronics",D161="Electronics &amp; Semiconductors",D161="Electronics Retail",D161="Fashion Retail",D161="Food &amp; Beverage",D161="Food Retail &amp; Consumer Goods",D161="Industrial &amp; Technology",D161="Industrial Automation",D161="Industrial Technology",D161="Postal &amp; Financial Services",D161="Postal Services",D161="Scientific Instruments",D161="Technology Hardware",D161="Trading Company",D161="IT Consulting"),1,
OR(D161="Cosmetics",D161="E-commerce &amp; Cloud Computing",D161="Electronics &amp; Entertainment",D161="Entertainment &amp; Media",D161="Luxury Goods",D161="Media &amp; Telecommunications",D161="Networking Technology",D161="Real Estate Services",D161="Technology &amp; Consumer Electronics",D161="Telecommunications",D161="Telecommunications &amp; Investment"),1,
OR(D161="Asset Management",D161="Banking",D161="Banking &amp; Asset Services",D161="Banking &amp; Financial Services",D161="Banking &amp; Wealth Management",D161="Cloud Software",D161="Enterprise Software",D161="Financial Services",D161="Information Technology Consulting",D161="Investment Banking",D161="Social Media &amp; Technology",D161="Software &amp; Cloud Computing",D161="Technology &amp; Consulting",D161="Technology &amp; Internet Services",D161="Technology &amp; Software"),1,
TRUE,"Unmapped"
)</f>
        <v>1</v>
      </c>
      <c r="H161" s="5">
        <f>'BIS + EDBA Final'!B219</f>
        <v>3</v>
      </c>
      <c r="I161" s="5">
        <f>VLOOKUP(B161,'BIS + EDBA Final'!A:F,6,FALSE)</f>
        <v>-1</v>
      </c>
      <c r="J161" s="5">
        <f>VLOOKUP(B161,'CBG Final'!A:B,2,FALSE)</f>
        <v>3</v>
      </c>
      <c r="K161" s="9">
        <f t="shared" si="2"/>
        <v>1.3000000000000003</v>
      </c>
      <c r="L161" s="5" t="s">
        <v>594</v>
      </c>
      <c r="M161" s="5" t="s">
        <v>595</v>
      </c>
      <c r="N161" s="5" t="s">
        <v>596</v>
      </c>
      <c r="O161" s="5" t="s">
        <v>597</v>
      </c>
      <c r="P161" s="5" t="s">
        <v>598</v>
      </c>
      <c r="Q161" s="5" t="s">
        <v>166</v>
      </c>
      <c r="R161" s="5" t="s">
        <v>431</v>
      </c>
      <c r="S161" s="10"/>
      <c r="T161" s="11"/>
      <c r="U161" s="11"/>
      <c r="V161" s="10"/>
      <c r="W161" s="10"/>
      <c r="X161" s="11"/>
      <c r="Y161" s="11"/>
      <c r="Z161" s="10"/>
      <c r="AA161" s="10"/>
      <c r="AB161" s="10"/>
      <c r="AC161" s="10"/>
      <c r="AD161" s="10"/>
      <c r="AE161" s="10"/>
      <c r="AF161" s="10"/>
      <c r="AG161" s="10"/>
      <c r="AH161" s="10"/>
    </row>
    <row r="162" spans="1:34" ht="15.75" customHeight="1">
      <c r="A162" s="5"/>
      <c r="B162" s="5" t="s">
        <v>1007</v>
      </c>
      <c r="C162" s="6" t="s">
        <v>195</v>
      </c>
      <c r="D162" s="7" t="s">
        <v>157</v>
      </c>
      <c r="E162" s="8">
        <v>61121</v>
      </c>
      <c r="F162" s="6" cm="1">
        <f t="array" ref="F162">_xlfn.IFS(
E162&lt;=$E$245,0,
E162&lt;=$E$246,1,
E162&lt;=$E$247,2,
E162&gt;=$E$247,3)</f>
        <v>0</v>
      </c>
      <c r="G162" s="7" cm="1">
        <f t="array" ref="G162">_xlfn.IFS(
OR(D162="Aerospace",D162="Aerospace &amp; Defense",D162="Agricultural Equipment",D162="Airlines",D162="Automotive",D162="Automotive &amp; Energy",D162="Automotive Components",D162="Aviation",D162="Building Materials",D162="Chemicals",D162="Commercial Vehicles",D162="Conglomerate &amp; Defense",D162="Conglomerate &amp; Energy",D162="Construction",D162="Construction &amp; Infrastructure",D162="Construction &amp; Real Estate",D162="Construction &amp; Telecom",D162="Discount Retail",D162="Energy Management",D162="Energy Technology",D162="Engines &amp; Power Systems",D162="Environmental Services",D162="Food Distribution",D162="Food Services",D162="Grocery Retail",D162="Healthcare &amp; Pharmacy",D162="Home Improvement Retail",D162="Industrial Engineering &amp; Electronics",D162="Oilfield Services",D162="Pharmaceuticals",D162="Pharmaceuticals &amp; Chemicals",D162="Pharmaceuticals &amp; Healthcare",D162="Pharmacy Retail",D162="Postal &amp; Logistics",D162="Retail",D162="Retail &amp; Distribution",D162="Retail &amp; Grocery",D162="Retail (IKEA)",D162="Tobacco",D162="Trading &amp; Conglomerate",D162="Utilities",D162="Utilities &amp; Energy",D162="Wholesale Retail"),2,
OR(D162="Agribusiness",D162="Automotive &amp; Heavy Vehicles",D162="Chemicals",D162="Commercial Vehicles",D162="Construction",D162="Construction &amp; Infrastructure",D162="Engines &amp; Power Systems",D162="Food Processing",D162="Healthcare",D162="Healthcare &amp; Medical Devices",D162="Heavy Equipment",D162="Heavy Industry",D162="Industrial Gases",D162="Industrial Manufacturing",D162="Logistics",D162="Medical Devices",D162="Mining",D162="Mining &amp; Commodities Trading",D162="Oil &amp; Gas",D162="Oilfield Services",D162="Rail Transport",D162="Shipping &amp; Logistics",D162="Steel"),3,
OR(D162="Apparel &amp; Footwear",D162="Beverage",D162="Coffeehouse &amp; Retail",D162="Conglomerate",D162="Consumer Goods",D162="Convenience Retail",D162="Electronics",D162="Electronics &amp; Semiconductors",D162="Electronics Retail",D162="Fashion Retail",D162="Food &amp; Beverage",D162="Food Retail &amp; Consumer Goods",D162="Industrial &amp; Technology",D162="Industrial Automation",D162="Industrial Technology",D162="Postal &amp; Financial Services",D162="Postal Services",D162="Scientific Instruments",D162="Technology Hardware",D162="Trading Company",D162="IT Consulting"),1,
OR(D162="Cosmetics",D162="E-commerce &amp; Cloud Computing",D162="Electronics &amp; Entertainment",D162="Entertainment &amp; Media",D162="Luxury Goods",D162="Media &amp; Telecommunications",D162="Networking Technology",D162="Real Estate Services",D162="Technology &amp; Consumer Electronics",D162="Telecommunications",D162="Telecommunications &amp; Investment"),1,
OR(D162="Asset Management",D162="Banking",D162="Banking &amp; Asset Services",D162="Banking &amp; Financial Services",D162="Banking &amp; Wealth Management",D162="Cloud Software",D162="Enterprise Software",D162="Financial Services",D162="Information Technology Consulting",D162="Investment Banking",D162="Social Media &amp; Technology",D162="Software &amp; Cloud Computing",D162="Technology &amp; Consulting",D162="Technology &amp; Internet Services",D162="Technology &amp; Software"),1,
TRUE,"Unmapped"
)</f>
        <v>1</v>
      </c>
      <c r="H162" s="5">
        <f>'BIS + EDBA Final'!B221</f>
        <v>2</v>
      </c>
      <c r="I162" s="5">
        <f>VLOOKUP(B162,'BIS + EDBA Final'!A:F,6,FALSE)</f>
        <v>1</v>
      </c>
      <c r="J162" s="5">
        <f>VLOOKUP(B162,'CBG Final'!A:B,2,FALSE)</f>
        <v>3</v>
      </c>
      <c r="K162" s="9">
        <f t="shared" si="2"/>
        <v>1.3000000000000003</v>
      </c>
      <c r="L162" s="5" t="s">
        <v>1008</v>
      </c>
      <c r="M162" s="5" t="s">
        <v>1009</v>
      </c>
      <c r="N162" s="5" t="s">
        <v>1010</v>
      </c>
      <c r="O162" s="5" t="s">
        <v>1011</v>
      </c>
      <c r="P162" s="5" t="s">
        <v>1012</v>
      </c>
      <c r="Q162" s="5" t="s">
        <v>906</v>
      </c>
      <c r="R162" s="5" t="s">
        <v>20</v>
      </c>
      <c r="S162" s="10"/>
      <c r="T162" s="11"/>
      <c r="U162" s="11"/>
      <c r="V162" s="10"/>
      <c r="W162" s="10"/>
      <c r="X162" s="11"/>
      <c r="Y162" s="11"/>
      <c r="Z162" s="10"/>
      <c r="AA162" s="10"/>
      <c r="AB162" s="10"/>
      <c r="AC162" s="10"/>
      <c r="AD162" s="10"/>
      <c r="AE162" s="10"/>
      <c r="AF162" s="10"/>
      <c r="AG162" s="10"/>
      <c r="AH162" s="10"/>
    </row>
    <row r="163" spans="1:34" ht="15.75" customHeight="1">
      <c r="A163" s="5"/>
      <c r="B163" s="5" t="s">
        <v>1232</v>
      </c>
      <c r="C163" s="6" t="s">
        <v>36</v>
      </c>
      <c r="D163" s="7" t="s">
        <v>585</v>
      </c>
      <c r="E163" s="8">
        <v>108000</v>
      </c>
      <c r="F163" s="6" cm="1">
        <f t="array" ref="F163">_xlfn.IFS(
E163&lt;=$E$245,0,
E163&lt;=$E$246,1,
E163&lt;=$E$247,2,
E163&gt;=$E$247,3)</f>
        <v>1</v>
      </c>
      <c r="G163" s="7" cm="1">
        <f t="array" ref="G163">_xlfn.IFS(
OR(D163="Aerospace",D163="Aerospace &amp; Defense",D163="Agricultural Equipment",D163="Airlines",D163="Automotive",D163="Automotive &amp; Energy",D163="Automotive Components",D163="Aviation",D163="Building Materials",D163="Chemicals",D163="Commercial Vehicles",D163="Conglomerate &amp; Defense",D163="Conglomerate &amp; Energy",D163="Construction",D163="Construction &amp; Infrastructure",D163="Construction &amp; Real Estate",D163="Construction &amp; Telecom",D163="Discount Retail",D163="Energy Management",D163="Energy Technology",D163="Engines &amp; Power Systems",D163="Environmental Services",D163="Food Distribution",D163="Food Services",D163="Grocery Retail",D163="Healthcare &amp; Pharmacy",D163="Home Improvement Retail",D163="Industrial Engineering &amp; Electronics",D163="Oilfield Services",D163="Pharmaceuticals",D163="Pharmaceuticals &amp; Chemicals",D163="Pharmaceuticals &amp; Healthcare",D163="Pharmacy Retail",D163="Postal &amp; Logistics",D163="Retail",D163="Retail &amp; Distribution",D163="Retail &amp; Grocery",D163="Retail (IKEA)",D163="Tobacco",D163="Trading &amp; Conglomerate",D163="Utilities",D163="Utilities &amp; Energy",D163="Wholesale Retail"),2,
OR(D163="Agribusiness",D163="Automotive &amp; Heavy Vehicles",D163="Chemicals",D163="Commercial Vehicles",D163="Construction",D163="Construction &amp; Infrastructure",D163="Engines &amp; Power Systems",D163="Food Processing",D163="Healthcare",D163="Healthcare &amp; Medical Devices",D163="Heavy Equipment",D163="Heavy Industry",D163="Industrial Gases",D163="Industrial Manufacturing",D163="Logistics",D163="Medical Devices",D163="Mining",D163="Mining &amp; Commodities Trading",D163="Oil &amp; Gas",D163="Oilfield Services",D163="Rail Transport",D163="Shipping &amp; Logistics",D163="Steel"),3,
OR(D163="Apparel &amp; Footwear",D163="Beverage",D163="Coffeehouse &amp; Retail",D163="Conglomerate",D163="Consumer Goods",D163="Convenience Retail",D163="Electronics",D163="Electronics &amp; Semiconductors",D163="Electronics Retail",D163="Fashion Retail",D163="Food &amp; Beverage",D163="Food Retail &amp; Consumer Goods",D163="Industrial &amp; Technology",D163="Industrial Automation",D163="Industrial Technology",D163="Postal &amp; Financial Services",D163="Postal Services",D163="Scientific Instruments",D163="Technology Hardware",D163="Trading Company",D163="IT Consulting"),1,
OR(D163="Cosmetics",D163="E-commerce &amp; Cloud Computing",D163="Electronics &amp; Entertainment",D163="Entertainment &amp; Media",D163="Luxury Goods",D163="Media &amp; Telecommunications",D163="Networking Technology",D163="Real Estate Services",D163="Technology &amp; Consumer Electronics",D163="Telecommunications",D163="Telecommunications &amp; Investment"),1,
OR(D163="Asset Management",D163="Banking",D163="Banking &amp; Asset Services",D163="Banking &amp; Financial Services",D163="Banking &amp; Wealth Management",D163="Cloud Software",D163="Enterprise Software",D163="Financial Services",D163="Information Technology Consulting",D163="Investment Banking",D163="Social Media &amp; Technology",D163="Software &amp; Cloud Computing",D163="Technology &amp; Consulting",D163="Technology &amp; Internet Services",D163="Technology &amp; Software"),1,
TRUE,"Unmapped"
)</f>
        <v>1</v>
      </c>
      <c r="H163" s="5">
        <v>1</v>
      </c>
      <c r="I163" s="5">
        <f>VLOOKUP(B163,'BIS + EDBA Final'!A:F,6,FALSE)</f>
        <v>0</v>
      </c>
      <c r="J163" s="5">
        <f>VLOOKUP(B163,'CBG Final'!A:B,2,FALSE)</f>
        <v>3</v>
      </c>
      <c r="K163" s="9">
        <f t="shared" si="2"/>
        <v>1.3</v>
      </c>
      <c r="L163" s="5" t="s">
        <v>1233</v>
      </c>
      <c r="M163" s="5" t="s">
        <v>1023</v>
      </c>
      <c r="N163" s="5" t="s">
        <v>1234</v>
      </c>
      <c r="O163" s="5" t="s">
        <v>352</v>
      </c>
      <c r="P163" s="5" t="s">
        <v>1235</v>
      </c>
      <c r="Q163" s="5" t="s">
        <v>169</v>
      </c>
      <c r="R163" s="5" t="s">
        <v>20</v>
      </c>
      <c r="S163" s="10"/>
      <c r="T163" s="11"/>
      <c r="U163" s="11"/>
      <c r="V163" s="10"/>
      <c r="W163" s="10"/>
      <c r="X163" s="11"/>
      <c r="Y163" s="11"/>
      <c r="Z163" s="10"/>
      <c r="AA163" s="10"/>
      <c r="AB163" s="10"/>
      <c r="AC163" s="10"/>
      <c r="AD163" s="10"/>
      <c r="AE163" s="10"/>
      <c r="AF163" s="10"/>
      <c r="AG163" s="10"/>
      <c r="AH163" s="10"/>
    </row>
    <row r="164" spans="1:34" ht="15.75" customHeight="1">
      <c r="A164" s="5"/>
      <c r="B164" s="5" t="s">
        <v>458</v>
      </c>
      <c r="C164" s="6" t="s">
        <v>12</v>
      </c>
      <c r="D164" s="7" t="s">
        <v>459</v>
      </c>
      <c r="E164" s="8">
        <v>109900</v>
      </c>
      <c r="F164" s="6" cm="1">
        <f t="array" ref="F164">_xlfn.IFS(
E164&lt;=$E$245,0,
E164&lt;=$E$246,1,
E164&lt;=$E$247,2,
E164&gt;=$E$247,3)</f>
        <v>1</v>
      </c>
      <c r="G164" s="7" cm="1">
        <f t="array" ref="G164">_xlfn.IFS(
OR(D164="Aerospace",D164="Aerospace &amp; Defense",D164="Agricultural Equipment",D164="Airlines",D164="Automotive",D164="Automotive &amp; Energy",D164="Automotive Components",D164="Aviation",D164="Building Materials",D164="Chemicals",D164="Commercial Vehicles",D164="Conglomerate &amp; Defense",D164="Conglomerate &amp; Energy",D164="Construction",D164="Construction &amp; Infrastructure",D164="Construction &amp; Real Estate",D164="Construction &amp; Telecom",D164="Discount Retail",D164="Energy Management",D164="Energy Technology",D164="Engines &amp; Power Systems",D164="Environmental Services",D164="Food Distribution",D164="Food Services",D164="Grocery Retail",D164="Healthcare &amp; Pharmacy",D164="Home Improvement Retail",D164="Industrial Engineering &amp; Electronics",D164="Oilfield Services",D164="Pharmaceuticals",D164="Pharmaceuticals &amp; Chemicals",D164="Pharmaceuticals &amp; Healthcare",D164="Pharmacy Retail",D164="Postal &amp; Logistics",D164="Retail",D164="Retail &amp; Distribution",D164="Retail &amp; Grocery",D164="Retail (IKEA)",D164="Tobacco",D164="Trading &amp; Conglomerate",D164="Utilities",D164="Utilities &amp; Energy",D164="Wholesale Retail"),2,
OR(D164="Agribusiness",D164="Automotive &amp; Heavy Vehicles",D164="Chemicals",D164="Commercial Vehicles",D164="Construction",D164="Construction &amp; Infrastructure",D164="Engines &amp; Power Systems",D164="Food Processing",D164="Healthcare",D164="Healthcare &amp; Medical Devices",D164="Heavy Equipment",D164="Heavy Industry",D164="Industrial Gases",D164="Industrial Manufacturing",D164="Logistics",D164="Medical Devices",D164="Mining",D164="Mining &amp; Commodities Trading",D164="Oil &amp; Gas",D164="Oilfield Services",D164="Rail Transport",D164="Shipping &amp; Logistics",D164="Steel"),3,
OR(D164="Apparel &amp; Footwear",D164="Beverage",D164="Coffeehouse &amp; Retail",D164="Conglomerate",D164="Consumer Goods",D164="Convenience Retail",D164="Electronics",D164="Electronics &amp; Semiconductors",D164="Electronics Retail",D164="Fashion Retail",D164="Food &amp; Beverage",D164="Food Retail &amp; Consumer Goods",D164="Industrial &amp; Technology",D164="Industrial Automation",D164="Industrial Technology",D164="Postal &amp; Financial Services",D164="Postal Services",D164="Scientific Instruments",D164="Technology Hardware",D164="Trading Company",D164="IT Consulting"),1,
OR(D164="Cosmetics",D164="E-commerce &amp; Cloud Computing",D164="Electronics &amp; Entertainment",D164="Entertainment &amp; Media",D164="Luxury Goods",D164="Media &amp; Telecommunications",D164="Networking Technology",D164="Real Estate Services",D164="Technology &amp; Consumer Electronics",D164="Telecommunications",D164="Telecommunications &amp; Investment"),1,
OR(D164="Asset Management",D164="Banking",D164="Banking &amp; Asset Services",D164="Banking &amp; Financial Services",D164="Banking &amp; Wealth Management",D164="Cloud Software",D164="Enterprise Software",D164="Financial Services",D164="Information Technology Consulting",D164="Investment Banking",D164="Social Media &amp; Technology",D164="Software &amp; Cloud Computing",D164="Technology &amp; Consulting",D164="Technology &amp; Internet Services",D164="Technology &amp; Software"),1,
TRUE,"Unmapped"
)</f>
        <v>1</v>
      </c>
      <c r="H164" s="5">
        <v>1</v>
      </c>
      <c r="I164" s="5">
        <f>VLOOKUP(B164,'BIS + EDBA Final'!A:F,6,FALSE)</f>
        <v>0</v>
      </c>
      <c r="J164" s="5">
        <f>VLOOKUP(B164,'CBG Final'!A:B,2,FALSE)</f>
        <v>3</v>
      </c>
      <c r="K164" s="9">
        <f t="shared" si="2"/>
        <v>1.3</v>
      </c>
      <c r="L164" s="5" t="s">
        <v>460</v>
      </c>
      <c r="M164" s="5" t="s">
        <v>79</v>
      </c>
      <c r="N164" s="5" t="s">
        <v>461</v>
      </c>
      <c r="O164" s="5" t="s">
        <v>264</v>
      </c>
      <c r="P164" s="5" t="s">
        <v>462</v>
      </c>
      <c r="Q164" s="5" t="s">
        <v>276</v>
      </c>
      <c r="R164" s="5" t="s">
        <v>145</v>
      </c>
      <c r="S164" s="10"/>
      <c r="T164" s="11"/>
      <c r="U164" s="11"/>
      <c r="V164" s="10"/>
      <c r="W164" s="10"/>
      <c r="X164" s="10"/>
      <c r="Y164" s="10"/>
      <c r="Z164" s="10"/>
      <c r="AA164" s="10"/>
      <c r="AB164" s="10"/>
      <c r="AC164" s="10"/>
      <c r="AD164" s="10"/>
      <c r="AE164" s="10"/>
      <c r="AF164" s="10"/>
      <c r="AG164" s="10"/>
      <c r="AH164" s="10"/>
    </row>
    <row r="165" spans="1:34" ht="15.75" customHeight="1">
      <c r="A165" s="5"/>
      <c r="B165" s="5" t="s">
        <v>913</v>
      </c>
      <c r="C165" s="6" t="s">
        <v>36</v>
      </c>
      <c r="D165" s="7" t="s">
        <v>914</v>
      </c>
      <c r="E165" s="8">
        <v>102000</v>
      </c>
      <c r="F165" s="6" cm="1">
        <f t="array" ref="F165">_xlfn.IFS(
E165&lt;=$E$245,0,
E165&lt;=$E$246,1,
E165&lt;=$E$247,2,
E165&gt;=$E$247,3)</f>
        <v>1</v>
      </c>
      <c r="G165" s="7" cm="1">
        <f t="array" ref="G165">_xlfn.IFS(
OR(D165="Aerospace",D165="Aerospace &amp; Defense",D165="Agricultural Equipment",D165="Airlines",D165="Automotive",D165="Automotive &amp; Energy",D165="Automotive Components",D165="Aviation",D165="Building Materials",D165="Chemicals",D165="Commercial Vehicles",D165="Conglomerate &amp; Defense",D165="Conglomerate &amp; Energy",D165="Construction",D165="Construction &amp; Infrastructure",D165="Construction &amp; Real Estate",D165="Construction &amp; Telecom",D165="Discount Retail",D165="Energy Management",D165="Energy Technology",D165="Engines &amp; Power Systems",D165="Environmental Services",D165="Food Distribution",D165="Food Services",D165="Grocery Retail",D165="Healthcare &amp; Pharmacy",D165="Home Improvement Retail",D165="Industrial Engineering &amp; Electronics",D165="Oilfield Services",D165="Pharmaceuticals",D165="Pharmaceuticals &amp; Chemicals",D165="Pharmaceuticals &amp; Healthcare",D165="Pharmacy Retail",D165="Postal &amp; Logistics",D165="Retail",D165="Retail &amp; Distribution",D165="Retail &amp; Grocery",D165="Retail (IKEA)",D165="Tobacco",D165="Trading &amp; Conglomerate",D165="Utilities",D165="Utilities &amp; Energy",D165="Wholesale Retail"),2,
OR(D165="Agribusiness",D165="Automotive &amp; Heavy Vehicles",D165="Chemicals",D165="Commercial Vehicles",D165="Construction",D165="Construction &amp; Infrastructure",D165="Engines &amp; Power Systems",D165="Food Processing",D165="Healthcare",D165="Healthcare &amp; Medical Devices",D165="Heavy Equipment",D165="Heavy Industry",D165="Industrial Gases",D165="Industrial Manufacturing",D165="Logistics",D165="Medical Devices",D165="Mining",D165="Mining &amp; Commodities Trading",D165="Oil &amp; Gas",D165="Oilfield Services",D165="Rail Transport",D165="Shipping &amp; Logistics",D165="Steel"),3,
OR(D165="Apparel &amp; Footwear",D165="Beverage",D165="Coffeehouse &amp; Retail",D165="Conglomerate",D165="Consumer Goods",D165="Convenience Retail",D165="Electronics",D165="Electronics &amp; Semiconductors",D165="Electronics Retail",D165="Fashion Retail",D165="Food &amp; Beverage",D165="Food Retail &amp; Consumer Goods",D165="Industrial &amp; Technology",D165="Industrial Automation",D165="Industrial Technology",D165="Postal &amp; Financial Services",D165="Postal Services",D165="Scientific Instruments",D165="Technology Hardware",D165="Trading Company",D165="IT Consulting"),1,
OR(D165="Cosmetics",D165="E-commerce &amp; Cloud Computing",D165="Electronics &amp; Entertainment",D165="Entertainment &amp; Media",D165="Luxury Goods",D165="Media &amp; Telecommunications",D165="Networking Technology",D165="Real Estate Services",D165="Technology &amp; Consumer Electronics",D165="Telecommunications",D165="Telecommunications &amp; Investment"),1,
OR(D165="Asset Management",D165="Banking",D165="Banking &amp; Asset Services",D165="Banking &amp; Financial Services",D165="Banking &amp; Wealth Management",D165="Cloud Software",D165="Enterprise Software",D165="Financial Services",D165="Information Technology Consulting",D165="Investment Banking",D165="Social Media &amp; Technology",D165="Software &amp; Cloud Computing",D165="Technology &amp; Consulting",D165="Technology &amp; Internet Services",D165="Technology &amp; Software"),1,
TRUE,"Unmapped"
)</f>
        <v>1</v>
      </c>
      <c r="H165" s="5">
        <v>1</v>
      </c>
      <c r="I165" s="5">
        <f>VLOOKUP(B165,'BIS + EDBA Final'!A:F,6,FALSE)</f>
        <v>0</v>
      </c>
      <c r="J165" s="5">
        <f>VLOOKUP(B165,'CBG Final'!A:B,2,FALSE)</f>
        <v>3</v>
      </c>
      <c r="K165" s="9">
        <f t="shared" si="2"/>
        <v>1.3</v>
      </c>
      <c r="L165" s="5" t="s">
        <v>973</v>
      </c>
      <c r="M165" s="5" t="s">
        <v>759</v>
      </c>
      <c r="N165" s="5" t="s">
        <v>974</v>
      </c>
      <c r="O165" s="5" t="s">
        <v>335</v>
      </c>
      <c r="P165" s="5" t="s">
        <v>975</v>
      </c>
      <c r="Q165" s="5" t="s">
        <v>46</v>
      </c>
      <c r="R165" s="5" t="s">
        <v>20</v>
      </c>
      <c r="S165" s="10"/>
      <c r="T165" s="11"/>
      <c r="U165" s="11"/>
      <c r="V165" s="10"/>
      <c r="W165" s="10"/>
      <c r="X165" s="10"/>
      <c r="Y165" s="10"/>
      <c r="Z165" s="10"/>
      <c r="AA165" s="10"/>
      <c r="AB165" s="10"/>
      <c r="AC165" s="10"/>
      <c r="AD165" s="10"/>
      <c r="AE165" s="10"/>
      <c r="AF165" s="10"/>
      <c r="AG165" s="10"/>
      <c r="AH165" s="10"/>
    </row>
    <row r="166" spans="1:34" ht="15.75" customHeight="1">
      <c r="A166" s="5"/>
      <c r="B166" s="5" t="s">
        <v>359</v>
      </c>
      <c r="C166" s="6" t="s">
        <v>36</v>
      </c>
      <c r="D166" s="7" t="s">
        <v>360</v>
      </c>
      <c r="E166" s="8">
        <v>108000</v>
      </c>
      <c r="F166" s="6" cm="1">
        <f t="array" ref="F166">_xlfn.IFS(
E166&lt;=$E$245,0,
E166&lt;=$E$246,1,
E166&lt;=$E$247,2,
E166&gt;=$E$247,3)</f>
        <v>1</v>
      </c>
      <c r="G166" s="7" cm="1">
        <f t="array" ref="G166">_xlfn.IFS(
OR(D166="Aerospace",D166="Aerospace &amp; Defense",D166="Agricultural Equipment",D166="Airlines",D166="Automotive",D166="Automotive &amp; Energy",D166="Automotive Components",D166="Aviation",D166="Building Materials",D166="Chemicals",D166="Commercial Vehicles",D166="Conglomerate &amp; Defense",D166="Conglomerate &amp; Energy",D166="Construction",D166="Construction &amp; Infrastructure",D166="Construction &amp; Real Estate",D166="Construction &amp; Telecom",D166="Discount Retail",D166="Energy Management",D166="Energy Technology",D166="Engines &amp; Power Systems",D166="Environmental Services",D166="Food Distribution",D166="Food Services",D166="Grocery Retail",D166="Healthcare &amp; Pharmacy",D166="Home Improvement Retail",D166="Industrial Engineering &amp; Electronics",D166="Oilfield Services",D166="Pharmaceuticals",D166="Pharmaceuticals &amp; Chemicals",D166="Pharmaceuticals &amp; Healthcare",D166="Pharmacy Retail",D166="Postal &amp; Logistics",D166="Retail",D166="Retail &amp; Distribution",D166="Retail &amp; Grocery",D166="Retail (IKEA)",D166="Tobacco",D166="Trading &amp; Conglomerate",D166="Utilities",D166="Utilities &amp; Energy",D166="Wholesale Retail"),2,
OR(D166="Agribusiness",D166="Automotive &amp; Heavy Vehicles",D166="Chemicals",D166="Commercial Vehicles",D166="Construction",D166="Construction &amp; Infrastructure",D166="Engines &amp; Power Systems",D166="Food Processing",D166="Healthcare",D166="Healthcare &amp; Medical Devices",D166="Heavy Equipment",D166="Heavy Industry",D166="Industrial Gases",D166="Industrial Manufacturing",D166="Logistics",D166="Medical Devices",D166="Mining",D166="Mining &amp; Commodities Trading",D166="Oil &amp; Gas",D166="Oilfield Services",D166="Rail Transport",D166="Shipping &amp; Logistics",D166="Steel"),3,
OR(D166="Apparel &amp; Footwear",D166="Beverage",D166="Coffeehouse &amp; Retail",D166="Conglomerate",D166="Consumer Goods",D166="Convenience Retail",D166="Electronics",D166="Electronics &amp; Semiconductors",D166="Electronics Retail",D166="Fashion Retail",D166="Food &amp; Beverage",D166="Food Retail &amp; Consumer Goods",D166="Industrial &amp; Technology",D166="Industrial Automation",D166="Industrial Technology",D166="Postal &amp; Financial Services",D166="Postal Services",D166="Scientific Instruments",D166="Technology Hardware",D166="Trading Company",D166="IT Consulting"),1,
OR(D166="Cosmetics",D166="E-commerce &amp; Cloud Computing",D166="Electronics &amp; Entertainment",D166="Entertainment &amp; Media",D166="Luxury Goods",D166="Media &amp; Telecommunications",D166="Networking Technology",D166="Real Estate Services",D166="Technology &amp; Consumer Electronics",D166="Telecommunications",D166="Telecommunications &amp; Investment"),1,
OR(D166="Asset Management",D166="Banking",D166="Banking &amp; Asset Services",D166="Banking &amp; Financial Services",D166="Banking &amp; Wealth Management",D166="Cloud Software",D166="Enterprise Software",D166="Financial Services",D166="Information Technology Consulting",D166="Investment Banking",D166="Social Media &amp; Technology",D166="Software &amp; Cloud Computing",D166="Technology &amp; Consulting",D166="Technology &amp; Internet Services",D166="Technology &amp; Software"),1,
TRUE,"Unmapped"
)</f>
        <v>1</v>
      </c>
      <c r="H166" s="5">
        <v>1</v>
      </c>
      <c r="I166" s="5">
        <f>VLOOKUP(B166,'BIS + EDBA Final'!A:F,6,FALSE)</f>
        <v>0</v>
      </c>
      <c r="J166" s="5">
        <f>VLOOKUP(B166,'CBG Final'!A:B,2,FALSE)</f>
        <v>3</v>
      </c>
      <c r="K166" s="9">
        <f t="shared" si="2"/>
        <v>1.3</v>
      </c>
      <c r="L166" s="5" t="s">
        <v>812</v>
      </c>
      <c r="M166" s="5" t="s">
        <v>291</v>
      </c>
      <c r="N166" s="5" t="s">
        <v>813</v>
      </c>
      <c r="O166" s="5" t="s">
        <v>814</v>
      </c>
      <c r="P166" s="5" t="s">
        <v>815</v>
      </c>
      <c r="Q166" s="5" t="s">
        <v>30</v>
      </c>
      <c r="R166" s="5" t="s">
        <v>34</v>
      </c>
      <c r="S166" s="10"/>
      <c r="T166" s="11"/>
      <c r="U166" s="11"/>
      <c r="V166" s="10"/>
      <c r="W166" s="10"/>
      <c r="X166" s="11"/>
      <c r="Y166" s="11"/>
      <c r="Z166" s="10"/>
      <c r="AA166" s="10"/>
      <c r="AB166" s="10"/>
      <c r="AC166" s="10"/>
      <c r="AD166" s="10"/>
      <c r="AE166" s="10"/>
      <c r="AF166" s="10"/>
      <c r="AG166" s="10"/>
      <c r="AH166" s="10"/>
    </row>
    <row r="167" spans="1:34" ht="15.75" customHeight="1">
      <c r="A167" s="5"/>
      <c r="B167" s="5" t="s">
        <v>1072</v>
      </c>
      <c r="C167" s="6" t="s">
        <v>22</v>
      </c>
      <c r="D167" s="7" t="s">
        <v>86</v>
      </c>
      <c r="E167" s="8">
        <v>86259</v>
      </c>
      <c r="F167" s="6" cm="1">
        <f t="array" ref="F167">_xlfn.IFS(
E167&lt;=$E$245,0,
E167&lt;=$E$246,1,
E167&lt;=$E$247,2,
E167&gt;=$E$247,3)</f>
        <v>1</v>
      </c>
      <c r="G167" s="7" cm="1">
        <f t="array" ref="G167">_xlfn.IFS(
OR(D167="Aerospace",D167="Aerospace &amp; Defense",D167="Agricultural Equipment",D167="Airlines",D167="Automotive",D167="Automotive &amp; Energy",D167="Automotive Components",D167="Aviation",D167="Building Materials",D167="Chemicals",D167="Commercial Vehicles",D167="Conglomerate &amp; Defense",D167="Conglomerate &amp; Energy",D167="Construction",D167="Construction &amp; Infrastructure",D167="Construction &amp; Real Estate",D167="Construction &amp; Telecom",D167="Discount Retail",D167="Energy Management",D167="Energy Technology",D167="Engines &amp; Power Systems",D167="Environmental Services",D167="Food Distribution",D167="Food Services",D167="Grocery Retail",D167="Healthcare &amp; Pharmacy",D167="Home Improvement Retail",D167="Industrial Engineering &amp; Electronics",D167="Oilfield Services",D167="Pharmaceuticals",D167="Pharmaceuticals &amp; Chemicals",D167="Pharmaceuticals &amp; Healthcare",D167="Pharmacy Retail",D167="Postal &amp; Logistics",D167="Retail",D167="Retail &amp; Distribution",D167="Retail &amp; Grocery",D167="Retail (IKEA)",D167="Tobacco",D167="Trading &amp; Conglomerate",D167="Utilities",D167="Utilities &amp; Energy",D167="Wholesale Retail"),2,
OR(D167="Agribusiness",D167="Automotive &amp; Heavy Vehicles",D167="Chemicals",D167="Commercial Vehicles",D167="Construction",D167="Construction &amp; Infrastructure",D167="Engines &amp; Power Systems",D167="Food Processing",D167="Healthcare",D167="Healthcare &amp; Medical Devices",D167="Heavy Equipment",D167="Heavy Industry",D167="Industrial Gases",D167="Industrial Manufacturing",D167="Logistics",D167="Medical Devices",D167="Mining",D167="Mining &amp; Commodities Trading",D167="Oil &amp; Gas",D167="Oilfield Services",D167="Rail Transport",D167="Shipping &amp; Logistics",D167="Steel"),3,
OR(D167="Apparel &amp; Footwear",D167="Beverage",D167="Coffeehouse &amp; Retail",D167="Conglomerate",D167="Consumer Goods",D167="Convenience Retail",D167="Electronics",D167="Electronics &amp; Semiconductors",D167="Electronics Retail",D167="Fashion Retail",D167="Food &amp; Beverage",D167="Food Retail &amp; Consumer Goods",D167="Industrial &amp; Technology",D167="Industrial Automation",D167="Industrial Technology",D167="Postal &amp; Financial Services",D167="Postal Services",D167="Scientific Instruments",D167="Technology Hardware",D167="Trading Company",D167="IT Consulting"),1,
OR(D167="Cosmetics",D167="E-commerce &amp; Cloud Computing",D167="Electronics &amp; Entertainment",D167="Entertainment &amp; Media",D167="Luxury Goods",D167="Media &amp; Telecommunications",D167="Networking Technology",D167="Real Estate Services",D167="Technology &amp; Consumer Electronics",D167="Telecommunications",D167="Telecommunications &amp; Investment"),1,
OR(D167="Asset Management",D167="Banking",D167="Banking &amp; Asset Services",D167="Banking &amp; Financial Services",D167="Banking &amp; Wealth Management",D167="Cloud Software",D167="Enterprise Software",D167="Financial Services",D167="Information Technology Consulting",D167="Investment Banking",D167="Social Media &amp; Technology",D167="Software &amp; Cloud Computing",D167="Technology &amp; Consulting",D167="Technology &amp; Internet Services",D167="Technology &amp; Software"),1,
TRUE,"Unmapped"
)</f>
        <v>2</v>
      </c>
      <c r="H167" s="5">
        <v>2</v>
      </c>
      <c r="I167" s="5">
        <f>VLOOKUP(B167,'BIS + EDBA Final'!A:F,6,FALSE)</f>
        <v>0</v>
      </c>
      <c r="J167" s="5">
        <f>VLOOKUP(B167,'CBG Final'!A:B,2,FALSE)</f>
        <v>1</v>
      </c>
      <c r="K167" s="9">
        <f t="shared" si="2"/>
        <v>1.3</v>
      </c>
      <c r="L167" s="5" t="s">
        <v>1365</v>
      </c>
      <c r="M167" s="5" t="s">
        <v>190</v>
      </c>
      <c r="N167" s="5" t="s">
        <v>1366</v>
      </c>
      <c r="O167" s="5" t="s">
        <v>1367</v>
      </c>
      <c r="P167" s="5" t="s">
        <v>1368</v>
      </c>
      <c r="Q167" s="5" t="s">
        <v>1084</v>
      </c>
      <c r="R167" s="5" t="s">
        <v>258</v>
      </c>
      <c r="S167" s="10"/>
      <c r="T167" s="11"/>
      <c r="U167" s="11"/>
      <c r="V167" s="10"/>
      <c r="W167" s="10"/>
      <c r="X167" s="10"/>
      <c r="Y167" s="10"/>
      <c r="Z167" s="10"/>
      <c r="AA167" s="10"/>
      <c r="AB167" s="10"/>
      <c r="AC167" s="10"/>
      <c r="AD167" s="10"/>
      <c r="AE167" s="10"/>
      <c r="AF167" s="10"/>
      <c r="AG167" s="10"/>
      <c r="AH167" s="10"/>
    </row>
    <row r="168" spans="1:34" ht="15.75" customHeight="1">
      <c r="A168" s="5"/>
      <c r="B168" s="5" t="s">
        <v>853</v>
      </c>
      <c r="C168" s="6" t="s">
        <v>94</v>
      </c>
      <c r="D168" s="7" t="s">
        <v>63</v>
      </c>
      <c r="E168" s="8">
        <v>95000</v>
      </c>
      <c r="F168" s="6" cm="1">
        <f t="array" ref="F168">_xlfn.IFS(
E168&lt;=$E$245,0,
E168&lt;=$E$246,1,
E168&lt;=$E$247,2,
E168&gt;=$E$247,3)</f>
        <v>1</v>
      </c>
      <c r="G168" s="7" cm="1">
        <f t="array" ref="G168">_xlfn.IFS(
OR(D168="Aerospace",D168="Aerospace &amp; Defense",D168="Agricultural Equipment",D168="Airlines",D168="Automotive",D168="Automotive &amp; Energy",D168="Automotive Components",D168="Aviation",D168="Building Materials",D168="Chemicals",D168="Commercial Vehicles",D168="Conglomerate &amp; Defense",D168="Conglomerate &amp; Energy",D168="Construction",D168="Construction &amp; Infrastructure",D168="Construction &amp; Real Estate",D168="Construction &amp; Telecom",D168="Discount Retail",D168="Energy Management",D168="Energy Technology",D168="Engines &amp; Power Systems",D168="Environmental Services",D168="Food Distribution",D168="Food Services",D168="Grocery Retail",D168="Healthcare &amp; Pharmacy",D168="Home Improvement Retail",D168="Industrial Engineering &amp; Electronics",D168="Oilfield Services",D168="Pharmaceuticals",D168="Pharmaceuticals &amp; Chemicals",D168="Pharmaceuticals &amp; Healthcare",D168="Pharmacy Retail",D168="Postal &amp; Logistics",D168="Retail",D168="Retail &amp; Distribution",D168="Retail &amp; Grocery",D168="Retail (IKEA)",D168="Tobacco",D168="Trading &amp; Conglomerate",D168="Utilities",D168="Utilities &amp; Energy",D168="Wholesale Retail"),2,
OR(D168="Agribusiness",D168="Automotive &amp; Heavy Vehicles",D168="Chemicals",D168="Commercial Vehicles",D168="Construction",D168="Construction &amp; Infrastructure",D168="Engines &amp; Power Systems",D168="Food Processing",D168="Healthcare",D168="Healthcare &amp; Medical Devices",D168="Heavy Equipment",D168="Heavy Industry",D168="Industrial Gases",D168="Industrial Manufacturing",D168="Logistics",D168="Medical Devices",D168="Mining",D168="Mining &amp; Commodities Trading",D168="Oil &amp; Gas",D168="Oilfield Services",D168="Rail Transport",D168="Shipping &amp; Logistics",D168="Steel"),3,
OR(D168="Apparel &amp; Footwear",D168="Beverage",D168="Coffeehouse &amp; Retail",D168="Conglomerate",D168="Consumer Goods",D168="Convenience Retail",D168="Electronics",D168="Electronics &amp; Semiconductors",D168="Electronics Retail",D168="Fashion Retail",D168="Food &amp; Beverage",D168="Food Retail &amp; Consumer Goods",D168="Industrial &amp; Technology",D168="Industrial Automation",D168="Industrial Technology",D168="Postal &amp; Financial Services",D168="Postal Services",D168="Scientific Instruments",D168="Technology Hardware",D168="Trading Company",D168="IT Consulting"),1,
OR(D168="Cosmetics",D168="E-commerce &amp; Cloud Computing",D168="Electronics &amp; Entertainment",D168="Entertainment &amp; Media",D168="Luxury Goods",D168="Media &amp; Telecommunications",D168="Networking Technology",D168="Real Estate Services",D168="Technology &amp; Consumer Electronics",D168="Telecommunications",D168="Telecommunications &amp; Investment"),1,
OR(D168="Asset Management",D168="Banking",D168="Banking &amp; Asset Services",D168="Banking &amp; Financial Services",D168="Banking &amp; Wealth Management",D168="Cloud Software",D168="Enterprise Software",D168="Financial Services",D168="Information Technology Consulting",D168="Investment Banking",D168="Social Media &amp; Technology",D168="Software &amp; Cloud Computing",D168="Technology &amp; Consulting",D168="Technology &amp; Internet Services",D168="Technology &amp; Software"),1,
TRUE,"Unmapped"
)</f>
        <v>2</v>
      </c>
      <c r="H168" s="5">
        <v>2</v>
      </c>
      <c r="I168" s="5">
        <f>VLOOKUP(B168,'BIS + EDBA Final'!A:F,6,FALSE)</f>
        <v>0</v>
      </c>
      <c r="J168" s="5">
        <f>VLOOKUP(B168,'CBG Final'!A:B,2,FALSE)</f>
        <v>1</v>
      </c>
      <c r="K168" s="9">
        <f t="shared" si="2"/>
        <v>1.3</v>
      </c>
      <c r="L168" s="5" t="s">
        <v>1034</v>
      </c>
      <c r="M168" s="5" t="s">
        <v>273</v>
      </c>
      <c r="N168" s="5" t="s">
        <v>1035</v>
      </c>
      <c r="O168" s="5" t="s">
        <v>1036</v>
      </c>
      <c r="P168" s="5" t="s">
        <v>1037</v>
      </c>
      <c r="Q168" s="5" t="s">
        <v>82</v>
      </c>
      <c r="R168" s="5" t="s">
        <v>20</v>
      </c>
      <c r="S168" s="10"/>
      <c r="T168" s="11"/>
      <c r="U168" s="11"/>
      <c r="V168" s="10"/>
      <c r="W168" s="10"/>
      <c r="X168" s="10"/>
      <c r="Y168" s="10"/>
      <c r="Z168" s="10"/>
      <c r="AA168" s="10"/>
      <c r="AB168" s="10"/>
      <c r="AC168" s="10"/>
      <c r="AD168" s="10"/>
      <c r="AE168" s="10"/>
      <c r="AF168" s="10"/>
      <c r="AG168" s="10"/>
      <c r="AH168" s="10"/>
    </row>
    <row r="169" spans="1:34" ht="15.75" customHeight="1">
      <c r="A169" s="5"/>
      <c r="B169" s="5" t="s">
        <v>1217</v>
      </c>
      <c r="C169" s="6" t="s">
        <v>1218</v>
      </c>
      <c r="D169" s="7" t="s">
        <v>84</v>
      </c>
      <c r="E169" s="8">
        <v>52157</v>
      </c>
      <c r="F169" s="6" cm="1">
        <f t="array" ref="F169">_xlfn.IFS(
E169&lt;=$E$245,0,
E169&lt;=$E$246,1,
E169&lt;=$E$247,2,
E169&gt;=$E$247,3)</f>
        <v>0</v>
      </c>
      <c r="G169" s="7" cm="1">
        <f t="array" ref="G169">_xlfn.IFS(
OR(D169="Aerospace",D169="Aerospace &amp; Defense",D169="Agricultural Equipment",D169="Airlines",D169="Automotive",D169="Automotive &amp; Energy",D169="Automotive Components",D169="Aviation",D169="Building Materials",D169="Chemicals",D169="Commercial Vehicles",D169="Conglomerate &amp; Defense",D169="Conglomerate &amp; Energy",D169="Construction",D169="Construction &amp; Infrastructure",D169="Construction &amp; Real Estate",D169="Construction &amp; Telecom",D169="Discount Retail",D169="Energy Management",D169="Energy Technology",D169="Engines &amp; Power Systems",D169="Environmental Services",D169="Food Distribution",D169="Food Services",D169="Grocery Retail",D169="Healthcare &amp; Pharmacy",D169="Home Improvement Retail",D169="Industrial Engineering &amp; Electronics",D169="Oilfield Services",D169="Pharmaceuticals",D169="Pharmaceuticals &amp; Chemicals",D169="Pharmaceuticals &amp; Healthcare",D169="Pharmacy Retail",D169="Postal &amp; Logistics",D169="Retail",D169="Retail &amp; Distribution",D169="Retail &amp; Grocery",D169="Retail (IKEA)",D169="Tobacco",D169="Trading &amp; Conglomerate",D169="Utilities",D169="Utilities &amp; Energy",D169="Wholesale Retail"),2,
OR(D169="Agribusiness",D169="Automotive &amp; Heavy Vehicles",D169="Chemicals",D169="Commercial Vehicles",D169="Construction",D169="Construction &amp; Infrastructure",D169="Engines &amp; Power Systems",D169="Food Processing",D169="Healthcare",D169="Healthcare &amp; Medical Devices",D169="Heavy Equipment",D169="Heavy Industry",D169="Industrial Gases",D169="Industrial Manufacturing",D169="Logistics",D169="Medical Devices",D169="Mining",D169="Mining &amp; Commodities Trading",D169="Oil &amp; Gas",D169="Oilfield Services",D169="Rail Transport",D169="Shipping &amp; Logistics",D169="Steel"),3,
OR(D169="Apparel &amp; Footwear",D169="Beverage",D169="Coffeehouse &amp; Retail",D169="Conglomerate",D169="Consumer Goods",D169="Convenience Retail",D169="Electronics",D169="Electronics &amp; Semiconductors",D169="Electronics Retail",D169="Fashion Retail",D169="Food &amp; Beverage",D169="Food Retail &amp; Consumer Goods",D169="Industrial &amp; Technology",D169="Industrial Automation",D169="Industrial Technology",D169="Postal &amp; Financial Services",D169="Postal Services",D169="Scientific Instruments",D169="Technology Hardware",D169="Trading Company",D169="IT Consulting"),1,
OR(D169="Cosmetics",D169="E-commerce &amp; Cloud Computing",D169="Electronics &amp; Entertainment",D169="Entertainment &amp; Media",D169="Luxury Goods",D169="Media &amp; Telecommunications",D169="Networking Technology",D169="Real Estate Services",D169="Technology &amp; Consumer Electronics",D169="Telecommunications",D169="Telecommunications &amp; Investment"),1,
OR(D169="Asset Management",D169="Banking",D169="Banking &amp; Asset Services",D169="Banking &amp; Financial Services",D169="Banking &amp; Wealth Management",D169="Cloud Software",D169="Enterprise Software",D169="Financial Services",D169="Information Technology Consulting",D169="Investment Banking",D169="Social Media &amp; Technology",D169="Software &amp; Cloud Computing",D169="Technology &amp; Consulting",D169="Technology &amp; Internet Services",D169="Technology &amp; Software"),1,
TRUE,"Unmapped"
)</f>
        <v>3</v>
      </c>
      <c r="H169" s="5">
        <v>1</v>
      </c>
      <c r="I169" s="5">
        <f>VLOOKUP(B169,'BIS + EDBA Final'!A:F,6,FALSE)</f>
        <v>1</v>
      </c>
      <c r="J169" s="5">
        <f>VLOOKUP(B169,'CBG Final'!A:B,2,FALSE)</f>
        <v>2</v>
      </c>
      <c r="K169" s="9">
        <f t="shared" si="2"/>
        <v>1.3</v>
      </c>
      <c r="L169" s="5" t="s">
        <v>1219</v>
      </c>
      <c r="M169" s="5" t="s">
        <v>665</v>
      </c>
      <c r="N169" s="5" t="s">
        <v>1220</v>
      </c>
      <c r="O169" s="5" t="s">
        <v>1221</v>
      </c>
      <c r="P169" s="5" t="s">
        <v>1222</v>
      </c>
      <c r="Q169" s="5" t="s">
        <v>615</v>
      </c>
      <c r="R169" s="5" t="s">
        <v>58</v>
      </c>
      <c r="S169" s="10"/>
      <c r="T169" s="11"/>
      <c r="U169" s="11"/>
      <c r="V169" s="10"/>
      <c r="W169" s="10"/>
      <c r="X169" s="11"/>
      <c r="Y169" s="11"/>
      <c r="Z169" s="10"/>
      <c r="AA169" s="10"/>
      <c r="AB169" s="10"/>
      <c r="AC169" s="10"/>
      <c r="AD169" s="10"/>
      <c r="AE169" s="10"/>
      <c r="AF169" s="10"/>
      <c r="AG169" s="10"/>
      <c r="AH169" s="10"/>
    </row>
    <row r="170" spans="1:34" ht="15.75" customHeight="1">
      <c r="A170" s="5"/>
      <c r="B170" s="5" t="s">
        <v>719</v>
      </c>
      <c r="C170" s="6" t="s">
        <v>720</v>
      </c>
      <c r="D170" s="7" t="s">
        <v>285</v>
      </c>
      <c r="E170" s="8">
        <v>300000</v>
      </c>
      <c r="F170" s="6" cm="1">
        <f t="array" ref="F170">_xlfn.IFS(
E170&lt;=$E$245,0,
E170&lt;=$E$246,1,
E170&lt;=$E$247,2,
E170&gt;=$E$247,3)</f>
        <v>3</v>
      </c>
      <c r="G170" s="7" cm="1">
        <f t="array" ref="G170">_xlfn.IFS(
OR(D170="Aerospace",D170="Aerospace &amp; Defense",D170="Agricultural Equipment",D170="Airlines",D170="Automotive",D170="Automotive &amp; Energy",D170="Automotive Components",D170="Aviation",D170="Building Materials",D170="Chemicals",D170="Commercial Vehicles",D170="Conglomerate &amp; Defense",D170="Conglomerate &amp; Energy",D170="Construction",D170="Construction &amp; Infrastructure",D170="Construction &amp; Real Estate",D170="Construction &amp; Telecom",D170="Discount Retail",D170="Energy Management",D170="Energy Technology",D170="Engines &amp; Power Systems",D170="Environmental Services",D170="Food Distribution",D170="Food Services",D170="Grocery Retail",D170="Healthcare &amp; Pharmacy",D170="Home Improvement Retail",D170="Industrial Engineering &amp; Electronics",D170="Oilfield Services",D170="Pharmaceuticals",D170="Pharmaceuticals &amp; Chemicals",D170="Pharmaceuticals &amp; Healthcare",D170="Pharmacy Retail",D170="Postal &amp; Logistics",D170="Retail",D170="Retail &amp; Distribution",D170="Retail &amp; Grocery",D170="Retail (IKEA)",D170="Tobacco",D170="Trading &amp; Conglomerate",D170="Utilities",D170="Utilities &amp; Energy",D170="Wholesale Retail"),2,
OR(D170="Agribusiness",D170="Automotive &amp; Heavy Vehicles",D170="Chemicals",D170="Commercial Vehicles",D170="Construction",D170="Construction &amp; Infrastructure",D170="Engines &amp; Power Systems",D170="Food Processing",D170="Healthcare",D170="Healthcare &amp; Medical Devices",D170="Heavy Equipment",D170="Heavy Industry",D170="Industrial Gases",D170="Industrial Manufacturing",D170="Logistics",D170="Medical Devices",D170="Mining",D170="Mining &amp; Commodities Trading",D170="Oil &amp; Gas",D170="Oilfield Services",D170="Rail Transport",D170="Shipping &amp; Logistics",D170="Steel"),3,
OR(D170="Apparel &amp; Footwear",D170="Beverage",D170="Coffeehouse &amp; Retail",D170="Conglomerate",D170="Consumer Goods",D170="Convenience Retail",D170="Electronics",D170="Electronics &amp; Semiconductors",D170="Electronics Retail",D170="Fashion Retail",D170="Food &amp; Beverage",D170="Food Retail &amp; Consumer Goods",D170="Industrial &amp; Technology",D170="Industrial Automation",D170="Industrial Technology",D170="Postal &amp; Financial Services",D170="Postal Services",D170="Scientific Instruments",D170="Technology Hardware",D170="Trading Company",D170="IT Consulting"),1,
OR(D170="Cosmetics",D170="E-commerce &amp; Cloud Computing",D170="Electronics &amp; Entertainment",D170="Entertainment &amp; Media",D170="Luxury Goods",D170="Media &amp; Telecommunications",D170="Networking Technology",D170="Real Estate Services",D170="Technology &amp; Consumer Electronics",D170="Telecommunications",D170="Telecommunications &amp; Investment"),1,
OR(D170="Asset Management",D170="Banking",D170="Banking &amp; Asset Services",D170="Banking &amp; Financial Services",D170="Banking &amp; Wealth Management",D170="Cloud Software",D170="Enterprise Software",D170="Financial Services",D170="Information Technology Consulting",D170="Investment Banking",D170="Social Media &amp; Technology",D170="Software &amp; Cloud Computing",D170="Technology &amp; Consulting",D170="Technology &amp; Internet Services",D170="Technology &amp; Software"),1,
TRUE,"Unmapped"
)</f>
        <v>1</v>
      </c>
      <c r="H170" s="5">
        <v>0</v>
      </c>
      <c r="I170" s="5">
        <f>VLOOKUP(B170,'BIS + EDBA Final'!A:F,6,FALSE)</f>
        <v>0</v>
      </c>
      <c r="J170" s="5">
        <f>VLOOKUP(B170,'CBG Final'!A:B,2,FALSE)</f>
        <v>1</v>
      </c>
      <c r="K170" s="9">
        <f t="shared" si="2"/>
        <v>1.2999999999999998</v>
      </c>
      <c r="L170" s="5" t="s">
        <v>721</v>
      </c>
      <c r="M170" s="5" t="s">
        <v>722</v>
      </c>
      <c r="N170" s="5" t="s">
        <v>723</v>
      </c>
      <c r="O170" s="5" t="s">
        <v>724</v>
      </c>
      <c r="P170" s="5" t="s">
        <v>725</v>
      </c>
      <c r="Q170" s="5" t="s">
        <v>154</v>
      </c>
      <c r="R170" s="5" t="s">
        <v>261</v>
      </c>
      <c r="S170" s="10"/>
      <c r="T170" s="11"/>
      <c r="U170" s="11"/>
      <c r="V170" s="10"/>
      <c r="W170" s="10"/>
      <c r="X170" s="10"/>
      <c r="Y170" s="10"/>
      <c r="Z170" s="10"/>
      <c r="AA170" s="10"/>
      <c r="AB170" s="10"/>
      <c r="AC170" s="10"/>
      <c r="AD170" s="10"/>
      <c r="AE170" s="10"/>
      <c r="AF170" s="10"/>
      <c r="AG170" s="10"/>
      <c r="AH170" s="10"/>
    </row>
    <row r="171" spans="1:34" ht="15.75" customHeight="1">
      <c r="A171" s="5"/>
      <c r="B171" s="5" t="s">
        <v>793</v>
      </c>
      <c r="C171" s="6" t="s">
        <v>71</v>
      </c>
      <c r="D171" s="7" t="s">
        <v>794</v>
      </c>
      <c r="E171" s="8">
        <v>108167</v>
      </c>
      <c r="F171" s="6" cm="1">
        <f t="array" ref="F171">_xlfn.IFS(
E171&lt;=$E$245,0,
E171&lt;=$E$246,1,
E171&lt;=$E$247,2,
E171&gt;=$E$247,3)</f>
        <v>1</v>
      </c>
      <c r="G171" s="7" cm="1">
        <f t="array" ref="G171">_xlfn.IFS(
OR(D171="Aerospace",D171="Aerospace &amp; Defense",D171="Agricultural Equipment",D171="Airlines",D171="Automotive",D171="Automotive &amp; Energy",D171="Automotive Components",D171="Aviation",D171="Building Materials",D171="Chemicals",D171="Commercial Vehicles",D171="Conglomerate &amp; Defense",D171="Conglomerate &amp; Energy",D171="Construction",D171="Construction &amp; Infrastructure",D171="Construction &amp; Real Estate",D171="Construction &amp; Telecom",D171="Discount Retail",D171="Energy Management",D171="Energy Technology",D171="Engines &amp; Power Systems",D171="Environmental Services",D171="Food Distribution",D171="Food Services",D171="Grocery Retail",D171="Healthcare &amp; Pharmacy",D171="Home Improvement Retail",D171="Industrial Engineering &amp; Electronics",D171="Oilfield Services",D171="Pharmaceuticals",D171="Pharmaceuticals &amp; Chemicals",D171="Pharmaceuticals &amp; Healthcare",D171="Pharmacy Retail",D171="Postal &amp; Logistics",D171="Retail",D171="Retail &amp; Distribution",D171="Retail &amp; Grocery",D171="Retail (IKEA)",D171="Tobacco",D171="Trading &amp; Conglomerate",D171="Utilities",D171="Utilities &amp; Energy",D171="Wholesale Retail"),2,
OR(D171="Agribusiness",D171="Automotive &amp; Heavy Vehicles",D171="Chemicals",D171="Commercial Vehicles",D171="Construction",D171="Construction &amp; Infrastructure",D171="Engines &amp; Power Systems",D171="Food Processing",D171="Healthcare",D171="Healthcare &amp; Medical Devices",D171="Heavy Equipment",D171="Heavy Industry",D171="Industrial Gases",D171="Industrial Manufacturing",D171="Logistics",D171="Medical Devices",D171="Mining",D171="Mining &amp; Commodities Trading",D171="Oil &amp; Gas",D171="Oilfield Services",D171="Rail Transport",D171="Shipping &amp; Logistics",D171="Steel"),3,
OR(D171="Apparel &amp; Footwear",D171="Beverage",D171="Coffeehouse &amp; Retail",D171="Conglomerate",D171="Consumer Goods",D171="Convenience Retail",D171="Electronics",D171="Electronics &amp; Semiconductors",D171="Electronics Retail",D171="Fashion Retail",D171="Food &amp; Beverage",D171="Food Retail &amp; Consumer Goods",D171="Industrial &amp; Technology",D171="Industrial Automation",D171="Industrial Technology",D171="Postal &amp; Financial Services",D171="Postal Services",D171="Scientific Instruments",D171="Technology Hardware",D171="Trading Company",D171="IT Consulting"),1,
OR(D171="Cosmetics",D171="E-commerce &amp; Cloud Computing",D171="Electronics &amp; Entertainment",D171="Entertainment &amp; Media",D171="Luxury Goods",D171="Media &amp; Telecommunications",D171="Networking Technology",D171="Real Estate Services",D171="Technology &amp; Consumer Electronics",D171="Telecommunications",D171="Telecommunications &amp; Investment"),1,
OR(D171="Asset Management",D171="Banking",D171="Banking &amp; Asset Services",D171="Banking &amp; Financial Services",D171="Banking &amp; Wealth Management",D171="Cloud Software",D171="Enterprise Software",D171="Financial Services",D171="Information Technology Consulting",D171="Investment Banking",D171="Social Media &amp; Technology",D171="Software &amp; Cloud Computing",D171="Technology &amp; Consulting",D171="Technology &amp; Internet Services",D171="Technology &amp; Software"),1,
TRUE,"Unmapped"
)</f>
        <v>2</v>
      </c>
      <c r="H171" s="5">
        <v>1</v>
      </c>
      <c r="I171" s="5">
        <f>VLOOKUP(B171,'BIS + EDBA Final'!A:F,6,FALSE)</f>
        <v>0</v>
      </c>
      <c r="J171" s="5">
        <f>VLOOKUP(B171,'CBG Final'!A:B,2,FALSE)</f>
        <v>2</v>
      </c>
      <c r="K171" s="9">
        <f t="shared" si="2"/>
        <v>1.2999999999999998</v>
      </c>
      <c r="L171" s="5" t="s">
        <v>795</v>
      </c>
      <c r="M171" s="5" t="s">
        <v>466</v>
      </c>
      <c r="N171" s="5" t="s">
        <v>796</v>
      </c>
      <c r="O171" s="5" t="s">
        <v>797</v>
      </c>
      <c r="P171" s="5" t="s">
        <v>798</v>
      </c>
      <c r="Q171" s="5" t="s">
        <v>587</v>
      </c>
      <c r="R171" s="5" t="s">
        <v>232</v>
      </c>
      <c r="S171" s="10"/>
      <c r="T171" s="11"/>
      <c r="U171" s="11"/>
      <c r="V171" s="10"/>
      <c r="W171" s="10"/>
      <c r="X171" s="11"/>
      <c r="Y171" s="11"/>
      <c r="Z171" s="10"/>
      <c r="AA171" s="10"/>
      <c r="AB171" s="10"/>
      <c r="AC171" s="10"/>
      <c r="AD171" s="10"/>
      <c r="AE171" s="10"/>
      <c r="AF171" s="10"/>
      <c r="AG171" s="10"/>
      <c r="AH171" s="10"/>
    </row>
    <row r="172" spans="1:34" ht="15.75" customHeight="1">
      <c r="A172" s="5"/>
      <c r="B172" s="5" t="s">
        <v>129</v>
      </c>
      <c r="C172" s="6" t="s">
        <v>71</v>
      </c>
      <c r="D172" s="7" t="s">
        <v>130</v>
      </c>
      <c r="E172" s="8">
        <v>80951</v>
      </c>
      <c r="F172" s="6" cm="1">
        <f t="array" ref="F172">_xlfn.IFS(
E172&lt;=$E$245,0,
E172&lt;=$E$246,1,
E172&lt;=$E$247,2,
E172&gt;=$E$247,3)</f>
        <v>0</v>
      </c>
      <c r="G172" s="7" cm="1">
        <f t="array" ref="G172">_xlfn.IFS(
OR(D172="Aerospace",D172="Aerospace &amp; Defense",D172="Agricultural Equipment",D172="Airlines",D172="Automotive",D172="Automotive &amp; Energy",D172="Automotive Components",D172="Aviation",D172="Building Materials",D172="Chemicals",D172="Commercial Vehicles",D172="Conglomerate &amp; Defense",D172="Conglomerate &amp; Energy",D172="Construction",D172="Construction &amp; Infrastructure",D172="Construction &amp; Real Estate",D172="Construction &amp; Telecom",D172="Discount Retail",D172="Energy Management",D172="Energy Technology",D172="Engines &amp; Power Systems",D172="Environmental Services",D172="Food Distribution",D172="Food Services",D172="Grocery Retail",D172="Healthcare &amp; Pharmacy",D172="Home Improvement Retail",D172="Industrial Engineering &amp; Electronics",D172="Oilfield Services",D172="Pharmaceuticals",D172="Pharmaceuticals &amp; Chemicals",D172="Pharmaceuticals &amp; Healthcare",D172="Pharmacy Retail",D172="Postal &amp; Logistics",D172="Retail",D172="Retail &amp; Distribution",D172="Retail &amp; Grocery",D172="Retail (IKEA)",D172="Tobacco",D172="Trading &amp; Conglomerate",D172="Utilities",D172="Utilities &amp; Energy",D172="Wholesale Retail"),2,
OR(D172="Agribusiness",D172="Automotive &amp; Heavy Vehicles",D172="Chemicals",D172="Commercial Vehicles",D172="Construction",D172="Construction &amp; Infrastructure",D172="Engines &amp; Power Systems",D172="Food Processing",D172="Healthcare",D172="Healthcare &amp; Medical Devices",D172="Heavy Equipment",D172="Heavy Industry",D172="Industrial Gases",D172="Industrial Manufacturing",D172="Logistics",D172="Medical Devices",D172="Mining",D172="Mining &amp; Commodities Trading",D172="Oil &amp; Gas",D172="Oilfield Services",D172="Rail Transport",D172="Shipping &amp; Logistics",D172="Steel"),3,
OR(D172="Apparel &amp; Footwear",D172="Beverage",D172="Coffeehouse &amp; Retail",D172="Conglomerate",D172="Consumer Goods",D172="Convenience Retail",D172="Electronics",D172="Electronics &amp; Semiconductors",D172="Electronics Retail",D172="Fashion Retail",D172="Food &amp; Beverage",D172="Food Retail &amp; Consumer Goods",D172="Industrial &amp; Technology",D172="Industrial Automation",D172="Industrial Technology",D172="Postal &amp; Financial Services",D172="Postal Services",D172="Scientific Instruments",D172="Technology Hardware",D172="Trading Company",D172="IT Consulting"),1,
OR(D172="Cosmetics",D172="E-commerce &amp; Cloud Computing",D172="Electronics &amp; Entertainment",D172="Entertainment &amp; Media",D172="Luxury Goods",D172="Media &amp; Telecommunications",D172="Networking Technology",D172="Real Estate Services",D172="Technology &amp; Consumer Electronics",D172="Telecommunications",D172="Telecommunications &amp; Investment"),1,
OR(D172="Asset Management",D172="Banking",D172="Banking &amp; Asset Services",D172="Banking &amp; Financial Services",D172="Banking &amp; Wealth Management",D172="Cloud Software",D172="Enterprise Software",D172="Financial Services",D172="Information Technology Consulting",D172="Investment Banking",D172="Social Media &amp; Technology",D172="Software &amp; Cloud Computing",D172="Technology &amp; Consulting",D172="Technology &amp; Internet Services",D172="Technology &amp; Software"),1,
TRUE,"Unmapped"
)</f>
        <v>2</v>
      </c>
      <c r="H172" s="5">
        <f>VLOOKUP(B172,'BIS + EDBA Final'!A:K,2,FALSE)</f>
        <v>1</v>
      </c>
      <c r="I172" s="5">
        <f>VLOOKUP(B172,'BIS + EDBA Final'!A:F,6,FALSE)</f>
        <v>0</v>
      </c>
      <c r="J172" s="5">
        <f>VLOOKUP(B172,'CBG Final'!A:B,2,FALSE)</f>
        <v>3</v>
      </c>
      <c r="K172" s="9">
        <f t="shared" si="2"/>
        <v>1.2000000000000002</v>
      </c>
      <c r="L172" s="5" t="s">
        <v>131</v>
      </c>
      <c r="M172" s="5" t="s">
        <v>132</v>
      </c>
      <c r="N172" s="5" t="s">
        <v>133</v>
      </c>
      <c r="O172" s="5" t="s">
        <v>134</v>
      </c>
      <c r="P172" s="5" t="s">
        <v>135</v>
      </c>
      <c r="Q172" s="5" t="s">
        <v>136</v>
      </c>
      <c r="R172" s="5" t="s">
        <v>128</v>
      </c>
      <c r="S172" s="10"/>
      <c r="T172" s="11"/>
      <c r="U172" s="11"/>
      <c r="V172" s="10"/>
      <c r="W172" s="10"/>
      <c r="X172" s="10"/>
      <c r="Y172" s="10"/>
      <c r="Z172" s="10"/>
      <c r="AA172" s="10"/>
      <c r="AB172" s="10"/>
      <c r="AC172" s="10"/>
      <c r="AD172" s="10"/>
      <c r="AE172" s="10"/>
      <c r="AF172" s="10"/>
      <c r="AG172" s="10"/>
      <c r="AH172" s="10"/>
    </row>
    <row r="173" spans="1:34" ht="15.75" customHeight="1">
      <c r="A173" s="5"/>
      <c r="B173" s="5" t="s">
        <v>311</v>
      </c>
      <c r="C173" s="6" t="s">
        <v>312</v>
      </c>
      <c r="D173" s="7" t="s">
        <v>313</v>
      </c>
      <c r="E173" s="8">
        <v>65144</v>
      </c>
      <c r="F173" s="6" cm="1">
        <f t="array" ref="F173">_xlfn.IFS(
E173&lt;=$E$245,0,
E173&lt;=$E$246,1,
E173&lt;=$E$247,2,
E173&gt;=$E$247,3)</f>
        <v>0</v>
      </c>
      <c r="G173" s="7" cm="1">
        <f t="array" ref="G173">_xlfn.IFS(
OR(D173="Aerospace",D173="Aerospace &amp; Defense",D173="Agricultural Equipment",D173="Airlines",D173="Automotive",D173="Automotive &amp; Energy",D173="Automotive Components",D173="Aviation",D173="Building Materials",D173="Chemicals",D173="Commercial Vehicles",D173="Conglomerate &amp; Defense",D173="Conglomerate &amp; Energy",D173="Construction",D173="Construction &amp; Infrastructure",D173="Construction &amp; Real Estate",D173="Construction &amp; Telecom",D173="Discount Retail",D173="Energy Management",D173="Energy Technology",D173="Engines &amp; Power Systems",D173="Environmental Services",D173="Food Distribution",D173="Food Services",D173="Grocery Retail",D173="Healthcare &amp; Pharmacy",D173="Home Improvement Retail",D173="Industrial Engineering &amp; Electronics",D173="Oilfield Services",D173="Pharmaceuticals",D173="Pharmaceuticals &amp; Chemicals",D173="Pharmaceuticals &amp; Healthcare",D173="Pharmacy Retail",D173="Postal &amp; Logistics",D173="Retail",D173="Retail &amp; Distribution",D173="Retail &amp; Grocery",D173="Retail (IKEA)",D173="Tobacco",D173="Trading &amp; Conglomerate",D173="Utilities",D173="Utilities &amp; Energy",D173="Wholesale Retail"),2,
OR(D173="Agribusiness",D173="Automotive &amp; Heavy Vehicles",D173="Chemicals",D173="Commercial Vehicles",D173="Construction",D173="Construction &amp; Infrastructure",D173="Engines &amp; Power Systems",D173="Food Processing",D173="Healthcare",D173="Healthcare &amp; Medical Devices",D173="Heavy Equipment",D173="Heavy Industry",D173="Industrial Gases",D173="Industrial Manufacturing",D173="Logistics",D173="Medical Devices",D173="Mining",D173="Mining &amp; Commodities Trading",D173="Oil &amp; Gas",D173="Oilfield Services",D173="Rail Transport",D173="Shipping &amp; Logistics",D173="Steel"),3,
OR(D173="Apparel &amp; Footwear",D173="Beverage",D173="Coffeehouse &amp; Retail",D173="Conglomerate",D173="Consumer Goods",D173="Convenience Retail",D173="Electronics",D173="Electronics &amp; Semiconductors",D173="Electronics Retail",D173="Fashion Retail",D173="Food &amp; Beverage",D173="Food Retail &amp; Consumer Goods",D173="Industrial &amp; Technology",D173="Industrial Automation",D173="Industrial Technology",D173="Postal &amp; Financial Services",D173="Postal Services",D173="Scientific Instruments",D173="Technology Hardware",D173="Trading Company",D173="IT Consulting"),1,
OR(D173="Cosmetics",D173="E-commerce &amp; Cloud Computing",D173="Electronics &amp; Entertainment",D173="Entertainment &amp; Media",D173="Luxury Goods",D173="Media &amp; Telecommunications",D173="Networking Technology",D173="Real Estate Services",D173="Technology &amp; Consumer Electronics",D173="Telecommunications",D173="Telecommunications &amp; Investment"),1,
OR(D173="Asset Management",D173="Banking",D173="Banking &amp; Asset Services",D173="Banking &amp; Financial Services",D173="Banking &amp; Wealth Management",D173="Cloud Software",D173="Enterprise Software",D173="Financial Services",D173="Information Technology Consulting",D173="Investment Banking",D173="Social Media &amp; Technology",D173="Software &amp; Cloud Computing",D173="Technology &amp; Consulting",D173="Technology &amp; Internet Services",D173="Technology &amp; Software"),1,
TRUE,"Unmapped"
)</f>
        <v>3</v>
      </c>
      <c r="H173" s="5">
        <f>VLOOKUP(B173,'BIS + EDBA Final'!A:K,2,FALSE)</f>
        <v>1</v>
      </c>
      <c r="I173" s="5">
        <f>VLOOKUP(B173,'BIS + EDBA Final'!A:F,6,FALSE)</f>
        <v>0</v>
      </c>
      <c r="J173" s="5">
        <f>VLOOKUP(B173,'CBG Final'!A:B,2,FALSE)</f>
        <v>2</v>
      </c>
      <c r="K173" s="9">
        <f t="shared" si="2"/>
        <v>1.2000000000000002</v>
      </c>
      <c r="L173" s="5" t="s">
        <v>314</v>
      </c>
      <c r="M173" s="5" t="s">
        <v>315</v>
      </c>
      <c r="N173" s="5" t="s">
        <v>316</v>
      </c>
      <c r="O173" s="5" t="s">
        <v>317</v>
      </c>
      <c r="P173" s="5" t="s">
        <v>318</v>
      </c>
      <c r="Q173" s="5" t="s">
        <v>319</v>
      </c>
      <c r="R173" s="5" t="s">
        <v>82</v>
      </c>
      <c r="S173" s="10"/>
      <c r="T173" s="11"/>
      <c r="U173" s="11"/>
      <c r="V173" s="10"/>
      <c r="W173" s="10"/>
      <c r="X173" s="10"/>
      <c r="Y173" s="10"/>
      <c r="Z173" s="10"/>
      <c r="AA173" s="10"/>
      <c r="AB173" s="10"/>
      <c r="AC173" s="10"/>
      <c r="AD173" s="10"/>
      <c r="AE173" s="10"/>
      <c r="AF173" s="10"/>
      <c r="AG173" s="10"/>
      <c r="AH173" s="10"/>
    </row>
    <row r="174" spans="1:34" ht="15.75" customHeight="1">
      <c r="A174" s="5"/>
      <c r="B174" s="5" t="s">
        <v>293</v>
      </c>
      <c r="C174" s="6" t="s">
        <v>122</v>
      </c>
      <c r="D174" s="7" t="s">
        <v>294</v>
      </c>
      <c r="E174" s="8">
        <v>65289</v>
      </c>
      <c r="F174" s="6" cm="1">
        <f t="array" ref="F174">_xlfn.IFS(
E174&lt;=$E$245,0,
E174&lt;=$E$246,1,
E174&lt;=$E$247,2,
E174&gt;=$E$247,3)</f>
        <v>0</v>
      </c>
      <c r="G174" s="7" cm="1">
        <f t="array" ref="G174">_xlfn.IFS(
OR(D174="Aerospace",D174="Aerospace &amp; Defense",D174="Agricultural Equipment",D174="Airlines",D174="Automotive",D174="Automotive &amp; Energy",D174="Automotive Components",D174="Aviation",D174="Building Materials",D174="Chemicals",D174="Commercial Vehicles",D174="Conglomerate &amp; Defense",D174="Conglomerate &amp; Energy",D174="Construction",D174="Construction &amp; Infrastructure",D174="Construction &amp; Real Estate",D174="Construction &amp; Telecom",D174="Discount Retail",D174="Energy Management",D174="Energy Technology",D174="Engines &amp; Power Systems",D174="Environmental Services",D174="Food Distribution",D174="Food Services",D174="Grocery Retail",D174="Healthcare &amp; Pharmacy",D174="Home Improvement Retail",D174="Industrial Engineering &amp; Electronics",D174="Oilfield Services",D174="Pharmaceuticals",D174="Pharmaceuticals &amp; Chemicals",D174="Pharmaceuticals &amp; Healthcare",D174="Pharmacy Retail",D174="Postal &amp; Logistics",D174="Retail",D174="Retail &amp; Distribution",D174="Retail &amp; Grocery",D174="Retail (IKEA)",D174="Tobacco",D174="Trading &amp; Conglomerate",D174="Utilities",D174="Utilities &amp; Energy",D174="Wholesale Retail"),2,
OR(D174="Agribusiness",D174="Automotive &amp; Heavy Vehicles",D174="Chemicals",D174="Commercial Vehicles",D174="Construction",D174="Construction &amp; Infrastructure",D174="Engines &amp; Power Systems",D174="Food Processing",D174="Healthcare",D174="Healthcare &amp; Medical Devices",D174="Heavy Equipment",D174="Heavy Industry",D174="Industrial Gases",D174="Industrial Manufacturing",D174="Logistics",D174="Medical Devices",D174="Mining",D174="Mining &amp; Commodities Trading",D174="Oil &amp; Gas",D174="Oilfield Services",D174="Rail Transport",D174="Shipping &amp; Logistics",D174="Steel"),3,
OR(D174="Apparel &amp; Footwear",D174="Beverage",D174="Coffeehouse &amp; Retail",D174="Conglomerate",D174="Consumer Goods",D174="Convenience Retail",D174="Electronics",D174="Electronics &amp; Semiconductors",D174="Electronics Retail",D174="Fashion Retail",D174="Food &amp; Beverage",D174="Food Retail &amp; Consumer Goods",D174="Industrial &amp; Technology",D174="Industrial Automation",D174="Industrial Technology",D174="Postal &amp; Financial Services",D174="Postal Services",D174="Scientific Instruments",D174="Technology Hardware",D174="Trading Company",D174="IT Consulting"),1,
OR(D174="Cosmetics",D174="E-commerce &amp; Cloud Computing",D174="Electronics &amp; Entertainment",D174="Entertainment &amp; Media",D174="Luxury Goods",D174="Media &amp; Telecommunications",D174="Networking Technology",D174="Real Estate Services",D174="Technology &amp; Consumer Electronics",D174="Telecommunications",D174="Telecommunications &amp; Investment"),1,
OR(D174="Asset Management",D174="Banking",D174="Banking &amp; Asset Services",D174="Banking &amp; Financial Services",D174="Banking &amp; Wealth Management",D174="Cloud Software",D174="Enterprise Software",D174="Financial Services",D174="Information Technology Consulting",D174="Investment Banking",D174="Social Media &amp; Technology",D174="Software &amp; Cloud Computing",D174="Technology &amp; Consulting",D174="Technology &amp; Internet Services",D174="Technology &amp; Software"),1,
TRUE,"Unmapped"
)</f>
        <v>3</v>
      </c>
      <c r="H174" s="5">
        <f>VLOOKUP(B174,'BIS + EDBA Final'!A:K,2,FALSE)</f>
        <v>1</v>
      </c>
      <c r="I174" s="5">
        <f>VLOOKUP(B174,'BIS + EDBA Final'!A:F,6,FALSE)</f>
        <v>0</v>
      </c>
      <c r="J174" s="5">
        <f>VLOOKUP(B174,'CBG Final'!A:B,2,FALSE)</f>
        <v>2</v>
      </c>
      <c r="K174" s="9">
        <f t="shared" si="2"/>
        <v>1.2000000000000002</v>
      </c>
      <c r="L174" s="5" t="s">
        <v>295</v>
      </c>
      <c r="M174" s="5" t="s">
        <v>31</v>
      </c>
      <c r="N174" s="5" t="s">
        <v>296</v>
      </c>
      <c r="O174" s="5" t="s">
        <v>259</v>
      </c>
      <c r="P174" s="5" t="s">
        <v>297</v>
      </c>
      <c r="Q174" s="5" t="s">
        <v>19</v>
      </c>
      <c r="R174" s="5" t="s">
        <v>276</v>
      </c>
      <c r="S174" s="10"/>
      <c r="T174" s="11"/>
      <c r="U174" s="11"/>
      <c r="V174" s="10"/>
      <c r="W174" s="10"/>
      <c r="X174" s="10"/>
      <c r="Y174" s="10"/>
      <c r="Z174" s="10"/>
      <c r="AA174" s="10"/>
      <c r="AB174" s="10"/>
      <c r="AC174" s="10"/>
      <c r="AD174" s="10"/>
      <c r="AE174" s="10"/>
      <c r="AF174" s="10"/>
      <c r="AG174" s="10"/>
      <c r="AH174" s="10"/>
    </row>
    <row r="175" spans="1:34" ht="15.75" customHeight="1">
      <c r="A175" s="5"/>
      <c r="B175" s="5" t="s">
        <v>772</v>
      </c>
      <c r="C175" s="6" t="s">
        <v>122</v>
      </c>
      <c r="D175" s="7" t="s">
        <v>773</v>
      </c>
      <c r="E175" s="8">
        <v>79800</v>
      </c>
      <c r="F175" s="6" cm="1">
        <f t="array" ref="F175">_xlfn.IFS(
E175&lt;=$E$245,0,
E175&lt;=$E$246,1,
E175&lt;=$E$247,2,
E175&gt;=$E$247,3)</f>
        <v>0</v>
      </c>
      <c r="G175" s="7" cm="1">
        <f t="array" ref="G175">_xlfn.IFS(
OR(D175="Aerospace",D175="Aerospace &amp; Defense",D175="Agricultural Equipment",D175="Airlines",D175="Automotive",D175="Automotive &amp; Energy",D175="Automotive Components",D175="Aviation",D175="Building Materials",D175="Chemicals",D175="Commercial Vehicles",D175="Conglomerate &amp; Defense",D175="Conglomerate &amp; Energy",D175="Construction",D175="Construction &amp; Infrastructure",D175="Construction &amp; Real Estate",D175="Construction &amp; Telecom",D175="Discount Retail",D175="Energy Management",D175="Energy Technology",D175="Engines &amp; Power Systems",D175="Environmental Services",D175="Food Distribution",D175="Food Services",D175="Grocery Retail",D175="Healthcare &amp; Pharmacy",D175="Home Improvement Retail",D175="Industrial Engineering &amp; Electronics",D175="Oilfield Services",D175="Pharmaceuticals",D175="Pharmaceuticals &amp; Chemicals",D175="Pharmaceuticals &amp; Healthcare",D175="Pharmacy Retail",D175="Postal &amp; Logistics",D175="Retail",D175="Retail &amp; Distribution",D175="Retail &amp; Grocery",D175="Retail (IKEA)",D175="Tobacco",D175="Trading &amp; Conglomerate",D175="Utilities",D175="Utilities &amp; Energy",D175="Wholesale Retail"),2,
OR(D175="Agribusiness",D175="Automotive &amp; Heavy Vehicles",D175="Chemicals",D175="Commercial Vehicles",D175="Construction",D175="Construction &amp; Infrastructure",D175="Engines &amp; Power Systems",D175="Food Processing",D175="Healthcare",D175="Healthcare &amp; Medical Devices",D175="Heavy Equipment",D175="Heavy Industry",D175="Industrial Gases",D175="Industrial Manufacturing",D175="Logistics",D175="Medical Devices",D175="Mining",D175="Mining &amp; Commodities Trading",D175="Oil &amp; Gas",D175="Oilfield Services",D175="Rail Transport",D175="Shipping &amp; Logistics",D175="Steel"),3,
OR(D175="Apparel &amp; Footwear",D175="Beverage",D175="Coffeehouse &amp; Retail",D175="Conglomerate",D175="Consumer Goods",D175="Convenience Retail",D175="Electronics",D175="Electronics &amp; Semiconductors",D175="Electronics Retail",D175="Fashion Retail",D175="Food &amp; Beverage",D175="Food Retail &amp; Consumer Goods",D175="Industrial &amp; Technology",D175="Industrial Automation",D175="Industrial Technology",D175="Postal &amp; Financial Services",D175="Postal Services",D175="Scientific Instruments",D175="Technology Hardware",D175="Trading Company",D175="IT Consulting"),1,
OR(D175="Cosmetics",D175="E-commerce &amp; Cloud Computing",D175="Electronics &amp; Entertainment",D175="Entertainment &amp; Media",D175="Luxury Goods",D175="Media &amp; Telecommunications",D175="Networking Technology",D175="Real Estate Services",D175="Technology &amp; Consumer Electronics",D175="Telecommunications",D175="Telecommunications &amp; Investment"),1,
OR(D175="Asset Management",D175="Banking",D175="Banking &amp; Asset Services",D175="Banking &amp; Financial Services",D175="Banking &amp; Wealth Management",D175="Cloud Software",D175="Enterprise Software",D175="Financial Services",D175="Information Technology Consulting",D175="Investment Banking",D175="Social Media &amp; Technology",D175="Software &amp; Cloud Computing",D175="Technology &amp; Consulting",D175="Technology &amp; Internet Services",D175="Technology &amp; Software"),1,
TRUE,"Unmapped"
)</f>
        <v>2</v>
      </c>
      <c r="H175" s="5">
        <v>1</v>
      </c>
      <c r="I175" s="5">
        <f>VLOOKUP(B175,'BIS + EDBA Final'!A:F,6,FALSE)</f>
        <v>0</v>
      </c>
      <c r="J175" s="5">
        <f>VLOOKUP(B175,'CBG Final'!A:B,2,FALSE)</f>
        <v>3</v>
      </c>
      <c r="K175" s="9">
        <f t="shared" si="2"/>
        <v>1.2000000000000002</v>
      </c>
      <c r="L175" s="5" t="s">
        <v>774</v>
      </c>
      <c r="M175" s="5" t="s">
        <v>222</v>
      </c>
      <c r="N175" s="5" t="s">
        <v>775</v>
      </c>
      <c r="O175" s="5" t="s">
        <v>776</v>
      </c>
      <c r="P175" s="5" t="s">
        <v>777</v>
      </c>
      <c r="Q175" s="5" t="s">
        <v>683</v>
      </c>
      <c r="R175" s="5" t="s">
        <v>30</v>
      </c>
      <c r="S175" s="10"/>
      <c r="T175" s="11"/>
      <c r="U175" s="11"/>
      <c r="V175" s="10"/>
      <c r="W175" s="10"/>
      <c r="X175" s="10"/>
      <c r="Y175" s="10"/>
      <c r="Z175" s="10"/>
      <c r="AA175" s="10"/>
      <c r="AB175" s="10"/>
      <c r="AC175" s="10"/>
      <c r="AD175" s="10"/>
      <c r="AE175" s="10"/>
      <c r="AF175" s="10"/>
      <c r="AG175" s="10"/>
      <c r="AH175" s="10"/>
    </row>
    <row r="176" spans="1:34" ht="15.75" customHeight="1">
      <c r="A176" s="5"/>
      <c r="B176" s="5" t="s">
        <v>357</v>
      </c>
      <c r="C176" s="6" t="s">
        <v>62</v>
      </c>
      <c r="D176" s="7" t="s">
        <v>356</v>
      </c>
      <c r="E176" s="8">
        <v>56400</v>
      </c>
      <c r="F176" s="6" cm="1">
        <f t="array" ref="F176">_xlfn.IFS(
E176&lt;=$E$245,0,
E176&lt;=$E$246,1,
E176&lt;=$E$247,2,
E176&gt;=$E$247,3)</f>
        <v>0</v>
      </c>
      <c r="G176" s="7" cm="1">
        <f t="array" ref="G176">_xlfn.IFS(
OR(D176="Aerospace",D176="Aerospace &amp; Defense",D176="Agricultural Equipment",D176="Airlines",D176="Automotive",D176="Automotive &amp; Energy",D176="Automotive Components",D176="Aviation",D176="Building Materials",D176="Chemicals",D176="Commercial Vehicles",D176="Conglomerate &amp; Defense",D176="Conglomerate &amp; Energy",D176="Construction",D176="Construction &amp; Infrastructure",D176="Construction &amp; Real Estate",D176="Construction &amp; Telecom",D176="Discount Retail",D176="Energy Management",D176="Energy Technology",D176="Engines &amp; Power Systems",D176="Environmental Services",D176="Food Distribution",D176="Food Services",D176="Grocery Retail",D176="Healthcare &amp; Pharmacy",D176="Home Improvement Retail",D176="Industrial Engineering &amp; Electronics",D176="Oilfield Services",D176="Pharmaceuticals",D176="Pharmaceuticals &amp; Chemicals",D176="Pharmaceuticals &amp; Healthcare",D176="Pharmacy Retail",D176="Postal &amp; Logistics",D176="Retail",D176="Retail &amp; Distribution",D176="Retail &amp; Grocery",D176="Retail (IKEA)",D176="Tobacco",D176="Trading &amp; Conglomerate",D176="Utilities",D176="Utilities &amp; Energy",D176="Wholesale Retail"),2,
OR(D176="Agribusiness",D176="Automotive &amp; Heavy Vehicles",D176="Chemicals",D176="Commercial Vehicles",D176="Construction",D176="Construction &amp; Infrastructure",D176="Engines &amp; Power Systems",D176="Food Processing",D176="Healthcare",D176="Healthcare &amp; Medical Devices",D176="Heavy Equipment",D176="Heavy Industry",D176="Industrial Gases",D176="Industrial Manufacturing",D176="Logistics",D176="Medical Devices",D176="Mining",D176="Mining &amp; Commodities Trading",D176="Oil &amp; Gas",D176="Oilfield Services",D176="Rail Transport",D176="Shipping &amp; Logistics",D176="Steel"),3,
OR(D176="Apparel &amp; Footwear",D176="Beverage",D176="Coffeehouse &amp; Retail",D176="Conglomerate",D176="Consumer Goods",D176="Convenience Retail",D176="Electronics",D176="Electronics &amp; Semiconductors",D176="Electronics Retail",D176="Fashion Retail",D176="Food &amp; Beverage",D176="Food Retail &amp; Consumer Goods",D176="Industrial &amp; Technology",D176="Industrial Automation",D176="Industrial Technology",D176="Postal &amp; Financial Services",D176="Postal Services",D176="Scientific Instruments",D176="Technology Hardware",D176="Trading Company",D176="IT Consulting"),1,
OR(D176="Cosmetics",D176="E-commerce &amp; Cloud Computing",D176="Electronics &amp; Entertainment",D176="Entertainment &amp; Media",D176="Luxury Goods",D176="Media &amp; Telecommunications",D176="Networking Technology",D176="Real Estate Services",D176="Technology &amp; Consumer Electronics",D176="Telecommunications",D176="Telecommunications &amp; Investment"),1,
OR(D176="Asset Management",D176="Banking",D176="Banking &amp; Asset Services",D176="Banking &amp; Financial Services",D176="Banking &amp; Wealth Management",D176="Cloud Software",D176="Enterprise Software",D176="Financial Services",D176="Information Technology Consulting",D176="Investment Banking",D176="Social Media &amp; Technology",D176="Software &amp; Cloud Computing",D176="Technology &amp; Consulting",D176="Technology &amp; Internet Services",D176="Technology &amp; Software"),1,
TRUE,"Unmapped"
)</f>
        <v>2</v>
      </c>
      <c r="H176" s="5">
        <f>'BIS + EDBA Final'!B191</f>
        <v>2</v>
      </c>
      <c r="I176" s="5">
        <f>VLOOKUP(B176,'BIS + EDBA Final'!A:F,6,FALSE)</f>
        <v>0</v>
      </c>
      <c r="J176" s="5">
        <f>VLOOKUP(B176,'CBG Final'!A:B,2,FALSE)</f>
        <v>2</v>
      </c>
      <c r="K176" s="9">
        <f t="shared" si="2"/>
        <v>1.2000000000000002</v>
      </c>
      <c r="L176" s="5" t="s">
        <v>1148</v>
      </c>
      <c r="M176" s="5" t="s">
        <v>179</v>
      </c>
      <c r="N176" s="5" t="s">
        <v>1149</v>
      </c>
      <c r="O176" s="5" t="s">
        <v>1150</v>
      </c>
      <c r="P176" s="5" t="s">
        <v>1151</v>
      </c>
      <c r="Q176" s="5" t="s">
        <v>155</v>
      </c>
      <c r="R176" s="5" t="s">
        <v>20</v>
      </c>
      <c r="S176" s="10"/>
      <c r="T176" s="11"/>
      <c r="U176" s="11"/>
      <c r="V176" s="10"/>
      <c r="W176" s="10"/>
      <c r="X176" s="11"/>
      <c r="Y176" s="11"/>
      <c r="Z176" s="10"/>
      <c r="AA176" s="10"/>
      <c r="AB176" s="10"/>
      <c r="AC176" s="10"/>
      <c r="AD176" s="10"/>
      <c r="AE176" s="10"/>
      <c r="AF176" s="10"/>
      <c r="AG176" s="10"/>
      <c r="AH176" s="10"/>
    </row>
    <row r="177" spans="1:34" ht="15.75" customHeight="1">
      <c r="A177" s="5"/>
      <c r="B177" s="5" t="s">
        <v>430</v>
      </c>
      <c r="C177" s="6" t="s">
        <v>882</v>
      </c>
      <c r="D177" s="7" t="s">
        <v>236</v>
      </c>
      <c r="E177" s="8">
        <v>60359</v>
      </c>
      <c r="F177" s="6" cm="1">
        <f t="array" ref="F177">_xlfn.IFS(
E177&lt;=$E$245,0,
E177&lt;=$E$246,1,
E177&lt;=$E$247,2,
E177&gt;=$E$247,3)</f>
        <v>0</v>
      </c>
      <c r="G177" s="7" cm="1">
        <f t="array" ref="G177">_xlfn.IFS(
OR(D177="Aerospace",D177="Aerospace &amp; Defense",D177="Agricultural Equipment",D177="Airlines",D177="Automotive",D177="Automotive &amp; Energy",D177="Automotive Components",D177="Aviation",D177="Building Materials",D177="Chemicals",D177="Commercial Vehicles",D177="Conglomerate &amp; Defense",D177="Conglomerate &amp; Energy",D177="Construction",D177="Construction &amp; Infrastructure",D177="Construction &amp; Real Estate",D177="Construction &amp; Telecom",D177="Discount Retail",D177="Energy Management",D177="Energy Technology",D177="Engines &amp; Power Systems",D177="Environmental Services",D177="Food Distribution",D177="Food Services",D177="Grocery Retail",D177="Healthcare &amp; Pharmacy",D177="Home Improvement Retail",D177="Industrial Engineering &amp; Electronics",D177="Oilfield Services",D177="Pharmaceuticals",D177="Pharmaceuticals &amp; Chemicals",D177="Pharmaceuticals &amp; Healthcare",D177="Pharmacy Retail",D177="Postal &amp; Logistics",D177="Retail",D177="Retail &amp; Distribution",D177="Retail &amp; Grocery",D177="Retail (IKEA)",D177="Tobacco",D177="Trading &amp; Conglomerate",D177="Utilities",D177="Utilities &amp; Energy",D177="Wholesale Retail"),2,
OR(D177="Agribusiness",D177="Automotive &amp; Heavy Vehicles",D177="Chemicals",D177="Commercial Vehicles",D177="Construction",D177="Construction &amp; Infrastructure",D177="Engines &amp; Power Systems",D177="Food Processing",D177="Healthcare",D177="Healthcare &amp; Medical Devices",D177="Heavy Equipment",D177="Heavy Industry",D177="Industrial Gases",D177="Industrial Manufacturing",D177="Logistics",D177="Medical Devices",D177="Mining",D177="Mining &amp; Commodities Trading",D177="Oil &amp; Gas",D177="Oilfield Services",D177="Rail Transport",D177="Shipping &amp; Logistics",D177="Steel"),3,
OR(D177="Apparel &amp; Footwear",D177="Beverage",D177="Coffeehouse &amp; Retail",D177="Conglomerate",D177="Consumer Goods",D177="Convenience Retail",D177="Electronics",D177="Electronics &amp; Semiconductors",D177="Electronics Retail",D177="Fashion Retail",D177="Food &amp; Beverage",D177="Food Retail &amp; Consumer Goods",D177="Industrial &amp; Technology",D177="Industrial Automation",D177="Industrial Technology",D177="Postal &amp; Financial Services",D177="Postal Services",D177="Scientific Instruments",D177="Technology Hardware",D177="Trading Company",D177="IT Consulting"),1,
OR(D177="Cosmetics",D177="E-commerce &amp; Cloud Computing",D177="Electronics &amp; Entertainment",D177="Entertainment &amp; Media",D177="Luxury Goods",D177="Media &amp; Telecommunications",D177="Networking Technology",D177="Real Estate Services",D177="Technology &amp; Consumer Electronics",D177="Telecommunications",D177="Telecommunications &amp; Investment"),1,
OR(D177="Asset Management",D177="Banking",D177="Banking &amp; Asset Services",D177="Banking &amp; Financial Services",D177="Banking &amp; Wealth Management",D177="Cloud Software",D177="Enterprise Software",D177="Financial Services",D177="Information Technology Consulting",D177="Investment Banking",D177="Social Media &amp; Technology",D177="Software &amp; Cloud Computing",D177="Technology &amp; Consulting",D177="Technology &amp; Internet Services",D177="Technology &amp; Software"),1,
TRUE,"Unmapped"
)</f>
        <v>2</v>
      </c>
      <c r="H177" s="5">
        <f>'BIS + EDBA Final'!B192</f>
        <v>1</v>
      </c>
      <c r="I177" s="5">
        <f>VLOOKUP(B177,'BIS + EDBA Final'!A:F,6,FALSE)</f>
        <v>0</v>
      </c>
      <c r="J177" s="5">
        <f>VLOOKUP(B177,'CBG Final'!A:B,2,FALSE)</f>
        <v>3</v>
      </c>
      <c r="K177" s="9">
        <f t="shared" si="2"/>
        <v>1.2000000000000002</v>
      </c>
      <c r="L177" s="5" t="s">
        <v>883</v>
      </c>
      <c r="M177" s="5" t="s">
        <v>185</v>
      </c>
      <c r="N177" s="5" t="s">
        <v>884</v>
      </c>
      <c r="O177" s="5" t="s">
        <v>885</v>
      </c>
      <c r="P177" s="5" t="s">
        <v>886</v>
      </c>
      <c r="Q177" s="5" t="s">
        <v>887</v>
      </c>
      <c r="R177" s="5" t="s">
        <v>20</v>
      </c>
      <c r="S177" s="10"/>
      <c r="T177" s="11"/>
      <c r="U177" s="11"/>
      <c r="V177" s="10"/>
      <c r="W177" s="10"/>
      <c r="X177" s="11"/>
      <c r="Y177" s="11"/>
      <c r="Z177" s="10"/>
      <c r="AA177" s="10"/>
      <c r="AB177" s="10"/>
      <c r="AC177" s="10"/>
      <c r="AD177" s="10"/>
      <c r="AE177" s="10"/>
      <c r="AF177" s="10"/>
      <c r="AG177" s="10"/>
      <c r="AH177" s="10"/>
    </row>
    <row r="178" spans="1:34" ht="15.75" customHeight="1">
      <c r="A178" s="5"/>
      <c r="B178" s="5" t="s">
        <v>778</v>
      </c>
      <c r="C178" s="6" t="s">
        <v>882</v>
      </c>
      <c r="D178" s="7" t="s">
        <v>157</v>
      </c>
      <c r="E178" s="8">
        <v>69722</v>
      </c>
      <c r="F178" s="6" cm="1">
        <f t="array" ref="F178">_xlfn.IFS(
E178&lt;=$E$245,0,
E178&lt;=$E$246,1,
E178&lt;=$E$247,2,
E178&gt;=$E$247,3)</f>
        <v>0</v>
      </c>
      <c r="G178" s="7" cm="1">
        <f t="array" ref="G178">_xlfn.IFS(
OR(D178="Aerospace",D178="Aerospace &amp; Defense",D178="Agricultural Equipment",D178="Airlines",D178="Automotive",D178="Automotive &amp; Energy",D178="Automotive Components",D178="Aviation",D178="Building Materials",D178="Chemicals",D178="Commercial Vehicles",D178="Conglomerate &amp; Defense",D178="Conglomerate &amp; Energy",D178="Construction",D178="Construction &amp; Infrastructure",D178="Construction &amp; Real Estate",D178="Construction &amp; Telecom",D178="Discount Retail",D178="Energy Management",D178="Energy Technology",D178="Engines &amp; Power Systems",D178="Environmental Services",D178="Food Distribution",D178="Food Services",D178="Grocery Retail",D178="Healthcare &amp; Pharmacy",D178="Home Improvement Retail",D178="Industrial Engineering &amp; Electronics",D178="Oilfield Services",D178="Pharmaceuticals",D178="Pharmaceuticals &amp; Chemicals",D178="Pharmaceuticals &amp; Healthcare",D178="Pharmacy Retail",D178="Postal &amp; Logistics",D178="Retail",D178="Retail &amp; Distribution",D178="Retail &amp; Grocery",D178="Retail (IKEA)",D178="Tobacco",D178="Trading &amp; Conglomerate",D178="Utilities",D178="Utilities &amp; Energy",D178="Wholesale Retail"),2,
OR(D178="Agribusiness",D178="Automotive &amp; Heavy Vehicles",D178="Chemicals",D178="Commercial Vehicles",D178="Construction",D178="Construction &amp; Infrastructure",D178="Engines &amp; Power Systems",D178="Food Processing",D178="Healthcare",D178="Healthcare &amp; Medical Devices",D178="Heavy Equipment",D178="Heavy Industry",D178="Industrial Gases",D178="Industrial Manufacturing",D178="Logistics",D178="Medical Devices",D178="Mining",D178="Mining &amp; Commodities Trading",D178="Oil &amp; Gas",D178="Oilfield Services",D178="Rail Transport",D178="Shipping &amp; Logistics",D178="Steel"),3,
OR(D178="Apparel &amp; Footwear",D178="Beverage",D178="Coffeehouse &amp; Retail",D178="Conglomerate",D178="Consumer Goods",D178="Convenience Retail",D178="Electronics",D178="Electronics &amp; Semiconductors",D178="Electronics Retail",D178="Fashion Retail",D178="Food &amp; Beverage",D178="Food Retail &amp; Consumer Goods",D178="Industrial &amp; Technology",D178="Industrial Automation",D178="Industrial Technology",D178="Postal &amp; Financial Services",D178="Postal Services",D178="Scientific Instruments",D178="Technology Hardware",D178="Trading Company",D178="IT Consulting"),1,
OR(D178="Cosmetics",D178="E-commerce &amp; Cloud Computing",D178="Electronics &amp; Entertainment",D178="Entertainment &amp; Media",D178="Luxury Goods",D178="Media &amp; Telecommunications",D178="Networking Technology",D178="Real Estate Services",D178="Technology &amp; Consumer Electronics",D178="Telecommunications",D178="Telecommunications &amp; Investment"),1,
OR(D178="Asset Management",D178="Banking",D178="Banking &amp; Asset Services",D178="Banking &amp; Financial Services",D178="Banking &amp; Wealth Management",D178="Cloud Software",D178="Enterprise Software",D178="Financial Services",D178="Information Technology Consulting",D178="Investment Banking",D178="Social Media &amp; Technology",D178="Software &amp; Cloud Computing",D178="Technology &amp; Consulting",D178="Technology &amp; Internet Services",D178="Technology &amp; Software"),1,
TRUE,"Unmapped"
)</f>
        <v>1</v>
      </c>
      <c r="H178" s="5">
        <f>'BIS + EDBA Final'!B226</f>
        <v>2</v>
      </c>
      <c r="I178" s="5">
        <f>VLOOKUP(B178,'BIS + EDBA Final'!A:F,6,FALSE)</f>
        <v>0</v>
      </c>
      <c r="J178" s="5">
        <f>VLOOKUP(B178,'CBG Final'!A:B,2,FALSE)</f>
        <v>3</v>
      </c>
      <c r="K178" s="9">
        <f t="shared" si="2"/>
        <v>1.2000000000000002</v>
      </c>
      <c r="L178" s="5" t="s">
        <v>1409</v>
      </c>
      <c r="M178" s="5" t="s">
        <v>1380</v>
      </c>
      <c r="N178" s="5" t="s">
        <v>1410</v>
      </c>
      <c r="O178" s="5" t="s">
        <v>591</v>
      </c>
      <c r="P178" s="5" t="s">
        <v>1411</v>
      </c>
      <c r="Q178" s="5" t="s">
        <v>46</v>
      </c>
      <c r="R178" s="5" t="s">
        <v>107</v>
      </c>
      <c r="S178" s="10"/>
      <c r="T178" s="11"/>
      <c r="U178" s="11"/>
      <c r="V178" s="10"/>
      <c r="W178" s="10"/>
      <c r="X178" s="10"/>
      <c r="Y178" s="10"/>
      <c r="Z178" s="10"/>
      <c r="AA178" s="10"/>
      <c r="AB178" s="10"/>
      <c r="AC178" s="10"/>
      <c r="AD178" s="10"/>
      <c r="AE178" s="10"/>
      <c r="AF178" s="10"/>
      <c r="AG178" s="10"/>
      <c r="AH178" s="10"/>
    </row>
    <row r="179" spans="1:34" ht="15.75" customHeight="1">
      <c r="A179" s="5"/>
      <c r="B179" s="5" t="s">
        <v>283</v>
      </c>
      <c r="C179" s="6" t="s">
        <v>284</v>
      </c>
      <c r="D179" s="7" t="s">
        <v>285</v>
      </c>
      <c r="E179" s="8">
        <v>130760</v>
      </c>
      <c r="F179" s="6" cm="1">
        <f t="array" ref="F179">_xlfn.IFS(
E179&lt;=$E$245,0,
E179&lt;=$E$246,1,
E179&lt;=$E$247,2,
E179&gt;=$E$247,3)</f>
        <v>2</v>
      </c>
      <c r="G179" s="7" cm="1">
        <f t="array" ref="G179">_xlfn.IFS(
OR(D179="Aerospace",D179="Aerospace &amp; Defense",D179="Agricultural Equipment",D179="Airlines",D179="Automotive",D179="Automotive &amp; Energy",D179="Automotive Components",D179="Aviation",D179="Building Materials",D179="Chemicals",D179="Commercial Vehicles",D179="Conglomerate &amp; Defense",D179="Conglomerate &amp; Energy",D179="Construction",D179="Construction &amp; Infrastructure",D179="Construction &amp; Real Estate",D179="Construction &amp; Telecom",D179="Discount Retail",D179="Energy Management",D179="Energy Technology",D179="Engines &amp; Power Systems",D179="Environmental Services",D179="Food Distribution",D179="Food Services",D179="Grocery Retail",D179="Healthcare &amp; Pharmacy",D179="Home Improvement Retail",D179="Industrial Engineering &amp; Electronics",D179="Oilfield Services",D179="Pharmaceuticals",D179="Pharmaceuticals &amp; Chemicals",D179="Pharmaceuticals &amp; Healthcare",D179="Pharmacy Retail",D179="Postal &amp; Logistics",D179="Retail",D179="Retail &amp; Distribution",D179="Retail &amp; Grocery",D179="Retail (IKEA)",D179="Tobacco",D179="Trading &amp; Conglomerate",D179="Utilities",D179="Utilities &amp; Energy",D179="Wholesale Retail"),2,
OR(D179="Agribusiness",D179="Automotive &amp; Heavy Vehicles",D179="Chemicals",D179="Commercial Vehicles",D179="Construction",D179="Construction &amp; Infrastructure",D179="Engines &amp; Power Systems",D179="Food Processing",D179="Healthcare",D179="Healthcare &amp; Medical Devices",D179="Heavy Equipment",D179="Heavy Industry",D179="Industrial Gases",D179="Industrial Manufacturing",D179="Logistics",D179="Medical Devices",D179="Mining",D179="Mining &amp; Commodities Trading",D179="Oil &amp; Gas",D179="Oilfield Services",D179="Rail Transport",D179="Shipping &amp; Logistics",D179="Steel"),3,
OR(D179="Apparel &amp; Footwear",D179="Beverage",D179="Coffeehouse &amp; Retail",D179="Conglomerate",D179="Consumer Goods",D179="Convenience Retail",D179="Electronics",D179="Electronics &amp; Semiconductors",D179="Electronics Retail",D179="Fashion Retail",D179="Food &amp; Beverage",D179="Food Retail &amp; Consumer Goods",D179="Industrial &amp; Technology",D179="Industrial Automation",D179="Industrial Technology",D179="Postal &amp; Financial Services",D179="Postal Services",D179="Scientific Instruments",D179="Technology Hardware",D179="Trading Company",D179="IT Consulting"),1,
OR(D179="Cosmetics",D179="E-commerce &amp; Cloud Computing",D179="Electronics &amp; Entertainment",D179="Entertainment &amp; Media",D179="Luxury Goods",D179="Media &amp; Telecommunications",D179="Networking Technology",D179="Real Estate Services",D179="Technology &amp; Consumer Electronics",D179="Telecommunications",D179="Telecommunications &amp; Investment"),1,
OR(D179="Asset Management",D179="Banking",D179="Banking &amp; Asset Services",D179="Banking &amp; Financial Services",D179="Banking &amp; Wealth Management",D179="Cloud Software",D179="Enterprise Software",D179="Financial Services",D179="Information Technology Consulting",D179="Investment Banking",D179="Social Media &amp; Technology",D179="Software &amp; Cloud Computing",D179="Technology &amp; Consulting",D179="Technology &amp; Internet Services",D179="Technology &amp; Software"),1,
TRUE,"Unmapped"
)</f>
        <v>1</v>
      </c>
      <c r="H179" s="5">
        <f>VLOOKUP(B179,'BIS + EDBA Final'!A:K,2,FALSE)</f>
        <v>1</v>
      </c>
      <c r="I179" s="5">
        <f>VLOOKUP(B179,'BIS + EDBA Final'!A:F,6,FALSE)</f>
        <v>0</v>
      </c>
      <c r="J179" s="5">
        <f>VLOOKUP(B179,'CBG Final'!A:B,2,FALSE)</f>
        <v>1</v>
      </c>
      <c r="K179" s="9">
        <f t="shared" si="2"/>
        <v>1.2</v>
      </c>
      <c r="L179" s="5" t="s">
        <v>286</v>
      </c>
      <c r="M179" s="5" t="s">
        <v>287</v>
      </c>
      <c r="N179" s="5" t="s">
        <v>288</v>
      </c>
      <c r="O179" s="5" t="s">
        <v>289</v>
      </c>
      <c r="P179" s="5" t="s">
        <v>290</v>
      </c>
      <c r="Q179" s="5" t="s">
        <v>232</v>
      </c>
      <c r="R179" s="5" t="s">
        <v>47</v>
      </c>
      <c r="S179" s="10"/>
      <c r="T179" s="11"/>
      <c r="U179" s="11"/>
      <c r="V179" s="10"/>
      <c r="W179" s="10"/>
      <c r="X179" s="11"/>
      <c r="Y179" s="11"/>
      <c r="Z179" s="10"/>
      <c r="AA179" s="10"/>
      <c r="AB179" s="10"/>
      <c r="AC179" s="10"/>
      <c r="AD179" s="10"/>
      <c r="AE179" s="10"/>
      <c r="AF179" s="10"/>
      <c r="AG179" s="10"/>
      <c r="AH179" s="10"/>
    </row>
    <row r="180" spans="1:34" ht="15.75" customHeight="1">
      <c r="A180" s="5"/>
      <c r="B180" s="5" t="s">
        <v>525</v>
      </c>
      <c r="C180" s="6" t="s">
        <v>526</v>
      </c>
      <c r="D180" s="7" t="s">
        <v>266</v>
      </c>
      <c r="E180" s="8">
        <v>178468</v>
      </c>
      <c r="F180" s="6" cm="1">
        <f t="array" ref="F180">_xlfn.IFS(
E180&lt;=$E$245,0,
E180&lt;=$E$246,1,
E180&lt;=$E$247,2,
E180&gt;=$E$247,3)</f>
        <v>2</v>
      </c>
      <c r="G180" s="7" cm="1">
        <f t="array" ref="G180">_xlfn.IFS(
OR(D180="Aerospace",D180="Aerospace &amp; Defense",D180="Agricultural Equipment",D180="Airlines",D180="Automotive",D180="Automotive &amp; Energy",D180="Automotive Components",D180="Aviation",D180="Building Materials",D180="Chemicals",D180="Commercial Vehicles",D180="Conglomerate &amp; Defense",D180="Conglomerate &amp; Energy",D180="Construction",D180="Construction &amp; Infrastructure",D180="Construction &amp; Real Estate",D180="Construction &amp; Telecom",D180="Discount Retail",D180="Energy Management",D180="Energy Technology",D180="Engines &amp; Power Systems",D180="Environmental Services",D180="Food Distribution",D180="Food Services",D180="Grocery Retail",D180="Healthcare &amp; Pharmacy",D180="Home Improvement Retail",D180="Industrial Engineering &amp; Electronics",D180="Oilfield Services",D180="Pharmaceuticals",D180="Pharmaceuticals &amp; Chemicals",D180="Pharmaceuticals &amp; Healthcare",D180="Pharmacy Retail",D180="Postal &amp; Logistics",D180="Retail",D180="Retail &amp; Distribution",D180="Retail &amp; Grocery",D180="Retail (IKEA)",D180="Tobacco",D180="Trading &amp; Conglomerate",D180="Utilities",D180="Utilities &amp; Energy",D180="Wholesale Retail"),2,
OR(D180="Agribusiness",D180="Automotive &amp; Heavy Vehicles",D180="Chemicals",D180="Commercial Vehicles",D180="Construction",D180="Construction &amp; Infrastructure",D180="Engines &amp; Power Systems",D180="Food Processing",D180="Healthcare",D180="Healthcare &amp; Medical Devices",D180="Heavy Equipment",D180="Heavy Industry",D180="Industrial Gases",D180="Industrial Manufacturing",D180="Logistics",D180="Medical Devices",D180="Mining",D180="Mining &amp; Commodities Trading",D180="Oil &amp; Gas",D180="Oilfield Services",D180="Rail Transport",D180="Shipping &amp; Logistics",D180="Steel"),3,
OR(D180="Apparel &amp; Footwear",D180="Beverage",D180="Coffeehouse &amp; Retail",D180="Conglomerate",D180="Consumer Goods",D180="Convenience Retail",D180="Electronics",D180="Electronics &amp; Semiconductors",D180="Electronics Retail",D180="Fashion Retail",D180="Food &amp; Beverage",D180="Food Retail &amp; Consumer Goods",D180="Industrial &amp; Technology",D180="Industrial Automation",D180="Industrial Technology",D180="Postal &amp; Financial Services",D180="Postal Services",D180="Scientific Instruments",D180="Technology Hardware",D180="Trading Company",D180="IT Consulting"),1,
OR(D180="Cosmetics",D180="E-commerce &amp; Cloud Computing",D180="Electronics &amp; Entertainment",D180="Entertainment &amp; Media",D180="Luxury Goods",D180="Media &amp; Telecommunications",D180="Networking Technology",D180="Real Estate Services",D180="Technology &amp; Consumer Electronics",D180="Telecommunications",D180="Telecommunications &amp; Investment"),1,
OR(D180="Asset Management",D180="Banking",D180="Banking &amp; Asset Services",D180="Banking &amp; Financial Services",D180="Banking &amp; Wealth Management",D180="Cloud Software",D180="Enterprise Software",D180="Financial Services",D180="Information Technology Consulting",D180="Investment Banking",D180="Social Media &amp; Technology",D180="Software &amp; Cloud Computing",D180="Technology &amp; Consulting",D180="Technology &amp; Internet Services",D180="Technology &amp; Software"),1,
TRUE,"Unmapped"
)</f>
        <v>1</v>
      </c>
      <c r="H180" s="5">
        <v>1</v>
      </c>
      <c r="I180" s="5">
        <f>VLOOKUP(B180,'BIS + EDBA Final'!A:F,6,FALSE)</f>
        <v>0</v>
      </c>
      <c r="J180" s="5">
        <f>VLOOKUP(B180,'CBG Final'!A:B,2,FALSE)</f>
        <v>1</v>
      </c>
      <c r="K180" s="9">
        <f t="shared" si="2"/>
        <v>1.2</v>
      </c>
      <c r="L180" s="5" t="s">
        <v>527</v>
      </c>
      <c r="M180" s="5" t="s">
        <v>132</v>
      </c>
      <c r="N180" s="5" t="s">
        <v>528</v>
      </c>
      <c r="O180" s="5" t="s">
        <v>529</v>
      </c>
      <c r="P180" s="5" t="s">
        <v>530</v>
      </c>
      <c r="Q180" s="5" t="s">
        <v>344</v>
      </c>
      <c r="R180" s="5" t="s">
        <v>353</v>
      </c>
      <c r="S180" s="10"/>
      <c r="T180" s="11"/>
      <c r="U180" s="11"/>
      <c r="V180" s="10"/>
      <c r="W180" s="10"/>
      <c r="X180" s="10"/>
      <c r="Y180" s="10"/>
      <c r="Z180" s="10"/>
      <c r="AA180" s="10"/>
      <c r="AB180" s="10"/>
      <c r="AC180" s="10"/>
      <c r="AD180" s="10"/>
      <c r="AE180" s="10"/>
      <c r="AF180" s="10"/>
      <c r="AG180" s="10"/>
      <c r="AH180" s="10"/>
    </row>
    <row r="181" spans="1:34" ht="15.75" customHeight="1">
      <c r="A181" s="5"/>
      <c r="B181" s="5" t="s">
        <v>1416</v>
      </c>
      <c r="C181" s="6" t="s">
        <v>36</v>
      </c>
      <c r="D181" s="7" t="s">
        <v>173</v>
      </c>
      <c r="E181" s="8">
        <v>107300</v>
      </c>
      <c r="F181" s="6" cm="1">
        <f t="array" ref="F181">_xlfn.IFS(
E181&lt;=$E$245,0,
E181&lt;=$E$246,1,
E181&lt;=$E$247,2,
E181&gt;=$E$247,3)</f>
        <v>1</v>
      </c>
      <c r="G181" s="7" cm="1">
        <f t="array" ref="G181">_xlfn.IFS(
OR(D181="Aerospace",D181="Aerospace &amp; Defense",D181="Agricultural Equipment",D181="Airlines",D181="Automotive",D181="Automotive &amp; Energy",D181="Automotive Components",D181="Aviation",D181="Building Materials",D181="Chemicals",D181="Commercial Vehicles",D181="Conglomerate &amp; Defense",D181="Conglomerate &amp; Energy",D181="Construction",D181="Construction &amp; Infrastructure",D181="Construction &amp; Real Estate",D181="Construction &amp; Telecom",D181="Discount Retail",D181="Energy Management",D181="Energy Technology",D181="Engines &amp; Power Systems",D181="Environmental Services",D181="Food Distribution",D181="Food Services",D181="Grocery Retail",D181="Healthcare &amp; Pharmacy",D181="Home Improvement Retail",D181="Industrial Engineering &amp; Electronics",D181="Oilfield Services",D181="Pharmaceuticals",D181="Pharmaceuticals &amp; Chemicals",D181="Pharmaceuticals &amp; Healthcare",D181="Pharmacy Retail",D181="Postal &amp; Logistics",D181="Retail",D181="Retail &amp; Distribution",D181="Retail &amp; Grocery",D181="Retail (IKEA)",D181="Tobacco",D181="Trading &amp; Conglomerate",D181="Utilities",D181="Utilities &amp; Energy",D181="Wholesale Retail"),2,
OR(D181="Agribusiness",D181="Automotive &amp; Heavy Vehicles",D181="Chemicals",D181="Commercial Vehicles",D181="Construction",D181="Construction &amp; Infrastructure",D181="Engines &amp; Power Systems",D181="Food Processing",D181="Healthcare",D181="Healthcare &amp; Medical Devices",D181="Heavy Equipment",D181="Heavy Industry",D181="Industrial Gases",D181="Industrial Manufacturing",D181="Logistics",D181="Medical Devices",D181="Mining",D181="Mining &amp; Commodities Trading",D181="Oil &amp; Gas",D181="Oilfield Services",D181="Rail Transport",D181="Shipping &amp; Logistics",D181="Steel"),3,
OR(D181="Apparel &amp; Footwear",D181="Beverage",D181="Coffeehouse &amp; Retail",D181="Conglomerate",D181="Consumer Goods",D181="Convenience Retail",D181="Electronics",D181="Electronics &amp; Semiconductors",D181="Electronics Retail",D181="Fashion Retail",D181="Food &amp; Beverage",D181="Food Retail &amp; Consumer Goods",D181="Industrial &amp; Technology",D181="Industrial Automation",D181="Industrial Technology",D181="Postal &amp; Financial Services",D181="Postal Services",D181="Scientific Instruments",D181="Technology Hardware",D181="Trading Company",D181="IT Consulting"),1,
OR(D181="Cosmetics",D181="E-commerce &amp; Cloud Computing",D181="Electronics &amp; Entertainment",D181="Entertainment &amp; Media",D181="Luxury Goods",D181="Media &amp; Telecommunications",D181="Networking Technology",D181="Real Estate Services",D181="Technology &amp; Consumer Electronics",D181="Telecommunications",D181="Telecommunications &amp; Investment"),1,
OR(D181="Asset Management",D181="Banking",D181="Banking &amp; Asset Services",D181="Banking &amp; Financial Services",D181="Banking &amp; Wealth Management",D181="Cloud Software",D181="Enterprise Software",D181="Financial Services",D181="Information Technology Consulting",D181="Investment Banking",D181="Social Media &amp; Technology",D181="Software &amp; Cloud Computing",D181="Technology &amp; Consulting",D181="Technology &amp; Internet Services",D181="Technology &amp; Software"),1,
TRUE,"Unmapped"
)</f>
        <v>2</v>
      </c>
      <c r="H181" s="5">
        <v>1</v>
      </c>
      <c r="I181" s="5">
        <f>VLOOKUP(B181,'BIS + EDBA Final'!A:F,6,FALSE)</f>
        <v>1</v>
      </c>
      <c r="J181" s="5">
        <f>VLOOKUP(B181,'CBG Final'!A:B,2,FALSE)</f>
        <v>1</v>
      </c>
      <c r="K181" s="9">
        <f t="shared" si="2"/>
        <v>1.2</v>
      </c>
      <c r="L181" s="5" t="s">
        <v>1417</v>
      </c>
      <c r="M181" s="5" t="s">
        <v>370</v>
      </c>
      <c r="N181" s="5" t="s">
        <v>1418</v>
      </c>
      <c r="O181" s="5" t="s">
        <v>881</v>
      </c>
      <c r="P181" s="5" t="s">
        <v>1419</v>
      </c>
      <c r="Q181" s="5" t="s">
        <v>54</v>
      </c>
      <c r="R181" s="5" t="s">
        <v>107</v>
      </c>
      <c r="S181" s="10"/>
      <c r="T181" s="11"/>
      <c r="U181" s="11"/>
      <c r="V181" s="10"/>
      <c r="W181" s="10"/>
      <c r="X181" s="11"/>
      <c r="Y181" s="11"/>
      <c r="Z181" s="10"/>
      <c r="AA181" s="10"/>
      <c r="AB181" s="10"/>
      <c r="AC181" s="10"/>
      <c r="AD181" s="10"/>
      <c r="AE181" s="10"/>
      <c r="AF181" s="10"/>
      <c r="AG181" s="10"/>
      <c r="AH181" s="10"/>
    </row>
    <row r="182" spans="1:34" ht="15.75" customHeight="1">
      <c r="A182" s="5"/>
      <c r="B182" s="5" t="s">
        <v>869</v>
      </c>
      <c r="C182" s="6" t="s">
        <v>39</v>
      </c>
      <c r="D182" s="7" t="s">
        <v>870</v>
      </c>
      <c r="E182" s="8">
        <v>138444</v>
      </c>
      <c r="F182" s="6" cm="1">
        <f t="array" ref="F182">_xlfn.IFS(
E182&lt;=$E$245,0,
E182&lt;=$E$246,1,
E182&lt;=$E$247,2,
E182&gt;=$E$247,3)</f>
        <v>2</v>
      </c>
      <c r="G182" s="7" cm="1">
        <f t="array" ref="G182">_xlfn.IFS(
OR(D182="Aerospace",D182="Aerospace &amp; Defense",D182="Agricultural Equipment",D182="Airlines",D182="Automotive",D182="Automotive &amp; Energy",D182="Automotive Components",D182="Aviation",D182="Building Materials",D182="Chemicals",D182="Commercial Vehicles",D182="Conglomerate &amp; Defense",D182="Conglomerate &amp; Energy",D182="Construction",D182="Construction &amp; Infrastructure",D182="Construction &amp; Real Estate",D182="Construction &amp; Telecom",D182="Discount Retail",D182="Energy Management",D182="Energy Technology",D182="Engines &amp; Power Systems",D182="Environmental Services",D182="Food Distribution",D182="Food Services",D182="Grocery Retail",D182="Healthcare &amp; Pharmacy",D182="Home Improvement Retail",D182="Industrial Engineering &amp; Electronics",D182="Oilfield Services",D182="Pharmaceuticals",D182="Pharmaceuticals &amp; Chemicals",D182="Pharmaceuticals &amp; Healthcare",D182="Pharmacy Retail",D182="Postal &amp; Logistics",D182="Retail",D182="Retail &amp; Distribution",D182="Retail &amp; Grocery",D182="Retail (IKEA)",D182="Tobacco",D182="Trading &amp; Conglomerate",D182="Utilities",D182="Utilities &amp; Energy",D182="Wholesale Retail"),2,
OR(D182="Agribusiness",D182="Automotive &amp; Heavy Vehicles",D182="Chemicals",D182="Commercial Vehicles",D182="Construction",D182="Construction &amp; Infrastructure",D182="Engines &amp; Power Systems",D182="Food Processing",D182="Healthcare",D182="Healthcare &amp; Medical Devices",D182="Heavy Equipment",D182="Heavy Industry",D182="Industrial Gases",D182="Industrial Manufacturing",D182="Logistics",D182="Medical Devices",D182="Mining",D182="Mining &amp; Commodities Trading",D182="Oil &amp; Gas",D182="Oilfield Services",D182="Rail Transport",D182="Shipping &amp; Logistics",D182="Steel"),3,
OR(D182="Apparel &amp; Footwear",D182="Beverage",D182="Coffeehouse &amp; Retail",D182="Conglomerate",D182="Consumer Goods",D182="Convenience Retail",D182="Electronics",D182="Electronics &amp; Semiconductors",D182="Electronics Retail",D182="Fashion Retail",D182="Food &amp; Beverage",D182="Food Retail &amp; Consumer Goods",D182="Industrial &amp; Technology",D182="Industrial Automation",D182="Industrial Technology",D182="Postal &amp; Financial Services",D182="Postal Services",D182="Scientific Instruments",D182="Technology Hardware",D182="Trading Company",D182="IT Consulting"),1,
OR(D182="Cosmetics",D182="E-commerce &amp; Cloud Computing",D182="Electronics &amp; Entertainment",D182="Entertainment &amp; Media",D182="Luxury Goods",D182="Media &amp; Telecommunications",D182="Networking Technology",D182="Real Estate Services",D182="Technology &amp; Consumer Electronics",D182="Telecommunications",D182="Telecommunications &amp; Investment"),1,
OR(D182="Asset Management",D182="Banking",D182="Banking &amp; Asset Services",D182="Banking &amp; Financial Services",D182="Banking &amp; Wealth Management",D182="Cloud Software",D182="Enterprise Software",D182="Financial Services",D182="Information Technology Consulting",D182="Investment Banking",D182="Social Media &amp; Technology",D182="Software &amp; Cloud Computing",D182="Technology &amp; Consulting",D182="Technology &amp; Internet Services",D182="Technology &amp; Software"),1,
TRUE,"Unmapped"
)</f>
        <v>2</v>
      </c>
      <c r="H182" s="5">
        <v>0</v>
      </c>
      <c r="I182" s="5">
        <f>VLOOKUP(B182,'BIS + EDBA Final'!A:F,6,FALSE)</f>
        <v>0</v>
      </c>
      <c r="J182" s="5">
        <f>VLOOKUP(B182,'CBG Final'!A:B,2,FALSE)</f>
        <v>1</v>
      </c>
      <c r="K182" s="9">
        <f t="shared" si="2"/>
        <v>1.2</v>
      </c>
      <c r="L182" s="5" t="s">
        <v>871</v>
      </c>
      <c r="M182" s="5" t="s">
        <v>872</v>
      </c>
      <c r="N182" s="5" t="s">
        <v>873</v>
      </c>
      <c r="O182" s="5"/>
      <c r="P182" s="5" t="s">
        <v>874</v>
      </c>
      <c r="Q182" s="5" t="s">
        <v>683</v>
      </c>
      <c r="R182" s="5" t="s">
        <v>58</v>
      </c>
      <c r="S182" s="10"/>
      <c r="T182" s="11"/>
      <c r="U182" s="11"/>
      <c r="V182" s="10"/>
      <c r="W182" s="10"/>
      <c r="X182" s="10"/>
      <c r="Y182" s="10"/>
      <c r="Z182" s="10"/>
      <c r="AA182" s="10"/>
      <c r="AB182" s="10"/>
      <c r="AC182" s="10"/>
      <c r="AD182" s="10"/>
      <c r="AE182" s="10"/>
      <c r="AF182" s="10"/>
      <c r="AG182" s="10"/>
      <c r="AH182" s="10"/>
    </row>
    <row r="183" spans="1:34" ht="15.75" customHeight="1">
      <c r="A183" s="5"/>
      <c r="B183" s="5" t="s">
        <v>1001</v>
      </c>
      <c r="C183" s="6" t="s">
        <v>159</v>
      </c>
      <c r="D183" s="7" t="s">
        <v>1002</v>
      </c>
      <c r="E183" s="8">
        <v>114640</v>
      </c>
      <c r="F183" s="6" cm="1">
        <f t="array" ref="F183">_xlfn.IFS(
E183&lt;=$E$245,0,
E183&lt;=$E$246,1,
E183&lt;=$E$247,2,
E183&gt;=$E$247,3)</f>
        <v>2</v>
      </c>
      <c r="G183" s="7" cm="1">
        <f t="array" ref="G183">_xlfn.IFS(
OR(D183="Aerospace",D183="Aerospace &amp; Defense",D183="Agricultural Equipment",D183="Airlines",D183="Automotive",D183="Automotive &amp; Energy",D183="Automotive Components",D183="Aviation",D183="Building Materials",D183="Chemicals",D183="Commercial Vehicles",D183="Conglomerate &amp; Defense",D183="Conglomerate &amp; Energy",D183="Construction",D183="Construction &amp; Infrastructure",D183="Construction &amp; Real Estate",D183="Construction &amp; Telecom",D183="Discount Retail",D183="Energy Management",D183="Energy Technology",D183="Engines &amp; Power Systems",D183="Environmental Services",D183="Food Distribution",D183="Food Services",D183="Grocery Retail",D183="Healthcare &amp; Pharmacy",D183="Home Improvement Retail",D183="Industrial Engineering &amp; Electronics",D183="Oilfield Services",D183="Pharmaceuticals",D183="Pharmaceuticals &amp; Chemicals",D183="Pharmaceuticals &amp; Healthcare",D183="Pharmacy Retail",D183="Postal &amp; Logistics",D183="Retail",D183="Retail &amp; Distribution",D183="Retail &amp; Grocery",D183="Retail (IKEA)",D183="Tobacco",D183="Trading &amp; Conglomerate",D183="Utilities",D183="Utilities &amp; Energy",D183="Wholesale Retail"),2,
OR(D183="Agribusiness",D183="Automotive &amp; Heavy Vehicles",D183="Chemicals",D183="Commercial Vehicles",D183="Construction",D183="Construction &amp; Infrastructure",D183="Engines &amp; Power Systems",D183="Food Processing",D183="Healthcare",D183="Healthcare &amp; Medical Devices",D183="Heavy Equipment",D183="Heavy Industry",D183="Industrial Gases",D183="Industrial Manufacturing",D183="Logistics",D183="Medical Devices",D183="Mining",D183="Mining &amp; Commodities Trading",D183="Oil &amp; Gas",D183="Oilfield Services",D183="Rail Transport",D183="Shipping &amp; Logistics",D183="Steel"),3,
OR(D183="Apparel &amp; Footwear",D183="Beverage",D183="Coffeehouse &amp; Retail",D183="Conglomerate",D183="Consumer Goods",D183="Convenience Retail",D183="Electronics",D183="Electronics &amp; Semiconductors",D183="Electronics Retail",D183="Fashion Retail",D183="Food &amp; Beverage",D183="Food Retail &amp; Consumer Goods",D183="Industrial &amp; Technology",D183="Industrial Automation",D183="Industrial Technology",D183="Postal &amp; Financial Services",D183="Postal Services",D183="Scientific Instruments",D183="Technology Hardware",D183="Trading Company",D183="IT Consulting"),1,
OR(D183="Cosmetics",D183="E-commerce &amp; Cloud Computing",D183="Electronics &amp; Entertainment",D183="Entertainment &amp; Media",D183="Luxury Goods",D183="Media &amp; Telecommunications",D183="Networking Technology",D183="Real Estate Services",D183="Technology &amp; Consumer Electronics",D183="Telecommunications",D183="Telecommunications &amp; Investment"),1,
OR(D183="Asset Management",D183="Banking",D183="Banking &amp; Asset Services",D183="Banking &amp; Financial Services",D183="Banking &amp; Wealth Management",D183="Cloud Software",D183="Enterprise Software",D183="Financial Services",D183="Information Technology Consulting",D183="Investment Banking",D183="Social Media &amp; Technology",D183="Software &amp; Cloud Computing",D183="Technology &amp; Consulting",D183="Technology &amp; Internet Services",D183="Technology &amp; Software"),1,
TRUE,"Unmapped"
)</f>
        <v>1</v>
      </c>
      <c r="H183" s="5">
        <v>1</v>
      </c>
      <c r="I183" s="5">
        <f>VLOOKUP(B183,'BIS + EDBA Final'!A:F,6,FALSE)</f>
        <v>0</v>
      </c>
      <c r="J183" s="5">
        <f>VLOOKUP(B183,'CBG Final'!A:B,2,FALSE)</f>
        <v>1</v>
      </c>
      <c r="K183" s="9">
        <f t="shared" si="2"/>
        <v>1.2</v>
      </c>
      <c r="L183" s="5" t="s">
        <v>1003</v>
      </c>
      <c r="M183" s="5" t="s">
        <v>1004</v>
      </c>
      <c r="N183" s="5" t="s">
        <v>1005</v>
      </c>
      <c r="O183" s="5" t="s">
        <v>398</v>
      </c>
      <c r="P183" s="5" t="s">
        <v>1006</v>
      </c>
      <c r="Q183" s="5" t="s">
        <v>155</v>
      </c>
      <c r="R183" s="5" t="s">
        <v>46</v>
      </c>
      <c r="S183" s="10"/>
      <c r="T183" s="11"/>
      <c r="U183" s="11"/>
      <c r="V183" s="10"/>
      <c r="W183" s="10"/>
      <c r="X183" s="10"/>
      <c r="Y183" s="10"/>
      <c r="Z183" s="10"/>
      <c r="AA183" s="10"/>
      <c r="AB183" s="10"/>
      <c r="AC183" s="10"/>
      <c r="AD183" s="10"/>
      <c r="AE183" s="10"/>
      <c r="AF183" s="10"/>
      <c r="AG183" s="10"/>
      <c r="AH183" s="10"/>
    </row>
    <row r="184" spans="1:34" ht="15.75" customHeight="1">
      <c r="A184" s="5"/>
      <c r="B184" s="5" t="s">
        <v>634</v>
      </c>
      <c r="C184" s="6" t="s">
        <v>36</v>
      </c>
      <c r="D184" s="7" t="s">
        <v>635</v>
      </c>
      <c r="E184" s="8">
        <v>85000</v>
      </c>
      <c r="F184" s="6" cm="1">
        <f t="array" ref="F184">_xlfn.IFS(
E184&lt;=$E$245,0,
E184&lt;=$E$246,1,
E184&lt;=$E$247,2,
E184&gt;=$E$247,3)</f>
        <v>1</v>
      </c>
      <c r="G184" s="7" cm="1">
        <f t="array" ref="G184">_xlfn.IFS(
OR(D184="Aerospace",D184="Aerospace &amp; Defense",D184="Agricultural Equipment",D184="Airlines",D184="Automotive",D184="Automotive &amp; Energy",D184="Automotive Components",D184="Aviation",D184="Building Materials",D184="Chemicals",D184="Commercial Vehicles",D184="Conglomerate &amp; Defense",D184="Conglomerate &amp; Energy",D184="Construction",D184="Construction &amp; Infrastructure",D184="Construction &amp; Real Estate",D184="Construction &amp; Telecom",D184="Discount Retail",D184="Energy Management",D184="Energy Technology",D184="Engines &amp; Power Systems",D184="Environmental Services",D184="Food Distribution",D184="Food Services",D184="Grocery Retail",D184="Healthcare &amp; Pharmacy",D184="Home Improvement Retail",D184="Industrial Engineering &amp; Electronics",D184="Oilfield Services",D184="Pharmaceuticals",D184="Pharmaceuticals &amp; Chemicals",D184="Pharmaceuticals &amp; Healthcare",D184="Pharmacy Retail",D184="Postal &amp; Logistics",D184="Retail",D184="Retail &amp; Distribution",D184="Retail &amp; Grocery",D184="Retail (IKEA)",D184="Tobacco",D184="Trading &amp; Conglomerate",D184="Utilities",D184="Utilities &amp; Energy",D184="Wholesale Retail"),2,
OR(D184="Agribusiness",D184="Automotive &amp; Heavy Vehicles",D184="Chemicals",D184="Commercial Vehicles",D184="Construction",D184="Construction &amp; Infrastructure",D184="Engines &amp; Power Systems",D184="Food Processing",D184="Healthcare",D184="Healthcare &amp; Medical Devices",D184="Heavy Equipment",D184="Heavy Industry",D184="Industrial Gases",D184="Industrial Manufacturing",D184="Logistics",D184="Medical Devices",D184="Mining",D184="Mining &amp; Commodities Trading",D184="Oil &amp; Gas",D184="Oilfield Services",D184="Rail Transport",D184="Shipping &amp; Logistics",D184="Steel"),3,
OR(D184="Apparel &amp; Footwear",D184="Beverage",D184="Coffeehouse &amp; Retail",D184="Conglomerate",D184="Consumer Goods",D184="Convenience Retail",D184="Electronics",D184="Electronics &amp; Semiconductors",D184="Electronics Retail",D184="Fashion Retail",D184="Food &amp; Beverage",D184="Food Retail &amp; Consumer Goods",D184="Industrial &amp; Technology",D184="Industrial Automation",D184="Industrial Technology",D184="Postal &amp; Financial Services",D184="Postal Services",D184="Scientific Instruments",D184="Technology Hardware",D184="Trading Company",D184="IT Consulting"),1,
OR(D184="Cosmetics",D184="E-commerce &amp; Cloud Computing",D184="Electronics &amp; Entertainment",D184="Entertainment &amp; Media",D184="Luxury Goods",D184="Media &amp; Telecommunications",D184="Networking Technology",D184="Real Estate Services",D184="Technology &amp; Consumer Electronics",D184="Telecommunications",D184="Telecommunications &amp; Investment"),1,
OR(D184="Asset Management",D184="Banking",D184="Banking &amp; Asset Services",D184="Banking &amp; Financial Services",D184="Banking &amp; Wealth Management",D184="Cloud Software",D184="Enterprise Software",D184="Financial Services",D184="Information Technology Consulting",D184="Investment Banking",D184="Social Media &amp; Technology",D184="Software &amp; Cloud Computing",D184="Technology &amp; Consulting",D184="Technology &amp; Internet Services",D184="Technology &amp; Software"),1,
TRUE,"Unmapped"
)</f>
        <v>1</v>
      </c>
      <c r="H184" s="5">
        <v>1</v>
      </c>
      <c r="I184" s="5">
        <f>VLOOKUP(B184,'BIS + EDBA Final'!A:F,6,FALSE)</f>
        <v>1</v>
      </c>
      <c r="J184" s="5">
        <f>VLOOKUP(B184,'CBG Final'!A:B,2,FALSE)</f>
        <v>2</v>
      </c>
      <c r="K184" s="9">
        <f t="shared" si="2"/>
        <v>1.2</v>
      </c>
      <c r="L184" s="5" t="s">
        <v>636</v>
      </c>
      <c r="M184" s="5" t="s">
        <v>586</v>
      </c>
      <c r="N184" s="5" t="s">
        <v>637</v>
      </c>
      <c r="O184" s="5" t="s">
        <v>638</v>
      </c>
      <c r="P184" s="5" t="s">
        <v>639</v>
      </c>
      <c r="Q184" s="5" t="s">
        <v>310</v>
      </c>
      <c r="R184" s="5" t="s">
        <v>54</v>
      </c>
      <c r="S184" s="10"/>
      <c r="T184" s="11"/>
      <c r="U184" s="11"/>
      <c r="V184" s="10"/>
      <c r="W184" s="10"/>
      <c r="X184" s="10"/>
      <c r="Y184" s="10"/>
      <c r="Z184" s="10"/>
      <c r="AA184" s="10"/>
      <c r="AB184" s="10"/>
      <c r="AC184" s="10"/>
      <c r="AD184" s="10"/>
      <c r="AE184" s="10"/>
      <c r="AF184" s="10"/>
      <c r="AG184" s="10"/>
      <c r="AH184" s="10"/>
    </row>
    <row r="185" spans="1:34" ht="15.75" customHeight="1">
      <c r="A185" s="5"/>
      <c r="B185" s="5" t="s">
        <v>608</v>
      </c>
      <c r="C185" s="6" t="s">
        <v>491</v>
      </c>
      <c r="D185" s="7" t="s">
        <v>157</v>
      </c>
      <c r="E185" s="8">
        <v>88488</v>
      </c>
      <c r="F185" s="6" cm="1">
        <f t="array" ref="F185">_xlfn.IFS(
E185&lt;=$E$245,0,
E185&lt;=$E$246,1,
E185&lt;=$E$247,2,
E185&gt;=$E$247,3)</f>
        <v>1</v>
      </c>
      <c r="G185" s="7" cm="1">
        <f t="array" ref="G185">_xlfn.IFS(
OR(D185="Aerospace",D185="Aerospace &amp; Defense",D185="Agricultural Equipment",D185="Airlines",D185="Automotive",D185="Automotive &amp; Energy",D185="Automotive Components",D185="Aviation",D185="Building Materials",D185="Chemicals",D185="Commercial Vehicles",D185="Conglomerate &amp; Defense",D185="Conglomerate &amp; Energy",D185="Construction",D185="Construction &amp; Infrastructure",D185="Construction &amp; Real Estate",D185="Construction &amp; Telecom",D185="Discount Retail",D185="Energy Management",D185="Energy Technology",D185="Engines &amp; Power Systems",D185="Environmental Services",D185="Food Distribution",D185="Food Services",D185="Grocery Retail",D185="Healthcare &amp; Pharmacy",D185="Home Improvement Retail",D185="Industrial Engineering &amp; Electronics",D185="Oilfield Services",D185="Pharmaceuticals",D185="Pharmaceuticals &amp; Chemicals",D185="Pharmaceuticals &amp; Healthcare",D185="Pharmacy Retail",D185="Postal &amp; Logistics",D185="Retail",D185="Retail &amp; Distribution",D185="Retail &amp; Grocery",D185="Retail (IKEA)",D185="Tobacco",D185="Trading &amp; Conglomerate",D185="Utilities",D185="Utilities &amp; Energy",D185="Wholesale Retail"),2,
OR(D185="Agribusiness",D185="Automotive &amp; Heavy Vehicles",D185="Chemicals",D185="Commercial Vehicles",D185="Construction",D185="Construction &amp; Infrastructure",D185="Engines &amp; Power Systems",D185="Food Processing",D185="Healthcare",D185="Healthcare &amp; Medical Devices",D185="Heavy Equipment",D185="Heavy Industry",D185="Industrial Gases",D185="Industrial Manufacturing",D185="Logistics",D185="Medical Devices",D185="Mining",D185="Mining &amp; Commodities Trading",D185="Oil &amp; Gas",D185="Oilfield Services",D185="Rail Transport",D185="Shipping &amp; Logistics",D185="Steel"),3,
OR(D185="Apparel &amp; Footwear",D185="Beverage",D185="Coffeehouse &amp; Retail",D185="Conglomerate",D185="Consumer Goods",D185="Convenience Retail",D185="Electronics",D185="Electronics &amp; Semiconductors",D185="Electronics Retail",D185="Fashion Retail",D185="Food &amp; Beverage",D185="Food Retail &amp; Consumer Goods",D185="Industrial &amp; Technology",D185="Industrial Automation",D185="Industrial Technology",D185="Postal &amp; Financial Services",D185="Postal Services",D185="Scientific Instruments",D185="Technology Hardware",D185="Trading Company",D185="IT Consulting"),1,
OR(D185="Cosmetics",D185="E-commerce &amp; Cloud Computing",D185="Electronics &amp; Entertainment",D185="Entertainment &amp; Media",D185="Luxury Goods",D185="Media &amp; Telecommunications",D185="Networking Technology",D185="Real Estate Services",D185="Technology &amp; Consumer Electronics",D185="Telecommunications",D185="Telecommunications &amp; Investment"),1,
OR(D185="Asset Management",D185="Banking",D185="Banking &amp; Asset Services",D185="Banking &amp; Financial Services",D185="Banking &amp; Wealth Management",D185="Cloud Software",D185="Enterprise Software",D185="Financial Services",D185="Information Technology Consulting",D185="Investment Banking",D185="Social Media &amp; Technology",D185="Software &amp; Cloud Computing",D185="Technology &amp; Consulting",D185="Technology &amp; Internet Services",D185="Technology &amp; Software"),1,
TRUE,"Unmapped"
)</f>
        <v>1</v>
      </c>
      <c r="H185" s="5">
        <f>'BIS + EDBA Final'!B206</f>
        <v>1</v>
      </c>
      <c r="I185" s="5">
        <f>VLOOKUP(B185,'BIS + EDBA Final'!A:F,6,FALSE)</f>
        <v>1</v>
      </c>
      <c r="J185" s="5">
        <f>VLOOKUP(B185,'CBG Final'!A:B,2,FALSE)</f>
        <v>2</v>
      </c>
      <c r="K185" s="9">
        <f t="shared" si="2"/>
        <v>1.2</v>
      </c>
      <c r="L185" s="5" t="s">
        <v>609</v>
      </c>
      <c r="M185" s="5" t="s">
        <v>610</v>
      </c>
      <c r="N185" s="5" t="s">
        <v>611</v>
      </c>
      <c r="O185" s="5" t="s">
        <v>612</v>
      </c>
      <c r="P185" s="5" t="s">
        <v>613</v>
      </c>
      <c r="Q185" s="5" t="s">
        <v>107</v>
      </c>
      <c r="R185" s="5" t="s">
        <v>107</v>
      </c>
      <c r="S185" s="10"/>
      <c r="T185" s="11"/>
      <c r="U185" s="11"/>
      <c r="V185" s="10"/>
      <c r="W185" s="10"/>
      <c r="X185" s="11"/>
      <c r="Y185" s="11"/>
      <c r="Z185" s="10"/>
      <c r="AA185" s="10"/>
      <c r="AB185" s="10"/>
      <c r="AC185" s="10"/>
      <c r="AD185" s="10"/>
      <c r="AE185" s="10"/>
      <c r="AF185" s="10"/>
      <c r="AG185" s="10"/>
      <c r="AH185" s="10"/>
    </row>
    <row r="186" spans="1:34" ht="15.75" customHeight="1">
      <c r="A186" s="5"/>
      <c r="B186" s="5" t="s">
        <v>998</v>
      </c>
      <c r="C186" s="6" t="s">
        <v>882</v>
      </c>
      <c r="D186" s="7" t="s">
        <v>157</v>
      </c>
      <c r="E186" s="8">
        <v>94736</v>
      </c>
      <c r="F186" s="6" cm="1">
        <f t="array" ref="F186">_xlfn.IFS(
E186&lt;=$E$245,0,
E186&lt;=$E$246,1,
E186&lt;=$E$247,2,
E186&gt;=$E$247,3)</f>
        <v>1</v>
      </c>
      <c r="G186" s="7" cm="1">
        <f t="array" ref="G186">_xlfn.IFS(
OR(D186="Aerospace",D186="Aerospace &amp; Defense",D186="Agricultural Equipment",D186="Airlines",D186="Automotive",D186="Automotive &amp; Energy",D186="Automotive Components",D186="Aviation",D186="Building Materials",D186="Chemicals",D186="Commercial Vehicles",D186="Conglomerate &amp; Defense",D186="Conglomerate &amp; Energy",D186="Construction",D186="Construction &amp; Infrastructure",D186="Construction &amp; Real Estate",D186="Construction &amp; Telecom",D186="Discount Retail",D186="Energy Management",D186="Energy Technology",D186="Engines &amp; Power Systems",D186="Environmental Services",D186="Food Distribution",D186="Food Services",D186="Grocery Retail",D186="Healthcare &amp; Pharmacy",D186="Home Improvement Retail",D186="Industrial Engineering &amp; Electronics",D186="Oilfield Services",D186="Pharmaceuticals",D186="Pharmaceuticals &amp; Chemicals",D186="Pharmaceuticals &amp; Healthcare",D186="Pharmacy Retail",D186="Postal &amp; Logistics",D186="Retail",D186="Retail &amp; Distribution",D186="Retail &amp; Grocery",D186="Retail (IKEA)",D186="Tobacco",D186="Trading &amp; Conglomerate",D186="Utilities",D186="Utilities &amp; Energy",D186="Wholesale Retail"),2,
OR(D186="Agribusiness",D186="Automotive &amp; Heavy Vehicles",D186="Chemicals",D186="Commercial Vehicles",D186="Construction",D186="Construction &amp; Infrastructure",D186="Engines &amp; Power Systems",D186="Food Processing",D186="Healthcare",D186="Healthcare &amp; Medical Devices",D186="Heavy Equipment",D186="Heavy Industry",D186="Industrial Gases",D186="Industrial Manufacturing",D186="Logistics",D186="Medical Devices",D186="Mining",D186="Mining &amp; Commodities Trading",D186="Oil &amp; Gas",D186="Oilfield Services",D186="Rail Transport",D186="Shipping &amp; Logistics",D186="Steel"),3,
OR(D186="Apparel &amp; Footwear",D186="Beverage",D186="Coffeehouse &amp; Retail",D186="Conglomerate",D186="Consumer Goods",D186="Convenience Retail",D186="Electronics",D186="Electronics &amp; Semiconductors",D186="Electronics Retail",D186="Fashion Retail",D186="Food &amp; Beverage",D186="Food Retail &amp; Consumer Goods",D186="Industrial &amp; Technology",D186="Industrial Automation",D186="Industrial Technology",D186="Postal &amp; Financial Services",D186="Postal Services",D186="Scientific Instruments",D186="Technology Hardware",D186="Trading Company",D186="IT Consulting"),1,
OR(D186="Cosmetics",D186="E-commerce &amp; Cloud Computing",D186="Electronics &amp; Entertainment",D186="Entertainment &amp; Media",D186="Luxury Goods",D186="Media &amp; Telecommunications",D186="Networking Technology",D186="Real Estate Services",D186="Technology &amp; Consumer Electronics",D186="Telecommunications",D186="Telecommunications &amp; Investment"),1,
OR(D186="Asset Management",D186="Banking",D186="Banking &amp; Asset Services",D186="Banking &amp; Financial Services",D186="Banking &amp; Wealth Management",D186="Cloud Software",D186="Enterprise Software",D186="Financial Services",D186="Information Technology Consulting",D186="Investment Banking",D186="Social Media &amp; Technology",D186="Software &amp; Cloud Computing",D186="Technology &amp; Consulting",D186="Technology &amp; Internet Services",D186="Technology &amp; Software"),1,
TRUE,"Unmapped"
)</f>
        <v>1</v>
      </c>
      <c r="H186" s="5">
        <f>'BIS + EDBA Final'!B212</f>
        <v>2</v>
      </c>
      <c r="I186" s="5">
        <f>VLOOKUP(B186,'BIS + EDBA Final'!A:F,6,FALSE)</f>
        <v>1</v>
      </c>
      <c r="J186" s="5">
        <f>VLOOKUP(B186,'CBG Final'!A:B,2,FALSE)</f>
        <v>1</v>
      </c>
      <c r="K186" s="9">
        <f t="shared" si="2"/>
        <v>1.2</v>
      </c>
      <c r="L186" s="5" t="s">
        <v>1020</v>
      </c>
      <c r="M186" s="5" t="s">
        <v>862</v>
      </c>
      <c r="N186" s="5" t="s">
        <v>1021</v>
      </c>
      <c r="O186" s="5" t="s">
        <v>571</v>
      </c>
      <c r="P186" s="5" t="s">
        <v>1022</v>
      </c>
      <c r="Q186" s="5" t="s">
        <v>107</v>
      </c>
      <c r="R186" s="5" t="s">
        <v>54</v>
      </c>
      <c r="S186" s="10"/>
      <c r="T186" s="11"/>
      <c r="U186" s="11"/>
      <c r="V186" s="10"/>
      <c r="W186" s="10"/>
      <c r="X186" s="11"/>
      <c r="Y186" s="11"/>
      <c r="Z186" s="10"/>
      <c r="AA186" s="10"/>
      <c r="AB186" s="10"/>
      <c r="AC186" s="10"/>
      <c r="AD186" s="10"/>
      <c r="AE186" s="10"/>
      <c r="AF186" s="10"/>
      <c r="AG186" s="10"/>
      <c r="AH186" s="10"/>
    </row>
    <row r="187" spans="1:34" ht="15.75" customHeight="1">
      <c r="A187" s="5"/>
      <c r="B187" s="5" t="s">
        <v>999</v>
      </c>
      <c r="C187" s="6" t="s">
        <v>62</v>
      </c>
      <c r="D187" s="7" t="s">
        <v>1000</v>
      </c>
      <c r="E187" s="8">
        <v>77274</v>
      </c>
      <c r="F187" s="6" cm="1">
        <f t="array" ref="F187">_xlfn.IFS(
E187&lt;=$E$245,0,
E187&lt;=$E$246,1,
E187&lt;=$E$247,2,
E187&gt;=$E$247,3)</f>
        <v>0</v>
      </c>
      <c r="G187" s="7" cm="1">
        <f t="array" ref="G187">_xlfn.IFS(
OR(D187="Aerospace",D187="Aerospace &amp; Defense",D187="Agricultural Equipment",D187="Airlines",D187="Automotive",D187="Automotive &amp; Energy",D187="Automotive Components",D187="Aviation",D187="Building Materials",D187="Chemicals",D187="Commercial Vehicles",D187="Conglomerate &amp; Defense",D187="Conglomerate &amp; Energy",D187="Construction",D187="Construction &amp; Infrastructure",D187="Construction &amp; Real Estate",D187="Construction &amp; Telecom",D187="Discount Retail",D187="Energy Management",D187="Energy Technology",D187="Engines &amp; Power Systems",D187="Environmental Services",D187="Food Distribution",D187="Food Services",D187="Grocery Retail",D187="Healthcare &amp; Pharmacy",D187="Home Improvement Retail",D187="Industrial Engineering &amp; Electronics",D187="Oilfield Services",D187="Pharmaceuticals",D187="Pharmaceuticals &amp; Chemicals",D187="Pharmaceuticals &amp; Healthcare",D187="Pharmacy Retail",D187="Postal &amp; Logistics",D187="Retail",D187="Retail &amp; Distribution",D187="Retail &amp; Grocery",D187="Retail (IKEA)",D187="Tobacco",D187="Trading &amp; Conglomerate",D187="Utilities",D187="Utilities &amp; Energy",D187="Wholesale Retail"),2,
OR(D187="Agribusiness",D187="Automotive &amp; Heavy Vehicles",D187="Chemicals",D187="Commercial Vehicles",D187="Construction",D187="Construction &amp; Infrastructure",D187="Engines &amp; Power Systems",D187="Food Processing",D187="Healthcare",D187="Healthcare &amp; Medical Devices",D187="Heavy Equipment",D187="Heavy Industry",D187="Industrial Gases",D187="Industrial Manufacturing",D187="Logistics",D187="Medical Devices",D187="Mining",D187="Mining &amp; Commodities Trading",D187="Oil &amp; Gas",D187="Oilfield Services",D187="Rail Transport",D187="Shipping &amp; Logistics",D187="Steel"),3,
OR(D187="Apparel &amp; Footwear",D187="Beverage",D187="Coffeehouse &amp; Retail",D187="Conglomerate",D187="Consumer Goods",D187="Convenience Retail",D187="Electronics",D187="Electronics &amp; Semiconductors",D187="Electronics Retail",D187="Fashion Retail",D187="Food &amp; Beverage",D187="Food Retail &amp; Consumer Goods",D187="Industrial &amp; Technology",D187="Industrial Automation",D187="Industrial Technology",D187="Postal &amp; Financial Services",D187="Postal Services",D187="Scientific Instruments",D187="Technology Hardware",D187="Trading Company",D187="IT Consulting"),1,
OR(D187="Cosmetics",D187="E-commerce &amp; Cloud Computing",D187="Electronics &amp; Entertainment",D187="Entertainment &amp; Media",D187="Luxury Goods",D187="Media &amp; Telecommunications",D187="Networking Technology",D187="Real Estate Services",D187="Technology &amp; Consumer Electronics",D187="Telecommunications",D187="Telecommunications &amp; Investment"),1,
OR(D187="Asset Management",D187="Banking",D187="Banking &amp; Asset Services",D187="Banking &amp; Financial Services",D187="Banking &amp; Wealth Management",D187="Cloud Software",D187="Enterprise Software",D187="Financial Services",D187="Information Technology Consulting",D187="Investment Banking",D187="Social Media &amp; Technology",D187="Software &amp; Cloud Computing",D187="Technology &amp; Consulting",D187="Technology &amp; Internet Services",D187="Technology &amp; Software"),1,
TRUE,"Unmapped"
)</f>
        <v>3</v>
      </c>
      <c r="H187" s="5">
        <v>1</v>
      </c>
      <c r="I187" s="5">
        <f>VLOOKUP(B187,'BIS + EDBA Final'!A:F,6,FALSE)</f>
        <v>1</v>
      </c>
      <c r="J187" s="5">
        <f>VLOOKUP(B187,'CBG Final'!A:B,2,FALSE)</f>
        <v>1</v>
      </c>
      <c r="K187" s="9">
        <f t="shared" si="2"/>
        <v>1.1000000000000001</v>
      </c>
      <c r="L187" s="5" t="s">
        <v>1145</v>
      </c>
      <c r="M187" s="5" t="s">
        <v>591</v>
      </c>
      <c r="N187" s="5" t="s">
        <v>1146</v>
      </c>
      <c r="O187" s="5" t="s">
        <v>25</v>
      </c>
      <c r="P187" s="5" t="s">
        <v>1147</v>
      </c>
      <c r="Q187" s="5" t="s">
        <v>155</v>
      </c>
      <c r="R187" s="5" t="s">
        <v>20</v>
      </c>
      <c r="S187" s="10"/>
      <c r="T187" s="11"/>
      <c r="U187" s="11"/>
      <c r="V187" s="10"/>
      <c r="W187" s="10"/>
      <c r="X187" s="10"/>
      <c r="Y187" s="10"/>
      <c r="Z187" s="10"/>
      <c r="AA187" s="10"/>
      <c r="AB187" s="10"/>
      <c r="AC187" s="10"/>
      <c r="AD187" s="10"/>
      <c r="AE187" s="10"/>
      <c r="AF187" s="10"/>
      <c r="AG187" s="10"/>
      <c r="AH187" s="10"/>
    </row>
    <row r="188" spans="1:34" ht="15.75" customHeight="1">
      <c r="A188" s="5"/>
      <c r="B188" s="5" t="s">
        <v>752</v>
      </c>
      <c r="C188" s="6" t="s">
        <v>36</v>
      </c>
      <c r="D188" s="7" t="s">
        <v>753</v>
      </c>
      <c r="E188" s="8">
        <v>79400</v>
      </c>
      <c r="F188" s="6" cm="1">
        <f t="array" ref="F188">_xlfn.IFS(
E188&lt;=$E$245,0,
E188&lt;=$E$246,1,
E188&lt;=$E$247,2,
E188&gt;=$E$247,3)</f>
        <v>0</v>
      </c>
      <c r="G188" s="7" cm="1">
        <f t="array" ref="G188">_xlfn.IFS(
OR(D188="Aerospace",D188="Aerospace &amp; Defense",D188="Agricultural Equipment",D188="Airlines",D188="Automotive",D188="Automotive &amp; Energy",D188="Automotive Components",D188="Aviation",D188="Building Materials",D188="Chemicals",D188="Commercial Vehicles",D188="Conglomerate &amp; Defense",D188="Conglomerate &amp; Energy",D188="Construction",D188="Construction &amp; Infrastructure",D188="Construction &amp; Real Estate",D188="Construction &amp; Telecom",D188="Discount Retail",D188="Energy Management",D188="Energy Technology",D188="Engines &amp; Power Systems",D188="Environmental Services",D188="Food Distribution",D188="Food Services",D188="Grocery Retail",D188="Healthcare &amp; Pharmacy",D188="Home Improvement Retail",D188="Industrial Engineering &amp; Electronics",D188="Oilfield Services",D188="Pharmaceuticals",D188="Pharmaceuticals &amp; Chemicals",D188="Pharmaceuticals &amp; Healthcare",D188="Pharmacy Retail",D188="Postal &amp; Logistics",D188="Retail",D188="Retail &amp; Distribution",D188="Retail &amp; Grocery",D188="Retail (IKEA)",D188="Tobacco",D188="Trading &amp; Conglomerate",D188="Utilities",D188="Utilities &amp; Energy",D188="Wholesale Retail"),2,
OR(D188="Agribusiness",D188="Automotive &amp; Heavy Vehicles",D188="Chemicals",D188="Commercial Vehicles",D188="Construction",D188="Construction &amp; Infrastructure",D188="Engines &amp; Power Systems",D188="Food Processing",D188="Healthcare",D188="Healthcare &amp; Medical Devices",D188="Heavy Equipment",D188="Heavy Industry",D188="Industrial Gases",D188="Industrial Manufacturing",D188="Logistics",D188="Medical Devices",D188="Mining",D188="Mining &amp; Commodities Trading",D188="Oil &amp; Gas",D188="Oilfield Services",D188="Rail Transport",D188="Shipping &amp; Logistics",D188="Steel"),3,
OR(D188="Apparel &amp; Footwear",D188="Beverage",D188="Coffeehouse &amp; Retail",D188="Conglomerate",D188="Consumer Goods",D188="Convenience Retail",D188="Electronics",D188="Electronics &amp; Semiconductors",D188="Electronics Retail",D188="Fashion Retail",D188="Food &amp; Beverage",D188="Food Retail &amp; Consumer Goods",D188="Industrial &amp; Technology",D188="Industrial Automation",D188="Industrial Technology",D188="Postal &amp; Financial Services",D188="Postal Services",D188="Scientific Instruments",D188="Technology Hardware",D188="Trading Company",D188="IT Consulting"),1,
OR(D188="Cosmetics",D188="E-commerce &amp; Cloud Computing",D188="Electronics &amp; Entertainment",D188="Entertainment &amp; Media",D188="Luxury Goods",D188="Media &amp; Telecommunications",D188="Networking Technology",D188="Real Estate Services",D188="Technology &amp; Consumer Electronics",D188="Telecommunications",D188="Telecommunications &amp; Investment"),1,
OR(D188="Asset Management",D188="Banking",D188="Banking &amp; Asset Services",D188="Banking &amp; Financial Services",D188="Banking &amp; Wealth Management",D188="Cloud Software",D188="Enterprise Software",D188="Financial Services",D188="Information Technology Consulting",D188="Investment Banking",D188="Social Media &amp; Technology",D188="Software &amp; Cloud Computing",D188="Technology &amp; Consulting",D188="Technology &amp; Internet Services",D188="Technology &amp; Software"),1,
TRUE,"Unmapped"
)</f>
        <v>1</v>
      </c>
      <c r="H188" s="5">
        <v>1</v>
      </c>
      <c r="I188" s="5">
        <f>VLOOKUP(B188,'BIS + EDBA Final'!A:F,6,FALSE)</f>
        <v>1</v>
      </c>
      <c r="J188" s="5">
        <f>VLOOKUP(B188,'CBG Final'!A:B,2,FALSE)</f>
        <v>3</v>
      </c>
      <c r="K188" s="9">
        <f t="shared" si="2"/>
        <v>1.1000000000000001</v>
      </c>
      <c r="L188" s="5" t="s">
        <v>1171</v>
      </c>
      <c r="M188" s="5" t="s">
        <v>436</v>
      </c>
      <c r="N188" s="5" t="s">
        <v>1172</v>
      </c>
      <c r="O188" s="5" t="s">
        <v>1173</v>
      </c>
      <c r="P188" s="5" t="s">
        <v>1174</v>
      </c>
      <c r="Q188" s="5" t="s">
        <v>29</v>
      </c>
      <c r="R188" s="5" t="s">
        <v>353</v>
      </c>
      <c r="S188" s="10"/>
      <c r="T188" s="11"/>
      <c r="U188" s="11"/>
      <c r="V188" s="10"/>
      <c r="W188" s="10"/>
      <c r="X188" s="10"/>
      <c r="Y188" s="10"/>
      <c r="Z188" s="10"/>
      <c r="AA188" s="10"/>
      <c r="AB188" s="10"/>
      <c r="AC188" s="10"/>
      <c r="AD188" s="10"/>
      <c r="AE188" s="10"/>
      <c r="AF188" s="10"/>
      <c r="AG188" s="10"/>
      <c r="AH188" s="10"/>
    </row>
    <row r="189" spans="1:34" ht="15.75" customHeight="1">
      <c r="A189" s="5"/>
      <c r="B189" s="5" t="s">
        <v>1353</v>
      </c>
      <c r="C189" s="6" t="s">
        <v>62</v>
      </c>
      <c r="D189" s="7" t="s">
        <v>86</v>
      </c>
      <c r="E189" s="8">
        <v>74077</v>
      </c>
      <c r="F189" s="6" cm="1">
        <f t="array" ref="F189">_xlfn.IFS(
E189&lt;=$E$245,0,
E189&lt;=$E$246,1,
E189&lt;=$E$247,2,
E189&gt;=$E$247,3)</f>
        <v>0</v>
      </c>
      <c r="G189" s="7" cm="1">
        <f t="array" ref="G189">_xlfn.IFS(
OR(D189="Aerospace",D189="Aerospace &amp; Defense",D189="Agricultural Equipment",D189="Airlines",D189="Automotive",D189="Automotive &amp; Energy",D189="Automotive Components",D189="Aviation",D189="Building Materials",D189="Chemicals",D189="Commercial Vehicles",D189="Conglomerate &amp; Defense",D189="Conglomerate &amp; Energy",D189="Construction",D189="Construction &amp; Infrastructure",D189="Construction &amp; Real Estate",D189="Construction &amp; Telecom",D189="Discount Retail",D189="Energy Management",D189="Energy Technology",D189="Engines &amp; Power Systems",D189="Environmental Services",D189="Food Distribution",D189="Food Services",D189="Grocery Retail",D189="Healthcare &amp; Pharmacy",D189="Home Improvement Retail",D189="Industrial Engineering &amp; Electronics",D189="Oilfield Services",D189="Pharmaceuticals",D189="Pharmaceuticals &amp; Chemicals",D189="Pharmaceuticals &amp; Healthcare",D189="Pharmacy Retail",D189="Postal &amp; Logistics",D189="Retail",D189="Retail &amp; Distribution",D189="Retail &amp; Grocery",D189="Retail (IKEA)",D189="Tobacco",D189="Trading &amp; Conglomerate",D189="Utilities",D189="Utilities &amp; Energy",D189="Wholesale Retail"),2,
OR(D189="Agribusiness",D189="Automotive &amp; Heavy Vehicles",D189="Chemicals",D189="Commercial Vehicles",D189="Construction",D189="Construction &amp; Infrastructure",D189="Engines &amp; Power Systems",D189="Food Processing",D189="Healthcare",D189="Healthcare &amp; Medical Devices",D189="Heavy Equipment",D189="Heavy Industry",D189="Industrial Gases",D189="Industrial Manufacturing",D189="Logistics",D189="Medical Devices",D189="Mining",D189="Mining &amp; Commodities Trading",D189="Oil &amp; Gas",D189="Oilfield Services",D189="Rail Transport",D189="Shipping &amp; Logistics",D189="Steel"),3,
OR(D189="Apparel &amp; Footwear",D189="Beverage",D189="Coffeehouse &amp; Retail",D189="Conglomerate",D189="Consumer Goods",D189="Convenience Retail",D189="Electronics",D189="Electronics &amp; Semiconductors",D189="Electronics Retail",D189="Fashion Retail",D189="Food &amp; Beverage",D189="Food Retail &amp; Consumer Goods",D189="Industrial &amp; Technology",D189="Industrial Automation",D189="Industrial Technology",D189="Postal &amp; Financial Services",D189="Postal Services",D189="Scientific Instruments",D189="Technology Hardware",D189="Trading Company",D189="IT Consulting"),1,
OR(D189="Cosmetics",D189="E-commerce &amp; Cloud Computing",D189="Electronics &amp; Entertainment",D189="Entertainment &amp; Media",D189="Luxury Goods",D189="Media &amp; Telecommunications",D189="Networking Technology",D189="Real Estate Services",D189="Technology &amp; Consumer Electronics",D189="Telecommunications",D189="Telecommunications &amp; Investment"),1,
OR(D189="Asset Management",D189="Banking",D189="Banking &amp; Asset Services",D189="Banking &amp; Financial Services",D189="Banking &amp; Wealth Management",D189="Cloud Software",D189="Enterprise Software",D189="Financial Services",D189="Information Technology Consulting",D189="Investment Banking",D189="Social Media &amp; Technology",D189="Software &amp; Cloud Computing",D189="Technology &amp; Consulting",D189="Technology &amp; Internet Services",D189="Technology &amp; Software"),1,
TRUE,"Unmapped"
)</f>
        <v>2</v>
      </c>
      <c r="H189" s="5">
        <v>1</v>
      </c>
      <c r="I189" s="5">
        <f>VLOOKUP(B189,'BIS + EDBA Final'!A:F,6,FALSE)</f>
        <v>1</v>
      </c>
      <c r="J189" s="5">
        <f>VLOOKUP(B189,'CBG Final'!A:B,2,FALSE)</f>
        <v>2</v>
      </c>
      <c r="K189" s="9">
        <f t="shared" si="2"/>
        <v>1.1000000000000001</v>
      </c>
      <c r="L189" s="5" t="s">
        <v>1354</v>
      </c>
      <c r="M189" s="5" t="s">
        <v>718</v>
      </c>
      <c r="N189" s="5" t="s">
        <v>1355</v>
      </c>
      <c r="O189" s="5" t="s">
        <v>1356</v>
      </c>
      <c r="P189" s="5" t="s">
        <v>1357</v>
      </c>
      <c r="Q189" s="5" t="s">
        <v>29</v>
      </c>
      <c r="R189" s="5" t="s">
        <v>20</v>
      </c>
      <c r="S189" s="10"/>
      <c r="T189" s="11"/>
      <c r="U189" s="11"/>
      <c r="V189" s="10"/>
      <c r="W189" s="10"/>
      <c r="X189" s="10"/>
      <c r="Y189" s="10"/>
      <c r="Z189" s="10"/>
      <c r="AA189" s="10"/>
      <c r="AB189" s="10"/>
      <c r="AC189" s="10"/>
      <c r="AD189" s="10"/>
      <c r="AE189" s="10"/>
      <c r="AF189" s="10"/>
      <c r="AG189" s="10"/>
      <c r="AH189" s="10"/>
    </row>
    <row r="190" spans="1:34" ht="15.75" customHeight="1">
      <c r="A190" s="5"/>
      <c r="B190" s="5" t="s">
        <v>354</v>
      </c>
      <c r="C190" s="6" t="s">
        <v>36</v>
      </c>
      <c r="D190" s="7" t="s">
        <v>266</v>
      </c>
      <c r="E190" s="8">
        <v>99600</v>
      </c>
      <c r="F190" s="6" cm="1">
        <f t="array" ref="F190">_xlfn.IFS(
E190&lt;=$E$245,0,
E190&lt;=$E$246,1,
E190&lt;=$E$247,2,
E190&gt;=$E$247,3)</f>
        <v>1</v>
      </c>
      <c r="G190" s="7" cm="1">
        <f t="array" ref="G190">_xlfn.IFS(
OR(D190="Aerospace",D190="Aerospace &amp; Defense",D190="Agricultural Equipment",D190="Airlines",D190="Automotive",D190="Automotive &amp; Energy",D190="Automotive Components",D190="Aviation",D190="Building Materials",D190="Chemicals",D190="Commercial Vehicles",D190="Conglomerate &amp; Defense",D190="Conglomerate &amp; Energy",D190="Construction",D190="Construction &amp; Infrastructure",D190="Construction &amp; Real Estate",D190="Construction &amp; Telecom",D190="Discount Retail",D190="Energy Management",D190="Energy Technology",D190="Engines &amp; Power Systems",D190="Environmental Services",D190="Food Distribution",D190="Food Services",D190="Grocery Retail",D190="Healthcare &amp; Pharmacy",D190="Home Improvement Retail",D190="Industrial Engineering &amp; Electronics",D190="Oilfield Services",D190="Pharmaceuticals",D190="Pharmaceuticals &amp; Chemicals",D190="Pharmaceuticals &amp; Healthcare",D190="Pharmacy Retail",D190="Postal &amp; Logistics",D190="Retail",D190="Retail &amp; Distribution",D190="Retail &amp; Grocery",D190="Retail (IKEA)",D190="Tobacco",D190="Trading &amp; Conglomerate",D190="Utilities",D190="Utilities &amp; Energy",D190="Wholesale Retail"),2,
OR(D190="Agribusiness",D190="Automotive &amp; Heavy Vehicles",D190="Chemicals",D190="Commercial Vehicles",D190="Construction",D190="Construction &amp; Infrastructure",D190="Engines &amp; Power Systems",D190="Food Processing",D190="Healthcare",D190="Healthcare &amp; Medical Devices",D190="Heavy Equipment",D190="Heavy Industry",D190="Industrial Gases",D190="Industrial Manufacturing",D190="Logistics",D190="Medical Devices",D190="Mining",D190="Mining &amp; Commodities Trading",D190="Oil &amp; Gas",D190="Oilfield Services",D190="Rail Transport",D190="Shipping &amp; Logistics",D190="Steel"),3,
OR(D190="Apparel &amp; Footwear",D190="Beverage",D190="Coffeehouse &amp; Retail",D190="Conglomerate",D190="Consumer Goods",D190="Convenience Retail",D190="Electronics",D190="Electronics &amp; Semiconductors",D190="Electronics Retail",D190="Fashion Retail",D190="Food &amp; Beverage",D190="Food Retail &amp; Consumer Goods",D190="Industrial &amp; Technology",D190="Industrial Automation",D190="Industrial Technology",D190="Postal &amp; Financial Services",D190="Postal Services",D190="Scientific Instruments",D190="Technology Hardware",D190="Trading Company",D190="IT Consulting"),1,
OR(D190="Cosmetics",D190="E-commerce &amp; Cloud Computing",D190="Electronics &amp; Entertainment",D190="Entertainment &amp; Media",D190="Luxury Goods",D190="Media &amp; Telecommunications",D190="Networking Technology",D190="Real Estate Services",D190="Technology &amp; Consumer Electronics",D190="Telecommunications",D190="Telecommunications &amp; Investment"),1,
OR(D190="Asset Management",D190="Banking",D190="Banking &amp; Asset Services",D190="Banking &amp; Financial Services",D190="Banking &amp; Wealth Management",D190="Cloud Software",D190="Enterprise Software",D190="Financial Services",D190="Information Technology Consulting",D190="Investment Banking",D190="Social Media &amp; Technology",D190="Software &amp; Cloud Computing",D190="Technology &amp; Consulting",D190="Technology &amp; Internet Services",D190="Technology &amp; Software"),1,
TRUE,"Unmapped"
)</f>
        <v>1</v>
      </c>
      <c r="H190" s="5">
        <f>'BIS + EDBA Final'!B197</f>
        <v>0</v>
      </c>
      <c r="I190" s="5">
        <f>VLOOKUP(B190,'BIS + EDBA Final'!A:F,6,FALSE)</f>
        <v>0</v>
      </c>
      <c r="J190" s="5">
        <f>VLOOKUP(B190,'CBG Final'!A:B,2,FALSE)</f>
        <v>3</v>
      </c>
      <c r="K190" s="9">
        <f t="shared" si="2"/>
        <v>1.1000000000000001</v>
      </c>
      <c r="L190" s="5" t="s">
        <v>1423</v>
      </c>
      <c r="M190" s="5" t="s">
        <v>1337</v>
      </c>
      <c r="N190" s="5" t="s">
        <v>1424</v>
      </c>
      <c r="O190" s="5" t="s">
        <v>1425</v>
      </c>
      <c r="P190" s="5" t="s">
        <v>1426</v>
      </c>
      <c r="Q190" s="5" t="s">
        <v>180</v>
      </c>
      <c r="R190" s="5" t="s">
        <v>20</v>
      </c>
      <c r="S190" s="10"/>
      <c r="T190" s="11"/>
      <c r="U190" s="11"/>
      <c r="V190" s="10"/>
      <c r="W190" s="10"/>
      <c r="X190" s="11"/>
      <c r="Y190" s="11"/>
      <c r="Z190" s="10"/>
      <c r="AA190" s="10"/>
      <c r="AB190" s="10"/>
      <c r="AC190" s="10"/>
      <c r="AD190" s="10"/>
      <c r="AE190" s="10"/>
      <c r="AF190" s="10"/>
      <c r="AG190" s="10"/>
      <c r="AH190" s="10"/>
    </row>
    <row r="191" spans="1:34" ht="15.75" customHeight="1">
      <c r="A191" s="5"/>
      <c r="B191" s="5" t="s">
        <v>574</v>
      </c>
      <c r="C191" s="6" t="s">
        <v>278</v>
      </c>
      <c r="D191" s="7" t="s">
        <v>157</v>
      </c>
      <c r="E191" s="8">
        <v>86574</v>
      </c>
      <c r="F191" s="6" cm="1">
        <f t="array" ref="F191">_xlfn.IFS(
E191&lt;=$E$245,0,
E191&lt;=$E$246,1,
E191&lt;=$E$247,2,
E191&gt;=$E$247,3)</f>
        <v>1</v>
      </c>
      <c r="G191" s="7" cm="1">
        <f t="array" ref="G191">_xlfn.IFS(
OR(D191="Aerospace",D191="Aerospace &amp; Defense",D191="Agricultural Equipment",D191="Airlines",D191="Automotive",D191="Automotive &amp; Energy",D191="Automotive Components",D191="Aviation",D191="Building Materials",D191="Chemicals",D191="Commercial Vehicles",D191="Conglomerate &amp; Defense",D191="Conglomerate &amp; Energy",D191="Construction",D191="Construction &amp; Infrastructure",D191="Construction &amp; Real Estate",D191="Construction &amp; Telecom",D191="Discount Retail",D191="Energy Management",D191="Energy Technology",D191="Engines &amp; Power Systems",D191="Environmental Services",D191="Food Distribution",D191="Food Services",D191="Grocery Retail",D191="Healthcare &amp; Pharmacy",D191="Home Improvement Retail",D191="Industrial Engineering &amp; Electronics",D191="Oilfield Services",D191="Pharmaceuticals",D191="Pharmaceuticals &amp; Chemicals",D191="Pharmaceuticals &amp; Healthcare",D191="Pharmacy Retail",D191="Postal &amp; Logistics",D191="Retail",D191="Retail &amp; Distribution",D191="Retail &amp; Grocery",D191="Retail (IKEA)",D191="Tobacco",D191="Trading &amp; Conglomerate",D191="Utilities",D191="Utilities &amp; Energy",D191="Wholesale Retail"),2,
OR(D191="Agribusiness",D191="Automotive &amp; Heavy Vehicles",D191="Chemicals",D191="Commercial Vehicles",D191="Construction",D191="Construction &amp; Infrastructure",D191="Engines &amp; Power Systems",D191="Food Processing",D191="Healthcare",D191="Healthcare &amp; Medical Devices",D191="Heavy Equipment",D191="Heavy Industry",D191="Industrial Gases",D191="Industrial Manufacturing",D191="Logistics",D191="Medical Devices",D191="Mining",D191="Mining &amp; Commodities Trading",D191="Oil &amp; Gas",D191="Oilfield Services",D191="Rail Transport",D191="Shipping &amp; Logistics",D191="Steel"),3,
OR(D191="Apparel &amp; Footwear",D191="Beverage",D191="Coffeehouse &amp; Retail",D191="Conglomerate",D191="Consumer Goods",D191="Convenience Retail",D191="Electronics",D191="Electronics &amp; Semiconductors",D191="Electronics Retail",D191="Fashion Retail",D191="Food &amp; Beverage",D191="Food Retail &amp; Consumer Goods",D191="Industrial &amp; Technology",D191="Industrial Automation",D191="Industrial Technology",D191="Postal &amp; Financial Services",D191="Postal Services",D191="Scientific Instruments",D191="Technology Hardware",D191="Trading Company",D191="IT Consulting"),1,
OR(D191="Cosmetics",D191="E-commerce &amp; Cloud Computing",D191="Electronics &amp; Entertainment",D191="Entertainment &amp; Media",D191="Luxury Goods",D191="Media &amp; Telecommunications",D191="Networking Technology",D191="Real Estate Services",D191="Technology &amp; Consumer Electronics",D191="Telecommunications",D191="Telecommunications &amp; Investment"),1,
OR(D191="Asset Management",D191="Banking",D191="Banking &amp; Asset Services",D191="Banking &amp; Financial Services",D191="Banking &amp; Wealth Management",D191="Cloud Software",D191="Enterprise Software",D191="Financial Services",D191="Information Technology Consulting",D191="Investment Banking",D191="Social Media &amp; Technology",D191="Software &amp; Cloud Computing",D191="Technology &amp; Consulting",D191="Technology &amp; Internet Services",D191="Technology &amp; Software"),1,
TRUE,"Unmapped"
)</f>
        <v>1</v>
      </c>
      <c r="H191" s="5">
        <f>'BIS + EDBA Final'!B205</f>
        <v>2</v>
      </c>
      <c r="I191" s="5">
        <f>VLOOKUP(B191,'BIS + EDBA Final'!A:F,6,FALSE)</f>
        <v>0</v>
      </c>
      <c r="J191" s="5">
        <f>VLOOKUP(B191,'CBG Final'!A:B,2,FALSE)</f>
        <v>1</v>
      </c>
      <c r="K191" s="9">
        <f t="shared" si="2"/>
        <v>1.1000000000000001</v>
      </c>
      <c r="L191" s="5" t="s">
        <v>575</v>
      </c>
      <c r="M191" s="5" t="s">
        <v>489</v>
      </c>
      <c r="N191" s="5" t="s">
        <v>576</v>
      </c>
      <c r="O191" s="5" t="s">
        <v>577</v>
      </c>
      <c r="P191" s="5" t="s">
        <v>578</v>
      </c>
      <c r="Q191" s="5" t="s">
        <v>257</v>
      </c>
      <c r="R191" s="5" t="s">
        <v>20</v>
      </c>
      <c r="S191" s="10"/>
      <c r="T191" s="11"/>
      <c r="U191" s="11"/>
      <c r="V191" s="10"/>
      <c r="W191" s="10"/>
      <c r="X191" s="11"/>
      <c r="Y191" s="11"/>
      <c r="Z191" s="10"/>
      <c r="AA191" s="10"/>
      <c r="AB191" s="10"/>
      <c r="AC191" s="10"/>
      <c r="AD191" s="10"/>
      <c r="AE191" s="10"/>
      <c r="AF191" s="10"/>
      <c r="AG191" s="10"/>
      <c r="AH191" s="10"/>
    </row>
    <row r="192" spans="1:34" ht="15.75" customHeight="1">
      <c r="A192" s="5"/>
      <c r="B192" s="5" t="s">
        <v>601</v>
      </c>
      <c r="C192" s="6" t="s">
        <v>36</v>
      </c>
      <c r="D192" s="7" t="s">
        <v>602</v>
      </c>
      <c r="E192" s="8">
        <v>51800</v>
      </c>
      <c r="F192" s="6" cm="1">
        <f t="array" ref="F192">_xlfn.IFS(
E192&lt;=$E$245,0,
E192&lt;=$E$246,1,
E192&lt;=$E$247,2,
E192&gt;=$E$247,3)</f>
        <v>0</v>
      </c>
      <c r="G192" s="7" cm="1">
        <f t="array" ref="G192">_xlfn.IFS(
OR(D192="Aerospace",D192="Aerospace &amp; Defense",D192="Agricultural Equipment",D192="Airlines",D192="Automotive",D192="Automotive &amp; Energy",D192="Automotive Components",D192="Aviation",D192="Building Materials",D192="Chemicals",D192="Commercial Vehicles",D192="Conglomerate &amp; Defense",D192="Conglomerate &amp; Energy",D192="Construction",D192="Construction &amp; Infrastructure",D192="Construction &amp; Real Estate",D192="Construction &amp; Telecom",D192="Discount Retail",D192="Energy Management",D192="Energy Technology",D192="Engines &amp; Power Systems",D192="Environmental Services",D192="Food Distribution",D192="Food Services",D192="Grocery Retail",D192="Healthcare &amp; Pharmacy",D192="Home Improvement Retail",D192="Industrial Engineering &amp; Electronics",D192="Oilfield Services",D192="Pharmaceuticals",D192="Pharmaceuticals &amp; Chemicals",D192="Pharmaceuticals &amp; Healthcare",D192="Pharmacy Retail",D192="Postal &amp; Logistics",D192="Retail",D192="Retail &amp; Distribution",D192="Retail &amp; Grocery",D192="Retail (IKEA)",D192="Tobacco",D192="Trading &amp; Conglomerate",D192="Utilities",D192="Utilities &amp; Energy",D192="Wholesale Retail"),2,
OR(D192="Agribusiness",D192="Automotive &amp; Heavy Vehicles",D192="Chemicals",D192="Commercial Vehicles",D192="Construction",D192="Construction &amp; Infrastructure",D192="Engines &amp; Power Systems",D192="Food Processing",D192="Healthcare",D192="Healthcare &amp; Medical Devices",D192="Heavy Equipment",D192="Heavy Industry",D192="Industrial Gases",D192="Industrial Manufacturing",D192="Logistics",D192="Medical Devices",D192="Mining",D192="Mining &amp; Commodities Trading",D192="Oil &amp; Gas",D192="Oilfield Services",D192="Rail Transport",D192="Shipping &amp; Logistics",D192="Steel"),3,
OR(D192="Apparel &amp; Footwear",D192="Beverage",D192="Coffeehouse &amp; Retail",D192="Conglomerate",D192="Consumer Goods",D192="Convenience Retail",D192="Electronics",D192="Electronics &amp; Semiconductors",D192="Electronics Retail",D192="Fashion Retail",D192="Food &amp; Beverage",D192="Food Retail &amp; Consumer Goods",D192="Industrial &amp; Technology",D192="Industrial Automation",D192="Industrial Technology",D192="Postal &amp; Financial Services",D192="Postal Services",D192="Scientific Instruments",D192="Technology Hardware",D192="Trading Company",D192="IT Consulting"),1,
OR(D192="Cosmetics",D192="E-commerce &amp; Cloud Computing",D192="Electronics &amp; Entertainment",D192="Entertainment &amp; Media",D192="Luxury Goods",D192="Media &amp; Telecommunications",D192="Networking Technology",D192="Real Estate Services",D192="Technology &amp; Consumer Electronics",D192="Telecommunications",D192="Telecommunications &amp; Investment"),1,
OR(D192="Asset Management",D192="Banking",D192="Banking &amp; Asset Services",D192="Banking &amp; Financial Services",D192="Banking &amp; Wealth Management",D192="Cloud Software",D192="Enterprise Software",D192="Financial Services",D192="Information Technology Consulting",D192="Investment Banking",D192="Social Media &amp; Technology",D192="Software &amp; Cloud Computing",D192="Technology &amp; Consulting",D192="Technology &amp; Internet Services",D192="Technology &amp; Software"),1,
TRUE,"Unmapped"
)</f>
        <v>1</v>
      </c>
      <c r="H192" s="5">
        <f>'BIS + EDBA Final'!B227</f>
        <v>2</v>
      </c>
      <c r="I192" s="5">
        <f>VLOOKUP(B192,'BIS + EDBA Final'!A:F,6,FALSE)</f>
        <v>-1</v>
      </c>
      <c r="J192" s="5">
        <f>VLOOKUP(B192,'CBG Final'!A:B,2,FALSE)</f>
        <v>3</v>
      </c>
      <c r="K192" s="9">
        <f t="shared" si="2"/>
        <v>1.1000000000000001</v>
      </c>
      <c r="L192" s="5" t="s">
        <v>603</v>
      </c>
      <c r="M192" s="5" t="s">
        <v>556</v>
      </c>
      <c r="N192" s="5" t="s">
        <v>604</v>
      </c>
      <c r="O192" s="5" t="s">
        <v>605</v>
      </c>
      <c r="P192" s="5" t="s">
        <v>606</v>
      </c>
      <c r="Q192" s="5" t="s">
        <v>607</v>
      </c>
      <c r="R192" s="5" t="s">
        <v>169</v>
      </c>
      <c r="S192" s="10"/>
      <c r="T192" s="11"/>
      <c r="U192" s="11"/>
      <c r="V192" s="10"/>
      <c r="W192" s="10"/>
      <c r="X192" s="10"/>
      <c r="Y192" s="10"/>
      <c r="Z192" s="10"/>
      <c r="AA192" s="10"/>
      <c r="AB192" s="10"/>
      <c r="AC192" s="10"/>
      <c r="AD192" s="10"/>
      <c r="AE192" s="10"/>
      <c r="AF192" s="10"/>
      <c r="AG192" s="10"/>
      <c r="AH192" s="10"/>
    </row>
    <row r="193" spans="1:34" ht="15.75" customHeight="1">
      <c r="A193" s="5"/>
      <c r="B193" s="5" t="s">
        <v>669</v>
      </c>
      <c r="C193" s="6" t="s">
        <v>36</v>
      </c>
      <c r="D193" s="7" t="s">
        <v>496</v>
      </c>
      <c r="E193" s="8">
        <v>52600</v>
      </c>
      <c r="F193" s="6" cm="1">
        <f t="array" ref="F193">_xlfn.IFS(
E193&lt;=$E$245,0,
E193&lt;=$E$246,1,
E193&lt;=$E$247,2,
E193&gt;=$E$247,3)</f>
        <v>0</v>
      </c>
      <c r="G193" s="7" cm="1">
        <f t="array" ref="G193">_xlfn.IFS(
OR(D193="Aerospace",D193="Aerospace &amp; Defense",D193="Agricultural Equipment",D193="Airlines",D193="Automotive",D193="Automotive &amp; Energy",D193="Automotive Components",D193="Aviation",D193="Building Materials",D193="Chemicals",D193="Commercial Vehicles",D193="Conglomerate &amp; Defense",D193="Conglomerate &amp; Energy",D193="Construction",D193="Construction &amp; Infrastructure",D193="Construction &amp; Real Estate",D193="Construction &amp; Telecom",D193="Discount Retail",D193="Energy Management",D193="Energy Technology",D193="Engines &amp; Power Systems",D193="Environmental Services",D193="Food Distribution",D193="Food Services",D193="Grocery Retail",D193="Healthcare &amp; Pharmacy",D193="Home Improvement Retail",D193="Industrial Engineering &amp; Electronics",D193="Oilfield Services",D193="Pharmaceuticals",D193="Pharmaceuticals &amp; Chemicals",D193="Pharmaceuticals &amp; Healthcare",D193="Pharmacy Retail",D193="Postal &amp; Logistics",D193="Retail",D193="Retail &amp; Distribution",D193="Retail &amp; Grocery",D193="Retail (IKEA)",D193="Tobacco",D193="Trading &amp; Conglomerate",D193="Utilities",D193="Utilities &amp; Energy",D193="Wholesale Retail"),2,
OR(D193="Agribusiness",D193="Automotive &amp; Heavy Vehicles",D193="Chemicals",D193="Commercial Vehicles",D193="Construction",D193="Construction &amp; Infrastructure",D193="Engines &amp; Power Systems",D193="Food Processing",D193="Healthcare",D193="Healthcare &amp; Medical Devices",D193="Heavy Equipment",D193="Heavy Industry",D193="Industrial Gases",D193="Industrial Manufacturing",D193="Logistics",D193="Medical Devices",D193="Mining",D193="Mining &amp; Commodities Trading",D193="Oil &amp; Gas",D193="Oilfield Services",D193="Rail Transport",D193="Shipping &amp; Logistics",D193="Steel"),3,
OR(D193="Apparel &amp; Footwear",D193="Beverage",D193="Coffeehouse &amp; Retail",D193="Conglomerate",D193="Consumer Goods",D193="Convenience Retail",D193="Electronics",D193="Electronics &amp; Semiconductors",D193="Electronics Retail",D193="Fashion Retail",D193="Food &amp; Beverage",D193="Food Retail &amp; Consumer Goods",D193="Industrial &amp; Technology",D193="Industrial Automation",D193="Industrial Technology",D193="Postal &amp; Financial Services",D193="Postal Services",D193="Scientific Instruments",D193="Technology Hardware",D193="Trading Company",D193="IT Consulting"),1,
OR(D193="Cosmetics",D193="E-commerce &amp; Cloud Computing",D193="Electronics &amp; Entertainment",D193="Entertainment &amp; Media",D193="Luxury Goods",D193="Media &amp; Telecommunications",D193="Networking Technology",D193="Real Estate Services",D193="Technology &amp; Consumer Electronics",D193="Telecommunications",D193="Telecommunications &amp; Investment"),1,
OR(D193="Asset Management",D193="Banking",D193="Banking &amp; Asset Services",D193="Banking &amp; Financial Services",D193="Banking &amp; Wealth Management",D193="Cloud Software",D193="Enterprise Software",D193="Financial Services",D193="Information Technology Consulting",D193="Investment Banking",D193="Social Media &amp; Technology",D193="Software &amp; Cloud Computing",D193="Technology &amp; Consulting",D193="Technology &amp; Internet Services",D193="Technology &amp; Software"),1,
TRUE,"Unmapped"
)</f>
        <v>1</v>
      </c>
      <c r="H193" s="5">
        <f>'BIS + EDBA Final'!B230</f>
        <v>3</v>
      </c>
      <c r="I193" s="5">
        <f>VLOOKUP(B193,'BIS + EDBA Final'!A:F,6,FALSE)</f>
        <v>1</v>
      </c>
      <c r="J193" s="5">
        <f>VLOOKUP(B193,'CBG Final'!A:B,2,FALSE)</f>
        <v>1</v>
      </c>
      <c r="K193" s="9">
        <f t="shared" si="2"/>
        <v>1.1000000000000001</v>
      </c>
      <c r="L193" s="5" t="s">
        <v>670</v>
      </c>
      <c r="M193" s="5" t="s">
        <v>271</v>
      </c>
      <c r="N193" s="5" t="s">
        <v>671</v>
      </c>
      <c r="O193" s="5" t="s">
        <v>672</v>
      </c>
      <c r="P193" s="5" t="s">
        <v>673</v>
      </c>
      <c r="Q193" s="5" t="s">
        <v>674</v>
      </c>
      <c r="R193" s="5" t="s">
        <v>431</v>
      </c>
      <c r="S193" s="10"/>
      <c r="T193" s="11"/>
      <c r="U193" s="11"/>
      <c r="V193" s="10"/>
      <c r="W193" s="10"/>
      <c r="X193" s="10"/>
      <c r="Y193" s="10"/>
      <c r="Z193" s="10"/>
      <c r="AA193" s="10"/>
      <c r="AB193" s="10"/>
      <c r="AC193" s="10"/>
      <c r="AD193" s="10"/>
      <c r="AE193" s="10"/>
      <c r="AF193" s="10"/>
      <c r="AG193" s="10"/>
      <c r="AH193" s="10"/>
    </row>
    <row r="194" spans="1:34" ht="15.75" customHeight="1">
      <c r="A194" s="5"/>
      <c r="B194" s="5" t="s">
        <v>186</v>
      </c>
      <c r="C194" s="6" t="s">
        <v>36</v>
      </c>
      <c r="D194" s="7" t="s">
        <v>187</v>
      </c>
      <c r="E194" s="8">
        <v>74067</v>
      </c>
      <c r="F194" s="6" cm="1">
        <f t="array" ref="F194">_xlfn.IFS(
E194&lt;=$E$245,0,
E194&lt;=$E$246,1,
E194&lt;=$E$247,2,
E194&gt;=$E$247,3)</f>
        <v>0</v>
      </c>
      <c r="G194" s="7" cm="1">
        <f t="array" ref="G194">_xlfn.IFS(
OR(D194="Aerospace",D194="Aerospace &amp; Defense",D194="Agricultural Equipment",D194="Airlines",D194="Automotive",D194="Automotive &amp; Energy",D194="Automotive Components",D194="Aviation",D194="Building Materials",D194="Chemicals",D194="Commercial Vehicles",D194="Conglomerate &amp; Defense",D194="Conglomerate &amp; Energy",D194="Construction",D194="Construction &amp; Infrastructure",D194="Construction &amp; Real Estate",D194="Construction &amp; Telecom",D194="Discount Retail",D194="Energy Management",D194="Energy Technology",D194="Engines &amp; Power Systems",D194="Environmental Services",D194="Food Distribution",D194="Food Services",D194="Grocery Retail",D194="Healthcare &amp; Pharmacy",D194="Home Improvement Retail",D194="Industrial Engineering &amp; Electronics",D194="Oilfield Services",D194="Pharmaceuticals",D194="Pharmaceuticals &amp; Chemicals",D194="Pharmaceuticals &amp; Healthcare",D194="Pharmacy Retail",D194="Postal &amp; Logistics",D194="Retail",D194="Retail &amp; Distribution",D194="Retail &amp; Grocery",D194="Retail (IKEA)",D194="Tobacco",D194="Trading &amp; Conglomerate",D194="Utilities",D194="Utilities &amp; Energy",D194="Wholesale Retail"),2,
OR(D194="Agribusiness",D194="Automotive &amp; Heavy Vehicles",D194="Chemicals",D194="Commercial Vehicles",D194="Construction",D194="Construction &amp; Infrastructure",D194="Engines &amp; Power Systems",D194="Food Processing",D194="Healthcare",D194="Healthcare &amp; Medical Devices",D194="Heavy Equipment",D194="Heavy Industry",D194="Industrial Gases",D194="Industrial Manufacturing",D194="Logistics",D194="Medical Devices",D194="Mining",D194="Mining &amp; Commodities Trading",D194="Oil &amp; Gas",D194="Oilfield Services",D194="Rail Transport",D194="Shipping &amp; Logistics",D194="Steel"),3,
OR(D194="Apparel &amp; Footwear",D194="Beverage",D194="Coffeehouse &amp; Retail",D194="Conglomerate",D194="Consumer Goods",D194="Convenience Retail",D194="Electronics",D194="Electronics &amp; Semiconductors",D194="Electronics Retail",D194="Fashion Retail",D194="Food &amp; Beverage",D194="Food Retail &amp; Consumer Goods",D194="Industrial &amp; Technology",D194="Industrial Automation",D194="Industrial Technology",D194="Postal &amp; Financial Services",D194="Postal Services",D194="Scientific Instruments",D194="Technology Hardware",D194="Trading Company",D194="IT Consulting"),1,
OR(D194="Cosmetics",D194="E-commerce &amp; Cloud Computing",D194="Electronics &amp; Entertainment",D194="Entertainment &amp; Media",D194="Luxury Goods",D194="Media &amp; Telecommunications",D194="Networking Technology",D194="Real Estate Services",D194="Technology &amp; Consumer Electronics",D194="Telecommunications",D194="Telecommunications &amp; Investment"),1,
OR(D194="Asset Management",D194="Banking",D194="Banking &amp; Asset Services",D194="Banking &amp; Financial Services",D194="Banking &amp; Wealth Management",D194="Cloud Software",D194="Enterprise Software",D194="Financial Services",D194="Information Technology Consulting",D194="Investment Banking",D194="Social Media &amp; Technology",D194="Software &amp; Cloud Computing",D194="Technology &amp; Consulting",D194="Technology &amp; Internet Services",D194="Technology &amp; Software"),1,
TRUE,"Unmapped"
)</f>
        <v>1</v>
      </c>
      <c r="H194" s="5">
        <f>'BIS + EDBA Final'!B231</f>
        <v>2</v>
      </c>
      <c r="I194" s="5">
        <f>VLOOKUP(B194,'BIS + EDBA Final'!A:F,6,FALSE)</f>
        <v>-1</v>
      </c>
      <c r="J194" s="5">
        <f>VLOOKUP(B194,'CBG Final'!A:B,2,FALSE)</f>
        <v>3</v>
      </c>
      <c r="K194" s="9">
        <f t="shared" ref="K194:K257" si="3">0.3*F194+0.2*G194+0.2*H194+I194*0.1+J194*0.2</f>
        <v>1.1000000000000001</v>
      </c>
      <c r="L194" s="5" t="s">
        <v>1120</v>
      </c>
      <c r="M194" s="5" t="s">
        <v>1121</v>
      </c>
      <c r="N194" s="5" t="s">
        <v>1122</v>
      </c>
      <c r="O194" s="5" t="s">
        <v>1123</v>
      </c>
      <c r="P194" s="5" t="s">
        <v>1124</v>
      </c>
      <c r="Q194" s="5" t="s">
        <v>34</v>
      </c>
      <c r="R194" s="5" t="s">
        <v>46</v>
      </c>
      <c r="S194" s="10"/>
      <c r="T194" s="11"/>
      <c r="U194" s="11"/>
      <c r="V194" s="10"/>
      <c r="W194" s="10"/>
      <c r="X194" s="11"/>
      <c r="Y194" s="11"/>
      <c r="Z194" s="10"/>
      <c r="AA194" s="10"/>
      <c r="AB194" s="10"/>
      <c r="AC194" s="10"/>
      <c r="AD194" s="10"/>
      <c r="AE194" s="10"/>
      <c r="AF194" s="10"/>
      <c r="AG194" s="10"/>
      <c r="AH194" s="10"/>
    </row>
    <row r="195" spans="1:34" ht="15.75" customHeight="1">
      <c r="A195" s="5"/>
      <c r="B195" s="5" t="s">
        <v>372</v>
      </c>
      <c r="C195" s="6" t="s">
        <v>182</v>
      </c>
      <c r="D195" s="7" t="s">
        <v>23</v>
      </c>
      <c r="E195" s="8">
        <v>108301</v>
      </c>
      <c r="F195" s="6" cm="1">
        <f t="array" ref="F195">_xlfn.IFS(
E195&lt;=$E$245,0,
E195&lt;=$E$246,1,
E195&lt;=$E$247,2,
E195&gt;=$E$247,3)</f>
        <v>1</v>
      </c>
      <c r="G195" s="7" cm="1">
        <f t="array" ref="G195">_xlfn.IFS(
OR(D195="Aerospace",D195="Aerospace &amp; Defense",D195="Agricultural Equipment",D195="Airlines",D195="Automotive",D195="Automotive &amp; Energy",D195="Automotive Components",D195="Aviation",D195="Building Materials",D195="Chemicals",D195="Commercial Vehicles",D195="Conglomerate &amp; Defense",D195="Conglomerate &amp; Energy",D195="Construction",D195="Construction &amp; Infrastructure",D195="Construction &amp; Real Estate",D195="Construction &amp; Telecom",D195="Discount Retail",D195="Energy Management",D195="Energy Technology",D195="Engines &amp; Power Systems",D195="Environmental Services",D195="Food Distribution",D195="Food Services",D195="Grocery Retail",D195="Healthcare &amp; Pharmacy",D195="Home Improvement Retail",D195="Industrial Engineering &amp; Electronics",D195="Oilfield Services",D195="Pharmaceuticals",D195="Pharmaceuticals &amp; Chemicals",D195="Pharmaceuticals &amp; Healthcare",D195="Pharmacy Retail",D195="Postal &amp; Logistics",D195="Retail",D195="Retail &amp; Distribution",D195="Retail &amp; Grocery",D195="Retail (IKEA)",D195="Tobacco",D195="Trading &amp; Conglomerate",D195="Utilities",D195="Utilities &amp; Energy",D195="Wholesale Retail"),2,
OR(D195="Agribusiness",D195="Automotive &amp; Heavy Vehicles",D195="Chemicals",D195="Commercial Vehicles",D195="Construction",D195="Construction &amp; Infrastructure",D195="Engines &amp; Power Systems",D195="Food Processing",D195="Healthcare",D195="Healthcare &amp; Medical Devices",D195="Heavy Equipment",D195="Heavy Industry",D195="Industrial Gases",D195="Industrial Manufacturing",D195="Logistics",D195="Medical Devices",D195="Mining",D195="Mining &amp; Commodities Trading",D195="Oil &amp; Gas",D195="Oilfield Services",D195="Rail Transport",D195="Shipping &amp; Logistics",D195="Steel"),3,
OR(D195="Apparel &amp; Footwear",D195="Beverage",D195="Coffeehouse &amp; Retail",D195="Conglomerate",D195="Consumer Goods",D195="Convenience Retail",D195="Electronics",D195="Electronics &amp; Semiconductors",D195="Electronics Retail",D195="Fashion Retail",D195="Food &amp; Beverage",D195="Food Retail &amp; Consumer Goods",D195="Industrial &amp; Technology",D195="Industrial Automation",D195="Industrial Technology",D195="Postal &amp; Financial Services",D195="Postal Services",D195="Scientific Instruments",D195="Technology Hardware",D195="Trading Company",D195="IT Consulting"),1,
OR(D195="Cosmetics",D195="E-commerce &amp; Cloud Computing",D195="Electronics &amp; Entertainment",D195="Entertainment &amp; Media",D195="Luxury Goods",D195="Media &amp; Telecommunications",D195="Networking Technology",D195="Real Estate Services",D195="Technology &amp; Consumer Electronics",D195="Telecommunications",D195="Telecommunications &amp; Investment"),1,
OR(D195="Asset Management",D195="Banking",D195="Banking &amp; Asset Services",D195="Banking &amp; Financial Services",D195="Banking &amp; Wealth Management",D195="Cloud Software",D195="Enterprise Software",D195="Financial Services",D195="Information Technology Consulting",D195="Investment Banking",D195="Social Media &amp; Technology",D195="Software &amp; Cloud Computing",D195="Technology &amp; Consulting",D195="Technology &amp; Internet Services",D195="Technology &amp; Software"),1,
TRUE,"Unmapped"
)</f>
        <v>2</v>
      </c>
      <c r="H195" s="5">
        <v>1</v>
      </c>
      <c r="I195" s="5">
        <f>VLOOKUP(B195,'BIS + EDBA Final'!A:F,6,FALSE)</f>
        <v>0</v>
      </c>
      <c r="J195" s="5">
        <f>VLOOKUP(B195,'CBG Final'!A:B,2,FALSE)</f>
        <v>1</v>
      </c>
      <c r="K195" s="9">
        <f t="shared" si="3"/>
        <v>1.0999999999999999</v>
      </c>
      <c r="L195" s="5" t="s">
        <v>1309</v>
      </c>
      <c r="M195" s="5" t="s">
        <v>1310</v>
      </c>
      <c r="N195" s="5" t="s">
        <v>1311</v>
      </c>
      <c r="O195" s="5"/>
      <c r="P195" s="5" t="s">
        <v>1312</v>
      </c>
      <c r="Q195" s="5" t="s">
        <v>683</v>
      </c>
      <c r="R195" s="5" t="s">
        <v>261</v>
      </c>
      <c r="S195" s="10"/>
      <c r="T195" s="11"/>
      <c r="U195" s="11"/>
      <c r="V195" s="10"/>
      <c r="W195" s="10"/>
      <c r="X195" s="11"/>
      <c r="Y195" s="11"/>
      <c r="Z195" s="10"/>
      <c r="AA195" s="10"/>
      <c r="AB195" s="10"/>
      <c r="AC195" s="10"/>
      <c r="AD195" s="10"/>
      <c r="AE195" s="10"/>
      <c r="AF195" s="10"/>
      <c r="AG195" s="10"/>
      <c r="AH195" s="10"/>
    </row>
    <row r="196" spans="1:34" ht="15.75" customHeight="1">
      <c r="A196" s="5"/>
      <c r="B196" s="5" t="s">
        <v>1107</v>
      </c>
      <c r="C196" s="6" t="s">
        <v>159</v>
      </c>
      <c r="D196" s="7" t="s">
        <v>333</v>
      </c>
      <c r="E196" s="8">
        <v>110000</v>
      </c>
      <c r="F196" s="6" cm="1">
        <f t="array" ref="F196">_xlfn.IFS(
E196&lt;=$E$245,0,
E196&lt;=$E$246,1,
E196&lt;=$E$247,2,
E196&gt;=$E$247,3)</f>
        <v>1</v>
      </c>
      <c r="G196" s="7" cm="1">
        <f t="array" ref="G196">_xlfn.IFS(
OR(D196="Aerospace",D196="Aerospace &amp; Defense",D196="Agricultural Equipment",D196="Airlines",D196="Automotive",D196="Automotive &amp; Energy",D196="Automotive Components",D196="Aviation",D196="Building Materials",D196="Chemicals",D196="Commercial Vehicles",D196="Conglomerate &amp; Defense",D196="Conglomerate &amp; Energy",D196="Construction",D196="Construction &amp; Infrastructure",D196="Construction &amp; Real Estate",D196="Construction &amp; Telecom",D196="Discount Retail",D196="Energy Management",D196="Energy Technology",D196="Engines &amp; Power Systems",D196="Environmental Services",D196="Food Distribution",D196="Food Services",D196="Grocery Retail",D196="Healthcare &amp; Pharmacy",D196="Home Improvement Retail",D196="Industrial Engineering &amp; Electronics",D196="Oilfield Services",D196="Pharmaceuticals",D196="Pharmaceuticals &amp; Chemicals",D196="Pharmaceuticals &amp; Healthcare",D196="Pharmacy Retail",D196="Postal &amp; Logistics",D196="Retail",D196="Retail &amp; Distribution",D196="Retail &amp; Grocery",D196="Retail (IKEA)",D196="Tobacco",D196="Trading &amp; Conglomerate",D196="Utilities",D196="Utilities &amp; Energy",D196="Wholesale Retail"),2,
OR(D196="Agribusiness",D196="Automotive &amp; Heavy Vehicles",D196="Chemicals",D196="Commercial Vehicles",D196="Construction",D196="Construction &amp; Infrastructure",D196="Engines &amp; Power Systems",D196="Food Processing",D196="Healthcare",D196="Healthcare &amp; Medical Devices",D196="Heavy Equipment",D196="Heavy Industry",D196="Industrial Gases",D196="Industrial Manufacturing",D196="Logistics",D196="Medical Devices",D196="Mining",D196="Mining &amp; Commodities Trading",D196="Oil &amp; Gas",D196="Oilfield Services",D196="Rail Transport",D196="Shipping &amp; Logistics",D196="Steel"),3,
OR(D196="Apparel &amp; Footwear",D196="Beverage",D196="Coffeehouse &amp; Retail",D196="Conglomerate",D196="Consumer Goods",D196="Convenience Retail",D196="Electronics",D196="Electronics &amp; Semiconductors",D196="Electronics Retail",D196="Fashion Retail",D196="Food &amp; Beverage",D196="Food Retail &amp; Consumer Goods",D196="Industrial &amp; Technology",D196="Industrial Automation",D196="Industrial Technology",D196="Postal &amp; Financial Services",D196="Postal Services",D196="Scientific Instruments",D196="Technology Hardware",D196="Trading Company",D196="IT Consulting"),1,
OR(D196="Cosmetics",D196="E-commerce &amp; Cloud Computing",D196="Electronics &amp; Entertainment",D196="Entertainment &amp; Media",D196="Luxury Goods",D196="Media &amp; Telecommunications",D196="Networking Technology",D196="Real Estate Services",D196="Technology &amp; Consumer Electronics",D196="Telecommunications",D196="Telecommunications &amp; Investment"),1,
OR(D196="Asset Management",D196="Banking",D196="Banking &amp; Asset Services",D196="Banking &amp; Financial Services",D196="Banking &amp; Wealth Management",D196="Cloud Software",D196="Enterprise Software",D196="Financial Services",D196="Information Technology Consulting",D196="Investment Banking",D196="Social Media &amp; Technology",D196="Software &amp; Cloud Computing",D196="Technology &amp; Consulting",D196="Technology &amp; Internet Services",D196="Technology &amp; Software"),1,
TRUE,"Unmapped"
)</f>
        <v>2</v>
      </c>
      <c r="H196" s="5">
        <v>1</v>
      </c>
      <c r="I196" s="5">
        <f>VLOOKUP(B196,'BIS + EDBA Final'!A:F,6,FALSE)</f>
        <v>0</v>
      </c>
      <c r="J196" s="5">
        <f>VLOOKUP(B196,'CBG Final'!A:B,2,FALSE)</f>
        <v>1</v>
      </c>
      <c r="K196" s="9">
        <f t="shared" si="3"/>
        <v>1.0999999999999999</v>
      </c>
      <c r="L196" s="5" t="s">
        <v>1108</v>
      </c>
      <c r="M196" s="5" t="s">
        <v>1109</v>
      </c>
      <c r="N196" s="5" t="s">
        <v>1110</v>
      </c>
      <c r="O196" s="5" t="s">
        <v>1111</v>
      </c>
      <c r="P196" s="5" t="s">
        <v>1112</v>
      </c>
      <c r="Q196" s="5" t="s">
        <v>145</v>
      </c>
      <c r="R196" s="5" t="s">
        <v>232</v>
      </c>
      <c r="S196" s="10"/>
      <c r="T196" s="11"/>
      <c r="U196" s="11"/>
      <c r="V196" s="10"/>
      <c r="W196" s="10"/>
      <c r="X196" s="10"/>
      <c r="Y196" s="10"/>
      <c r="Z196" s="10"/>
      <c r="AA196" s="10"/>
      <c r="AB196" s="10"/>
      <c r="AC196" s="10"/>
      <c r="AD196" s="10"/>
      <c r="AE196" s="10"/>
      <c r="AF196" s="10"/>
      <c r="AG196" s="10"/>
      <c r="AH196" s="10"/>
    </row>
    <row r="197" spans="1:34" ht="15.75" customHeight="1">
      <c r="A197" s="5"/>
      <c r="B197" s="5" t="s">
        <v>888</v>
      </c>
      <c r="C197" s="6" t="s">
        <v>36</v>
      </c>
      <c r="D197" s="7" t="s">
        <v>212</v>
      </c>
      <c r="E197" s="8">
        <v>97000</v>
      </c>
      <c r="F197" s="6" cm="1">
        <f t="array" ref="F197">_xlfn.IFS(
E197&lt;=$E$245,0,
E197&lt;=$E$246,1,
E197&lt;=$E$247,2,
E197&gt;=$E$247,3)</f>
        <v>1</v>
      </c>
      <c r="G197" s="7" cm="1">
        <f t="array" ref="G197">_xlfn.IFS(
OR(D197="Aerospace",D197="Aerospace &amp; Defense",D197="Agricultural Equipment",D197="Airlines",D197="Automotive",D197="Automotive &amp; Energy",D197="Automotive Components",D197="Aviation",D197="Building Materials",D197="Chemicals",D197="Commercial Vehicles",D197="Conglomerate &amp; Defense",D197="Conglomerate &amp; Energy",D197="Construction",D197="Construction &amp; Infrastructure",D197="Construction &amp; Real Estate",D197="Construction &amp; Telecom",D197="Discount Retail",D197="Energy Management",D197="Energy Technology",D197="Engines &amp; Power Systems",D197="Environmental Services",D197="Food Distribution",D197="Food Services",D197="Grocery Retail",D197="Healthcare &amp; Pharmacy",D197="Home Improvement Retail",D197="Industrial Engineering &amp; Electronics",D197="Oilfield Services",D197="Pharmaceuticals",D197="Pharmaceuticals &amp; Chemicals",D197="Pharmaceuticals &amp; Healthcare",D197="Pharmacy Retail",D197="Postal &amp; Logistics",D197="Retail",D197="Retail &amp; Distribution",D197="Retail &amp; Grocery",D197="Retail (IKEA)",D197="Tobacco",D197="Trading &amp; Conglomerate",D197="Utilities",D197="Utilities &amp; Energy",D197="Wholesale Retail"),2,
OR(D197="Agribusiness",D197="Automotive &amp; Heavy Vehicles",D197="Chemicals",D197="Commercial Vehicles",D197="Construction",D197="Construction &amp; Infrastructure",D197="Engines &amp; Power Systems",D197="Food Processing",D197="Healthcare",D197="Healthcare &amp; Medical Devices",D197="Heavy Equipment",D197="Heavy Industry",D197="Industrial Gases",D197="Industrial Manufacturing",D197="Logistics",D197="Medical Devices",D197="Mining",D197="Mining &amp; Commodities Trading",D197="Oil &amp; Gas",D197="Oilfield Services",D197="Rail Transport",D197="Shipping &amp; Logistics",D197="Steel"),3,
OR(D197="Apparel &amp; Footwear",D197="Beverage",D197="Coffeehouse &amp; Retail",D197="Conglomerate",D197="Consumer Goods",D197="Convenience Retail",D197="Electronics",D197="Electronics &amp; Semiconductors",D197="Electronics Retail",D197="Fashion Retail",D197="Food &amp; Beverage",D197="Food Retail &amp; Consumer Goods",D197="Industrial &amp; Technology",D197="Industrial Automation",D197="Industrial Technology",D197="Postal &amp; Financial Services",D197="Postal Services",D197="Scientific Instruments",D197="Technology Hardware",D197="Trading Company",D197="IT Consulting"),1,
OR(D197="Cosmetics",D197="E-commerce &amp; Cloud Computing",D197="Electronics &amp; Entertainment",D197="Entertainment &amp; Media",D197="Luxury Goods",D197="Media &amp; Telecommunications",D197="Networking Technology",D197="Real Estate Services",D197="Technology &amp; Consumer Electronics",D197="Telecommunications",D197="Telecommunications &amp; Investment"),1,
OR(D197="Asset Management",D197="Banking",D197="Banking &amp; Asset Services",D197="Banking &amp; Financial Services",D197="Banking &amp; Wealth Management",D197="Cloud Software",D197="Enterprise Software",D197="Financial Services",D197="Information Technology Consulting",D197="Investment Banking",D197="Social Media &amp; Technology",D197="Software &amp; Cloud Computing",D197="Technology &amp; Consulting",D197="Technology &amp; Internet Services",D197="Technology &amp; Software"),1,
TRUE,"Unmapped"
)</f>
        <v>2</v>
      </c>
      <c r="H197" s="5">
        <v>1</v>
      </c>
      <c r="I197" s="5">
        <f>VLOOKUP(B197,'BIS + EDBA Final'!A:F,6,FALSE)</f>
        <v>0</v>
      </c>
      <c r="J197" s="5">
        <f>VLOOKUP(B197,'CBG Final'!A:B,2,FALSE)</f>
        <v>1</v>
      </c>
      <c r="K197" s="9">
        <f t="shared" si="3"/>
        <v>1.0999999999999999</v>
      </c>
      <c r="L197" s="5" t="s">
        <v>1179</v>
      </c>
      <c r="M197" s="5" t="s">
        <v>681</v>
      </c>
      <c r="N197" s="5" t="s">
        <v>1180</v>
      </c>
      <c r="O197" s="5" t="s">
        <v>1181</v>
      </c>
      <c r="P197" s="5" t="s">
        <v>1182</v>
      </c>
      <c r="Q197" s="5" t="s">
        <v>169</v>
      </c>
      <c r="R197" s="5" t="s">
        <v>118</v>
      </c>
      <c r="S197" s="10"/>
      <c r="T197" s="11"/>
      <c r="U197" s="11"/>
      <c r="V197" s="10"/>
      <c r="W197" s="10"/>
      <c r="X197" s="10"/>
      <c r="Y197" s="10"/>
      <c r="Z197" s="10"/>
      <c r="AA197" s="10"/>
      <c r="AB197" s="10"/>
      <c r="AC197" s="10"/>
      <c r="AD197" s="10"/>
      <c r="AE197" s="10"/>
      <c r="AF197" s="10"/>
      <c r="AG197" s="10"/>
      <c r="AH197" s="10"/>
    </row>
    <row r="198" spans="1:34" ht="15.75" customHeight="1">
      <c r="A198" s="5"/>
      <c r="B198" s="5" t="s">
        <v>754</v>
      </c>
      <c r="C198" s="6" t="s">
        <v>12</v>
      </c>
      <c r="D198" s="7" t="s">
        <v>63</v>
      </c>
      <c r="E198" s="8">
        <v>83959</v>
      </c>
      <c r="F198" s="6" cm="1">
        <f t="array" ref="F198">_xlfn.IFS(
E198&lt;=$E$245,0,
E198&lt;=$E$246,1,
E198&lt;=$E$247,2,
E198&gt;=$E$247,3)</f>
        <v>1</v>
      </c>
      <c r="G198" s="7" cm="1">
        <f t="array" ref="G198">_xlfn.IFS(
OR(D198="Aerospace",D198="Aerospace &amp; Defense",D198="Agricultural Equipment",D198="Airlines",D198="Automotive",D198="Automotive &amp; Energy",D198="Automotive Components",D198="Aviation",D198="Building Materials",D198="Chemicals",D198="Commercial Vehicles",D198="Conglomerate &amp; Defense",D198="Conglomerate &amp; Energy",D198="Construction",D198="Construction &amp; Infrastructure",D198="Construction &amp; Real Estate",D198="Construction &amp; Telecom",D198="Discount Retail",D198="Energy Management",D198="Energy Technology",D198="Engines &amp; Power Systems",D198="Environmental Services",D198="Food Distribution",D198="Food Services",D198="Grocery Retail",D198="Healthcare &amp; Pharmacy",D198="Home Improvement Retail",D198="Industrial Engineering &amp; Electronics",D198="Oilfield Services",D198="Pharmaceuticals",D198="Pharmaceuticals &amp; Chemicals",D198="Pharmaceuticals &amp; Healthcare",D198="Pharmacy Retail",D198="Postal &amp; Logistics",D198="Retail",D198="Retail &amp; Distribution",D198="Retail &amp; Grocery",D198="Retail (IKEA)",D198="Tobacco",D198="Trading &amp; Conglomerate",D198="Utilities",D198="Utilities &amp; Energy",D198="Wholesale Retail"),2,
OR(D198="Agribusiness",D198="Automotive &amp; Heavy Vehicles",D198="Chemicals",D198="Commercial Vehicles",D198="Construction",D198="Construction &amp; Infrastructure",D198="Engines &amp; Power Systems",D198="Food Processing",D198="Healthcare",D198="Healthcare &amp; Medical Devices",D198="Heavy Equipment",D198="Heavy Industry",D198="Industrial Gases",D198="Industrial Manufacturing",D198="Logistics",D198="Medical Devices",D198="Mining",D198="Mining &amp; Commodities Trading",D198="Oil &amp; Gas",D198="Oilfield Services",D198="Rail Transport",D198="Shipping &amp; Logistics",D198="Steel"),3,
OR(D198="Apparel &amp; Footwear",D198="Beverage",D198="Coffeehouse &amp; Retail",D198="Conglomerate",D198="Consumer Goods",D198="Convenience Retail",D198="Electronics",D198="Electronics &amp; Semiconductors",D198="Electronics Retail",D198="Fashion Retail",D198="Food &amp; Beverage",D198="Food Retail &amp; Consumer Goods",D198="Industrial &amp; Technology",D198="Industrial Automation",D198="Industrial Technology",D198="Postal &amp; Financial Services",D198="Postal Services",D198="Scientific Instruments",D198="Technology Hardware",D198="Trading Company",D198="IT Consulting"),1,
OR(D198="Cosmetics",D198="E-commerce &amp; Cloud Computing",D198="Electronics &amp; Entertainment",D198="Entertainment &amp; Media",D198="Luxury Goods",D198="Media &amp; Telecommunications",D198="Networking Technology",D198="Real Estate Services",D198="Technology &amp; Consumer Electronics",D198="Telecommunications",D198="Telecommunications &amp; Investment"),1,
OR(D198="Asset Management",D198="Banking",D198="Banking &amp; Asset Services",D198="Banking &amp; Financial Services",D198="Banking &amp; Wealth Management",D198="Cloud Software",D198="Enterprise Software",D198="Financial Services",D198="Information Technology Consulting",D198="Investment Banking",D198="Social Media &amp; Technology",D198="Software &amp; Cloud Computing",D198="Technology &amp; Consulting",D198="Technology &amp; Internet Services",D198="Technology &amp; Software"),1,
TRUE,"Unmapped"
)</f>
        <v>2</v>
      </c>
      <c r="H198" s="5">
        <v>1</v>
      </c>
      <c r="I198" s="5">
        <f>VLOOKUP(B198,'BIS + EDBA Final'!A:F,6,FALSE)</f>
        <v>0</v>
      </c>
      <c r="J198" s="5">
        <f>VLOOKUP(B198,'CBG Final'!A:B,2,FALSE)</f>
        <v>1</v>
      </c>
      <c r="K198" s="9">
        <f t="shared" si="3"/>
        <v>1.0999999999999999</v>
      </c>
      <c r="L198" s="5" t="s">
        <v>755</v>
      </c>
      <c r="M198" s="5" t="s">
        <v>188</v>
      </c>
      <c r="N198" s="5" t="s">
        <v>756</v>
      </c>
      <c r="O198" s="5" t="s">
        <v>612</v>
      </c>
      <c r="P198" s="5" t="s">
        <v>757</v>
      </c>
      <c r="Q198" s="5" t="s">
        <v>33</v>
      </c>
      <c r="R198" s="5" t="s">
        <v>258</v>
      </c>
      <c r="S198" s="10"/>
      <c r="T198" s="11"/>
      <c r="U198" s="11"/>
      <c r="V198" s="10"/>
      <c r="W198" s="10"/>
      <c r="X198" s="10"/>
      <c r="Y198" s="10"/>
      <c r="Z198" s="10"/>
      <c r="AA198" s="10"/>
      <c r="AB198" s="10"/>
      <c r="AC198" s="10"/>
      <c r="AD198" s="10"/>
      <c r="AE198" s="10"/>
      <c r="AF198" s="10"/>
      <c r="AG198" s="10"/>
      <c r="AH198" s="10"/>
    </row>
    <row r="199" spans="1:34" ht="15.75" customHeight="1">
      <c r="A199" s="5"/>
      <c r="B199" s="5" t="s">
        <v>172</v>
      </c>
      <c r="C199" s="6" t="s">
        <v>39</v>
      </c>
      <c r="D199" s="7" t="s">
        <v>173</v>
      </c>
      <c r="E199" s="8">
        <v>80730</v>
      </c>
      <c r="F199" s="6" cm="1">
        <f t="array" ref="F199">_xlfn.IFS(
E199&lt;=$E$245,0,
E199&lt;=$E$246,1,
E199&lt;=$E$247,2,
E199&gt;=$E$247,3)</f>
        <v>0</v>
      </c>
      <c r="G199" s="7" cm="1">
        <f t="array" ref="G199">_xlfn.IFS(
OR(D199="Aerospace",D199="Aerospace &amp; Defense",D199="Agricultural Equipment",D199="Airlines",D199="Automotive",D199="Automotive &amp; Energy",D199="Automotive Components",D199="Aviation",D199="Building Materials",D199="Chemicals",D199="Commercial Vehicles",D199="Conglomerate &amp; Defense",D199="Conglomerate &amp; Energy",D199="Construction",D199="Construction &amp; Infrastructure",D199="Construction &amp; Real Estate",D199="Construction &amp; Telecom",D199="Discount Retail",D199="Energy Management",D199="Energy Technology",D199="Engines &amp; Power Systems",D199="Environmental Services",D199="Food Distribution",D199="Food Services",D199="Grocery Retail",D199="Healthcare &amp; Pharmacy",D199="Home Improvement Retail",D199="Industrial Engineering &amp; Electronics",D199="Oilfield Services",D199="Pharmaceuticals",D199="Pharmaceuticals &amp; Chemicals",D199="Pharmaceuticals &amp; Healthcare",D199="Pharmacy Retail",D199="Postal &amp; Logistics",D199="Retail",D199="Retail &amp; Distribution",D199="Retail &amp; Grocery",D199="Retail (IKEA)",D199="Tobacco",D199="Trading &amp; Conglomerate",D199="Utilities",D199="Utilities &amp; Energy",D199="Wholesale Retail"),2,
OR(D199="Agribusiness",D199="Automotive &amp; Heavy Vehicles",D199="Chemicals",D199="Commercial Vehicles",D199="Construction",D199="Construction &amp; Infrastructure",D199="Engines &amp; Power Systems",D199="Food Processing",D199="Healthcare",D199="Healthcare &amp; Medical Devices",D199="Heavy Equipment",D199="Heavy Industry",D199="Industrial Gases",D199="Industrial Manufacturing",D199="Logistics",D199="Medical Devices",D199="Mining",D199="Mining &amp; Commodities Trading",D199="Oil &amp; Gas",D199="Oilfield Services",D199="Rail Transport",D199="Shipping &amp; Logistics",D199="Steel"),3,
OR(D199="Apparel &amp; Footwear",D199="Beverage",D199="Coffeehouse &amp; Retail",D199="Conglomerate",D199="Consumer Goods",D199="Convenience Retail",D199="Electronics",D199="Electronics &amp; Semiconductors",D199="Electronics Retail",D199="Fashion Retail",D199="Food &amp; Beverage",D199="Food Retail &amp; Consumer Goods",D199="Industrial &amp; Technology",D199="Industrial Automation",D199="Industrial Technology",D199="Postal &amp; Financial Services",D199="Postal Services",D199="Scientific Instruments",D199="Technology Hardware",D199="Trading Company",D199="IT Consulting"),1,
OR(D199="Cosmetics",D199="E-commerce &amp; Cloud Computing",D199="Electronics &amp; Entertainment",D199="Entertainment &amp; Media",D199="Luxury Goods",D199="Media &amp; Telecommunications",D199="Networking Technology",D199="Real Estate Services",D199="Technology &amp; Consumer Electronics",D199="Telecommunications",D199="Telecommunications &amp; Investment"),1,
OR(D199="Asset Management",D199="Banking",D199="Banking &amp; Asset Services",D199="Banking &amp; Financial Services",D199="Banking &amp; Wealth Management",D199="Cloud Software",D199="Enterprise Software",D199="Financial Services",D199="Information Technology Consulting",D199="Investment Banking",D199="Social Media &amp; Technology",D199="Software &amp; Cloud Computing",D199="Technology &amp; Consulting",D199="Technology &amp; Internet Services",D199="Technology &amp; Software"),1,
TRUE,"Unmapped"
)</f>
        <v>2</v>
      </c>
      <c r="H199" s="5">
        <f>VLOOKUP(B199,'BIS + EDBA Final'!A:K,2,FALSE)</f>
        <v>1</v>
      </c>
      <c r="I199" s="5">
        <f>VLOOKUP(B199,'BIS + EDBA Final'!A:F,6,FALSE)</f>
        <v>0</v>
      </c>
      <c r="J199" s="5">
        <f>VLOOKUP(B199,'CBG Final'!A:B,2,FALSE)</f>
        <v>2</v>
      </c>
      <c r="K199" s="9">
        <f t="shared" si="3"/>
        <v>1</v>
      </c>
      <c r="L199" s="5" t="s">
        <v>174</v>
      </c>
      <c r="M199" s="5" t="s">
        <v>25</v>
      </c>
      <c r="N199" s="5" t="s">
        <v>175</v>
      </c>
      <c r="O199" s="5" t="s">
        <v>176</v>
      </c>
      <c r="P199" s="5" t="s">
        <v>177</v>
      </c>
      <c r="Q199" s="5" t="s">
        <v>30</v>
      </c>
      <c r="R199" s="5" t="s">
        <v>118</v>
      </c>
      <c r="S199" s="10"/>
      <c r="T199" s="11"/>
      <c r="U199" s="11"/>
      <c r="V199" s="10"/>
      <c r="W199" s="10"/>
      <c r="X199" s="10"/>
      <c r="Y199" s="10"/>
      <c r="Z199" s="10"/>
      <c r="AA199" s="10"/>
      <c r="AB199" s="10"/>
      <c r="AC199" s="10"/>
      <c r="AD199" s="10"/>
      <c r="AE199" s="10"/>
      <c r="AF199" s="10"/>
      <c r="AG199" s="10"/>
      <c r="AH199" s="10"/>
    </row>
    <row r="200" spans="1:34" ht="15.75" customHeight="1">
      <c r="A200" s="5"/>
      <c r="B200" s="5" t="s">
        <v>320</v>
      </c>
      <c r="C200" s="6" t="s">
        <v>321</v>
      </c>
      <c r="D200" s="7" t="s">
        <v>84</v>
      </c>
      <c r="E200" s="8">
        <v>67809</v>
      </c>
      <c r="F200" s="6" cm="1">
        <f t="array" ref="F200">_xlfn.IFS(
E200&lt;=$E$245,0,
E200&lt;=$E$246,1,
E200&lt;=$E$247,2,
E200&gt;=$E$247,3)</f>
        <v>0</v>
      </c>
      <c r="G200" s="7" cm="1">
        <f t="array" ref="G200">_xlfn.IFS(
OR(D200="Aerospace",D200="Aerospace &amp; Defense",D200="Agricultural Equipment",D200="Airlines",D200="Automotive",D200="Automotive &amp; Energy",D200="Automotive Components",D200="Aviation",D200="Building Materials",D200="Chemicals",D200="Commercial Vehicles",D200="Conglomerate &amp; Defense",D200="Conglomerate &amp; Energy",D200="Construction",D200="Construction &amp; Infrastructure",D200="Construction &amp; Real Estate",D200="Construction &amp; Telecom",D200="Discount Retail",D200="Energy Management",D200="Energy Technology",D200="Engines &amp; Power Systems",D200="Environmental Services",D200="Food Distribution",D200="Food Services",D200="Grocery Retail",D200="Healthcare &amp; Pharmacy",D200="Home Improvement Retail",D200="Industrial Engineering &amp; Electronics",D200="Oilfield Services",D200="Pharmaceuticals",D200="Pharmaceuticals &amp; Chemicals",D200="Pharmaceuticals &amp; Healthcare",D200="Pharmacy Retail",D200="Postal &amp; Logistics",D200="Retail",D200="Retail &amp; Distribution",D200="Retail &amp; Grocery",D200="Retail (IKEA)",D200="Tobacco",D200="Trading &amp; Conglomerate",D200="Utilities",D200="Utilities &amp; Energy",D200="Wholesale Retail"),2,
OR(D200="Agribusiness",D200="Automotive &amp; Heavy Vehicles",D200="Chemicals",D200="Commercial Vehicles",D200="Construction",D200="Construction &amp; Infrastructure",D200="Engines &amp; Power Systems",D200="Food Processing",D200="Healthcare",D200="Healthcare &amp; Medical Devices",D200="Heavy Equipment",D200="Heavy Industry",D200="Industrial Gases",D200="Industrial Manufacturing",D200="Logistics",D200="Medical Devices",D200="Mining",D200="Mining &amp; Commodities Trading",D200="Oil &amp; Gas",D200="Oilfield Services",D200="Rail Transport",D200="Shipping &amp; Logistics",D200="Steel"),3,
OR(D200="Apparel &amp; Footwear",D200="Beverage",D200="Coffeehouse &amp; Retail",D200="Conglomerate",D200="Consumer Goods",D200="Convenience Retail",D200="Electronics",D200="Electronics &amp; Semiconductors",D200="Electronics Retail",D200="Fashion Retail",D200="Food &amp; Beverage",D200="Food Retail &amp; Consumer Goods",D200="Industrial &amp; Technology",D200="Industrial Automation",D200="Industrial Technology",D200="Postal &amp; Financial Services",D200="Postal Services",D200="Scientific Instruments",D200="Technology Hardware",D200="Trading Company",D200="IT Consulting"),1,
OR(D200="Cosmetics",D200="E-commerce &amp; Cloud Computing",D200="Electronics &amp; Entertainment",D200="Entertainment &amp; Media",D200="Luxury Goods",D200="Media &amp; Telecommunications",D200="Networking Technology",D200="Real Estate Services",D200="Technology &amp; Consumer Electronics",D200="Telecommunications",D200="Telecommunications &amp; Investment"),1,
OR(D200="Asset Management",D200="Banking",D200="Banking &amp; Asset Services",D200="Banking &amp; Financial Services",D200="Banking &amp; Wealth Management",D200="Cloud Software",D200="Enterprise Software",D200="Financial Services",D200="Information Technology Consulting",D200="Investment Banking",D200="Social Media &amp; Technology",D200="Software &amp; Cloud Computing",D200="Technology &amp; Consulting",D200="Technology &amp; Internet Services",D200="Technology &amp; Software"),1,
TRUE,"Unmapped"
)</f>
        <v>3</v>
      </c>
      <c r="H200" s="5">
        <f>VLOOKUP(B200,'BIS + EDBA Final'!A:K,2,FALSE)</f>
        <v>1</v>
      </c>
      <c r="I200" s="5">
        <f>VLOOKUP(B200,'BIS + EDBA Final'!A:F,6,FALSE)</f>
        <v>0</v>
      </c>
      <c r="J200" s="5">
        <f>VLOOKUP(B200,'CBG Final'!A:B,2,FALSE)</f>
        <v>1</v>
      </c>
      <c r="K200" s="9">
        <f t="shared" si="3"/>
        <v>1</v>
      </c>
      <c r="L200" s="5" t="s">
        <v>322</v>
      </c>
      <c r="M200" s="5" t="s">
        <v>323</v>
      </c>
      <c r="N200" s="5" t="s">
        <v>324</v>
      </c>
      <c r="O200" s="5" t="s">
        <v>325</v>
      </c>
      <c r="P200" s="5" t="s">
        <v>326</v>
      </c>
      <c r="Q200" s="5" t="s">
        <v>327</v>
      </c>
      <c r="R200" s="5" t="s">
        <v>136</v>
      </c>
      <c r="S200" s="10"/>
      <c r="T200" s="11"/>
      <c r="U200" s="11"/>
      <c r="V200" s="10"/>
      <c r="W200" s="10"/>
      <c r="X200" s="11"/>
      <c r="Y200" s="11"/>
      <c r="Z200" s="10"/>
      <c r="AA200" s="10"/>
      <c r="AB200" s="10"/>
      <c r="AC200" s="10"/>
      <c r="AD200" s="10"/>
      <c r="AE200" s="10"/>
      <c r="AF200" s="10"/>
      <c r="AG200" s="10"/>
      <c r="AH200" s="10"/>
    </row>
    <row r="201" spans="1:34" ht="15.75" customHeight="1">
      <c r="A201" s="5"/>
      <c r="B201" s="5" t="s">
        <v>235</v>
      </c>
      <c r="C201" s="6" t="s">
        <v>71</v>
      </c>
      <c r="D201" s="7" t="s">
        <v>236</v>
      </c>
      <c r="E201" s="8">
        <v>76566</v>
      </c>
      <c r="F201" s="6" cm="1">
        <f t="array" ref="F201">_xlfn.IFS(
E201&lt;=$E$245,0,
E201&lt;=$E$246,1,
E201&lt;=$E$247,2,
E201&gt;=$E$247,3)</f>
        <v>0</v>
      </c>
      <c r="G201" s="7" cm="1">
        <f t="array" ref="G201">_xlfn.IFS(
OR(D201="Aerospace",D201="Aerospace &amp; Defense",D201="Agricultural Equipment",D201="Airlines",D201="Automotive",D201="Automotive &amp; Energy",D201="Automotive Components",D201="Aviation",D201="Building Materials",D201="Chemicals",D201="Commercial Vehicles",D201="Conglomerate &amp; Defense",D201="Conglomerate &amp; Energy",D201="Construction",D201="Construction &amp; Infrastructure",D201="Construction &amp; Real Estate",D201="Construction &amp; Telecom",D201="Discount Retail",D201="Energy Management",D201="Energy Technology",D201="Engines &amp; Power Systems",D201="Environmental Services",D201="Food Distribution",D201="Food Services",D201="Grocery Retail",D201="Healthcare &amp; Pharmacy",D201="Home Improvement Retail",D201="Industrial Engineering &amp; Electronics",D201="Oilfield Services",D201="Pharmaceuticals",D201="Pharmaceuticals &amp; Chemicals",D201="Pharmaceuticals &amp; Healthcare",D201="Pharmacy Retail",D201="Postal &amp; Logistics",D201="Retail",D201="Retail &amp; Distribution",D201="Retail &amp; Grocery",D201="Retail (IKEA)",D201="Tobacco",D201="Trading &amp; Conglomerate",D201="Utilities",D201="Utilities &amp; Energy",D201="Wholesale Retail"),2,
OR(D201="Agribusiness",D201="Automotive &amp; Heavy Vehicles",D201="Chemicals",D201="Commercial Vehicles",D201="Construction",D201="Construction &amp; Infrastructure",D201="Engines &amp; Power Systems",D201="Food Processing",D201="Healthcare",D201="Healthcare &amp; Medical Devices",D201="Heavy Equipment",D201="Heavy Industry",D201="Industrial Gases",D201="Industrial Manufacturing",D201="Logistics",D201="Medical Devices",D201="Mining",D201="Mining &amp; Commodities Trading",D201="Oil &amp; Gas",D201="Oilfield Services",D201="Rail Transport",D201="Shipping &amp; Logistics",D201="Steel"),3,
OR(D201="Apparel &amp; Footwear",D201="Beverage",D201="Coffeehouse &amp; Retail",D201="Conglomerate",D201="Consumer Goods",D201="Convenience Retail",D201="Electronics",D201="Electronics &amp; Semiconductors",D201="Electronics Retail",D201="Fashion Retail",D201="Food &amp; Beverage",D201="Food Retail &amp; Consumer Goods",D201="Industrial &amp; Technology",D201="Industrial Automation",D201="Industrial Technology",D201="Postal &amp; Financial Services",D201="Postal Services",D201="Scientific Instruments",D201="Technology Hardware",D201="Trading Company",D201="IT Consulting"),1,
OR(D201="Cosmetics",D201="E-commerce &amp; Cloud Computing",D201="Electronics &amp; Entertainment",D201="Entertainment &amp; Media",D201="Luxury Goods",D201="Media &amp; Telecommunications",D201="Networking Technology",D201="Real Estate Services",D201="Technology &amp; Consumer Electronics",D201="Telecommunications",D201="Telecommunications &amp; Investment"),1,
OR(D201="Asset Management",D201="Banking",D201="Banking &amp; Asset Services",D201="Banking &amp; Financial Services",D201="Banking &amp; Wealth Management",D201="Cloud Software",D201="Enterprise Software",D201="Financial Services",D201="Information Technology Consulting",D201="Investment Banking",D201="Social Media &amp; Technology",D201="Software &amp; Cloud Computing",D201="Technology &amp; Consulting",D201="Technology &amp; Internet Services",D201="Technology &amp; Software"),1,
TRUE,"Unmapped"
)</f>
        <v>2</v>
      </c>
      <c r="H201" s="5">
        <v>1</v>
      </c>
      <c r="I201" s="5">
        <f>VLOOKUP(B201,'BIS + EDBA Final'!A:F,6,FALSE)</f>
        <v>0</v>
      </c>
      <c r="J201" s="5">
        <f>VLOOKUP(B201,'CBG Final'!A:B,2,FALSE)</f>
        <v>2</v>
      </c>
      <c r="K201" s="9">
        <f t="shared" si="3"/>
        <v>1</v>
      </c>
      <c r="L201" s="5" t="s">
        <v>237</v>
      </c>
      <c r="M201" s="5" t="s">
        <v>53</v>
      </c>
      <c r="N201" s="5" t="s">
        <v>238</v>
      </c>
      <c r="O201" s="5" t="s">
        <v>239</v>
      </c>
      <c r="P201" s="5" t="s">
        <v>240</v>
      </c>
      <c r="Q201" s="5" t="s">
        <v>241</v>
      </c>
      <c r="R201" s="5" t="s">
        <v>20</v>
      </c>
      <c r="S201" s="10"/>
      <c r="T201" s="11"/>
      <c r="U201" s="11"/>
      <c r="V201" s="10"/>
      <c r="W201" s="10"/>
      <c r="X201" s="11"/>
      <c r="Y201" s="11"/>
      <c r="Z201" s="10"/>
      <c r="AA201" s="10"/>
      <c r="AB201" s="10"/>
      <c r="AC201" s="10"/>
      <c r="AD201" s="10"/>
      <c r="AE201" s="10"/>
      <c r="AF201" s="10"/>
      <c r="AG201" s="10"/>
      <c r="AH201" s="10"/>
    </row>
    <row r="202" spans="1:34" ht="15.75" customHeight="1">
      <c r="A202" s="5"/>
      <c r="B202" s="5" t="s">
        <v>785</v>
      </c>
      <c r="C202" s="6" t="s">
        <v>62</v>
      </c>
      <c r="D202" s="7" t="s">
        <v>356</v>
      </c>
      <c r="E202" s="8">
        <v>83327</v>
      </c>
      <c r="F202" s="6" cm="1">
        <f t="array" ref="F202">_xlfn.IFS(
E202&lt;=$E$245,0,
E202&lt;=$E$246,1,
E202&lt;=$E$247,2,
E202&gt;=$E$247,3)</f>
        <v>1</v>
      </c>
      <c r="G202" s="7" cm="1">
        <f t="array" ref="G202">_xlfn.IFS(
OR(D202="Aerospace",D202="Aerospace &amp; Defense",D202="Agricultural Equipment",D202="Airlines",D202="Automotive",D202="Automotive &amp; Energy",D202="Automotive Components",D202="Aviation",D202="Building Materials",D202="Chemicals",D202="Commercial Vehicles",D202="Conglomerate &amp; Defense",D202="Conglomerate &amp; Energy",D202="Construction",D202="Construction &amp; Infrastructure",D202="Construction &amp; Real Estate",D202="Construction &amp; Telecom",D202="Discount Retail",D202="Energy Management",D202="Energy Technology",D202="Engines &amp; Power Systems",D202="Environmental Services",D202="Food Distribution",D202="Food Services",D202="Grocery Retail",D202="Healthcare &amp; Pharmacy",D202="Home Improvement Retail",D202="Industrial Engineering &amp; Electronics",D202="Oilfield Services",D202="Pharmaceuticals",D202="Pharmaceuticals &amp; Chemicals",D202="Pharmaceuticals &amp; Healthcare",D202="Pharmacy Retail",D202="Postal &amp; Logistics",D202="Retail",D202="Retail &amp; Distribution",D202="Retail &amp; Grocery",D202="Retail (IKEA)",D202="Tobacco",D202="Trading &amp; Conglomerate",D202="Utilities",D202="Utilities &amp; Energy",D202="Wholesale Retail"),2,
OR(D202="Agribusiness",D202="Automotive &amp; Heavy Vehicles",D202="Chemicals",D202="Commercial Vehicles",D202="Construction",D202="Construction &amp; Infrastructure",D202="Engines &amp; Power Systems",D202="Food Processing",D202="Healthcare",D202="Healthcare &amp; Medical Devices",D202="Heavy Equipment",D202="Heavy Industry",D202="Industrial Gases",D202="Industrial Manufacturing",D202="Logistics",D202="Medical Devices",D202="Mining",D202="Mining &amp; Commodities Trading",D202="Oil &amp; Gas",D202="Oilfield Services",D202="Rail Transport",D202="Shipping &amp; Logistics",D202="Steel"),3,
OR(D202="Apparel &amp; Footwear",D202="Beverage",D202="Coffeehouse &amp; Retail",D202="Conglomerate",D202="Consumer Goods",D202="Convenience Retail",D202="Electronics",D202="Electronics &amp; Semiconductors",D202="Electronics Retail",D202="Fashion Retail",D202="Food &amp; Beverage",D202="Food Retail &amp; Consumer Goods",D202="Industrial &amp; Technology",D202="Industrial Automation",D202="Industrial Technology",D202="Postal &amp; Financial Services",D202="Postal Services",D202="Scientific Instruments",D202="Technology Hardware",D202="Trading Company",D202="IT Consulting"),1,
OR(D202="Cosmetics",D202="E-commerce &amp; Cloud Computing",D202="Electronics &amp; Entertainment",D202="Entertainment &amp; Media",D202="Luxury Goods",D202="Media &amp; Telecommunications",D202="Networking Technology",D202="Real Estate Services",D202="Technology &amp; Consumer Electronics",D202="Telecommunications",D202="Telecommunications &amp; Investment"),1,
OR(D202="Asset Management",D202="Banking",D202="Banking &amp; Asset Services",D202="Banking &amp; Financial Services",D202="Banking &amp; Wealth Management",D202="Cloud Software",D202="Enterprise Software",D202="Financial Services",D202="Information Technology Consulting",D202="Investment Banking",D202="Social Media &amp; Technology",D202="Software &amp; Cloud Computing",D202="Technology &amp; Consulting",D202="Technology &amp; Internet Services",D202="Technology &amp; Software"),1,
TRUE,"Unmapped"
)</f>
        <v>2</v>
      </c>
      <c r="H202" s="5">
        <v>1</v>
      </c>
      <c r="I202" s="5">
        <f>VLOOKUP(B202,'BIS + EDBA Final'!A:F,6,FALSE)</f>
        <v>-1</v>
      </c>
      <c r="J202" s="5">
        <f>VLOOKUP(B202,'CBG Final'!A:B,2,FALSE)</f>
        <v>1</v>
      </c>
      <c r="K202" s="9">
        <f t="shared" si="3"/>
        <v>1</v>
      </c>
      <c r="L202" s="5" t="s">
        <v>1349</v>
      </c>
      <c r="M202" s="5" t="s">
        <v>384</v>
      </c>
      <c r="N202" s="5" t="s">
        <v>1350</v>
      </c>
      <c r="O202" s="5" t="s">
        <v>605</v>
      </c>
      <c r="P202" s="5" t="s">
        <v>1351</v>
      </c>
      <c r="Q202" s="5" t="s">
        <v>50</v>
      </c>
      <c r="R202" s="5" t="s">
        <v>20</v>
      </c>
      <c r="S202" s="10"/>
      <c r="T202" s="11"/>
      <c r="U202" s="11"/>
      <c r="V202" s="10"/>
      <c r="W202" s="10"/>
      <c r="X202" s="10"/>
      <c r="Y202" s="10"/>
      <c r="Z202" s="10"/>
      <c r="AA202" s="10"/>
      <c r="AB202" s="10"/>
      <c r="AC202" s="10"/>
      <c r="AD202" s="10"/>
      <c r="AE202" s="10"/>
      <c r="AF202" s="10"/>
      <c r="AG202" s="10"/>
      <c r="AH202" s="10"/>
    </row>
    <row r="203" spans="1:34" ht="15.75" customHeight="1">
      <c r="A203" s="5"/>
      <c r="B203" s="5" t="s">
        <v>691</v>
      </c>
      <c r="C203" s="6" t="s">
        <v>526</v>
      </c>
      <c r="D203" s="7" t="s">
        <v>236</v>
      </c>
      <c r="E203" s="8">
        <v>92137</v>
      </c>
      <c r="F203" s="6" cm="1">
        <f t="array" ref="F203">_xlfn.IFS(
E203&lt;=$E$245,0,
E203&lt;=$E$246,1,
E203&lt;=$E$247,2,
E203&gt;=$E$247,3)</f>
        <v>1</v>
      </c>
      <c r="G203" s="7" cm="1">
        <f t="array" ref="G203">_xlfn.IFS(
OR(D203="Aerospace",D203="Aerospace &amp; Defense",D203="Agricultural Equipment",D203="Airlines",D203="Automotive",D203="Automotive &amp; Energy",D203="Automotive Components",D203="Aviation",D203="Building Materials",D203="Chemicals",D203="Commercial Vehicles",D203="Conglomerate &amp; Defense",D203="Conglomerate &amp; Energy",D203="Construction",D203="Construction &amp; Infrastructure",D203="Construction &amp; Real Estate",D203="Construction &amp; Telecom",D203="Discount Retail",D203="Energy Management",D203="Energy Technology",D203="Engines &amp; Power Systems",D203="Environmental Services",D203="Food Distribution",D203="Food Services",D203="Grocery Retail",D203="Healthcare &amp; Pharmacy",D203="Home Improvement Retail",D203="Industrial Engineering &amp; Electronics",D203="Oilfield Services",D203="Pharmaceuticals",D203="Pharmaceuticals &amp; Chemicals",D203="Pharmaceuticals &amp; Healthcare",D203="Pharmacy Retail",D203="Postal &amp; Logistics",D203="Retail",D203="Retail &amp; Distribution",D203="Retail &amp; Grocery",D203="Retail (IKEA)",D203="Tobacco",D203="Trading &amp; Conglomerate",D203="Utilities",D203="Utilities &amp; Energy",D203="Wholesale Retail"),2,
OR(D203="Agribusiness",D203="Automotive &amp; Heavy Vehicles",D203="Chemicals",D203="Commercial Vehicles",D203="Construction",D203="Construction &amp; Infrastructure",D203="Engines &amp; Power Systems",D203="Food Processing",D203="Healthcare",D203="Healthcare &amp; Medical Devices",D203="Heavy Equipment",D203="Heavy Industry",D203="Industrial Gases",D203="Industrial Manufacturing",D203="Logistics",D203="Medical Devices",D203="Mining",D203="Mining &amp; Commodities Trading",D203="Oil &amp; Gas",D203="Oilfield Services",D203="Rail Transport",D203="Shipping &amp; Logistics",D203="Steel"),3,
OR(D203="Apparel &amp; Footwear",D203="Beverage",D203="Coffeehouse &amp; Retail",D203="Conglomerate",D203="Consumer Goods",D203="Convenience Retail",D203="Electronics",D203="Electronics &amp; Semiconductors",D203="Electronics Retail",D203="Fashion Retail",D203="Food &amp; Beverage",D203="Food Retail &amp; Consumer Goods",D203="Industrial &amp; Technology",D203="Industrial Automation",D203="Industrial Technology",D203="Postal &amp; Financial Services",D203="Postal Services",D203="Scientific Instruments",D203="Technology Hardware",D203="Trading Company",D203="IT Consulting"),1,
OR(D203="Cosmetics",D203="E-commerce &amp; Cloud Computing",D203="Electronics &amp; Entertainment",D203="Entertainment &amp; Media",D203="Luxury Goods",D203="Media &amp; Telecommunications",D203="Networking Technology",D203="Real Estate Services",D203="Technology &amp; Consumer Electronics",D203="Telecommunications",D203="Telecommunications &amp; Investment"),1,
OR(D203="Asset Management",D203="Banking",D203="Banking &amp; Asset Services",D203="Banking &amp; Financial Services",D203="Banking &amp; Wealth Management",D203="Cloud Software",D203="Enterprise Software",D203="Financial Services",D203="Information Technology Consulting",D203="Investment Banking",D203="Social Media &amp; Technology",D203="Software &amp; Cloud Computing",D203="Technology &amp; Consulting",D203="Technology &amp; Internet Services",D203="Technology &amp; Software"),1,
TRUE,"Unmapped"
)</f>
        <v>2</v>
      </c>
      <c r="H203" s="5">
        <v>1</v>
      </c>
      <c r="I203" s="5">
        <f>VLOOKUP(B203,'BIS + EDBA Final'!A:F,6,FALSE)</f>
        <v>-1</v>
      </c>
      <c r="J203" s="5">
        <f>VLOOKUP(B203,'CBG Final'!A:B,2,FALSE)</f>
        <v>1</v>
      </c>
      <c r="K203" s="9">
        <f t="shared" si="3"/>
        <v>1</v>
      </c>
      <c r="L203" s="5" t="s">
        <v>692</v>
      </c>
      <c r="M203" s="5" t="s">
        <v>693</v>
      </c>
      <c r="N203" s="5" t="s">
        <v>694</v>
      </c>
      <c r="O203" s="5" t="s">
        <v>695</v>
      </c>
      <c r="P203" s="5" t="s">
        <v>696</v>
      </c>
      <c r="Q203" s="5" t="s">
        <v>633</v>
      </c>
      <c r="R203" s="5" t="s">
        <v>431</v>
      </c>
      <c r="S203" s="10"/>
      <c r="T203" s="11"/>
      <c r="U203" s="11"/>
      <c r="V203" s="10"/>
      <c r="W203" s="10"/>
      <c r="X203" s="10"/>
      <c r="Y203" s="10"/>
      <c r="Z203" s="10"/>
      <c r="AA203" s="10"/>
      <c r="AB203" s="10"/>
      <c r="AC203" s="10"/>
      <c r="AD203" s="10"/>
      <c r="AE203" s="10"/>
      <c r="AF203" s="10"/>
      <c r="AG203" s="10"/>
      <c r="AH203" s="10"/>
    </row>
    <row r="204" spans="1:34" ht="15.75" customHeight="1">
      <c r="A204" s="5"/>
      <c r="B204" s="5" t="s">
        <v>432</v>
      </c>
      <c r="C204" s="6" t="s">
        <v>62</v>
      </c>
      <c r="D204" s="7" t="s">
        <v>433</v>
      </c>
      <c r="E204" s="8">
        <v>112300</v>
      </c>
      <c r="F204" s="6" cm="1">
        <f t="array" ref="F204">_xlfn.IFS(
E204&lt;=$E$245,0,
E204&lt;=$E$246,1,
E204&lt;=$E$247,2,
E204&gt;=$E$247,3)</f>
        <v>1</v>
      </c>
      <c r="G204" s="7" cm="1">
        <f t="array" ref="G204">_xlfn.IFS(
OR(D204="Aerospace",D204="Aerospace &amp; Defense",D204="Agricultural Equipment",D204="Airlines",D204="Automotive",D204="Automotive &amp; Energy",D204="Automotive Components",D204="Aviation",D204="Building Materials",D204="Chemicals",D204="Commercial Vehicles",D204="Conglomerate &amp; Defense",D204="Conglomerate &amp; Energy",D204="Construction",D204="Construction &amp; Infrastructure",D204="Construction &amp; Real Estate",D204="Construction &amp; Telecom",D204="Discount Retail",D204="Energy Management",D204="Energy Technology",D204="Engines &amp; Power Systems",D204="Environmental Services",D204="Food Distribution",D204="Food Services",D204="Grocery Retail",D204="Healthcare &amp; Pharmacy",D204="Home Improvement Retail",D204="Industrial Engineering &amp; Electronics",D204="Oilfield Services",D204="Pharmaceuticals",D204="Pharmaceuticals &amp; Chemicals",D204="Pharmaceuticals &amp; Healthcare",D204="Pharmacy Retail",D204="Postal &amp; Logistics",D204="Retail",D204="Retail &amp; Distribution",D204="Retail &amp; Grocery",D204="Retail (IKEA)",D204="Tobacco",D204="Trading &amp; Conglomerate",D204="Utilities",D204="Utilities &amp; Energy",D204="Wholesale Retail"),2,
OR(D204="Agribusiness",D204="Automotive &amp; Heavy Vehicles",D204="Chemicals",D204="Commercial Vehicles",D204="Construction",D204="Construction &amp; Infrastructure",D204="Engines &amp; Power Systems",D204="Food Processing",D204="Healthcare",D204="Healthcare &amp; Medical Devices",D204="Heavy Equipment",D204="Heavy Industry",D204="Industrial Gases",D204="Industrial Manufacturing",D204="Logistics",D204="Medical Devices",D204="Mining",D204="Mining &amp; Commodities Trading",D204="Oil &amp; Gas",D204="Oilfield Services",D204="Rail Transport",D204="Shipping &amp; Logistics",D204="Steel"),3,
OR(D204="Apparel &amp; Footwear",D204="Beverage",D204="Coffeehouse &amp; Retail",D204="Conglomerate",D204="Consumer Goods",D204="Convenience Retail",D204="Electronics",D204="Electronics &amp; Semiconductors",D204="Electronics Retail",D204="Fashion Retail",D204="Food &amp; Beverage",D204="Food Retail &amp; Consumer Goods",D204="Industrial &amp; Technology",D204="Industrial Automation",D204="Industrial Technology",D204="Postal &amp; Financial Services",D204="Postal Services",D204="Scientific Instruments",D204="Technology Hardware",D204="Trading Company",D204="IT Consulting"),1,
OR(D204="Cosmetics",D204="E-commerce &amp; Cloud Computing",D204="Electronics &amp; Entertainment",D204="Entertainment &amp; Media",D204="Luxury Goods",D204="Media &amp; Telecommunications",D204="Networking Technology",D204="Real Estate Services",D204="Technology &amp; Consumer Electronics",D204="Telecommunications",D204="Telecommunications &amp; Investment"),1,
OR(D204="Asset Management",D204="Banking",D204="Banking &amp; Asset Services",D204="Banking &amp; Financial Services",D204="Banking &amp; Wealth Management",D204="Cloud Software",D204="Enterprise Software",D204="Financial Services",D204="Information Technology Consulting",D204="Investment Banking",D204="Social Media &amp; Technology",D204="Software &amp; Cloud Computing",D204="Technology &amp; Consulting",D204="Technology &amp; Internet Services",D204="Technology &amp; Software"),1,
TRUE,"Unmapped"
)</f>
        <v>1</v>
      </c>
      <c r="H204" s="5">
        <v>1</v>
      </c>
      <c r="I204" s="5">
        <f>VLOOKUP(B204,'BIS + EDBA Final'!A:F,6,FALSE)</f>
        <v>1</v>
      </c>
      <c r="J204" s="5">
        <f>VLOOKUP(B204,'CBG Final'!A:B,2,FALSE)</f>
        <v>1</v>
      </c>
      <c r="K204" s="9">
        <f t="shared" si="3"/>
        <v>1</v>
      </c>
      <c r="L204" s="5" t="s">
        <v>1325</v>
      </c>
      <c r="M204" s="5" t="s">
        <v>1326</v>
      </c>
      <c r="N204" s="5" t="s">
        <v>1327</v>
      </c>
      <c r="O204" s="5" t="s">
        <v>700</v>
      </c>
      <c r="P204" s="5" t="s">
        <v>1328</v>
      </c>
      <c r="Q204" s="5" t="s">
        <v>78</v>
      </c>
      <c r="R204" s="5" t="s">
        <v>20</v>
      </c>
      <c r="S204" s="10"/>
      <c r="T204" s="11"/>
      <c r="U204" s="11"/>
      <c r="V204" s="10"/>
      <c r="W204" s="10"/>
      <c r="X204" s="11"/>
      <c r="Y204" s="11"/>
      <c r="Z204" s="10"/>
      <c r="AA204" s="10"/>
      <c r="AB204" s="10"/>
      <c r="AC204" s="10"/>
      <c r="AD204" s="10"/>
      <c r="AE204" s="10"/>
      <c r="AF204" s="10"/>
      <c r="AG204" s="10"/>
      <c r="AH204" s="10"/>
    </row>
    <row r="205" spans="1:34" ht="15.75" customHeight="1">
      <c r="A205" s="5"/>
      <c r="B205" s="5" t="s">
        <v>697</v>
      </c>
      <c r="C205" s="6" t="s">
        <v>36</v>
      </c>
      <c r="D205" s="7" t="s">
        <v>266</v>
      </c>
      <c r="E205" s="8">
        <v>94500</v>
      </c>
      <c r="F205" s="6" cm="1">
        <f t="array" ref="F205">_xlfn.IFS(
E205&lt;=$E$245,0,
E205&lt;=$E$246,1,
E205&lt;=$E$247,2,
E205&gt;=$E$247,3)</f>
        <v>1</v>
      </c>
      <c r="G205" s="7" cm="1">
        <f t="array" ref="G205">_xlfn.IFS(
OR(D205="Aerospace",D205="Aerospace &amp; Defense",D205="Agricultural Equipment",D205="Airlines",D205="Automotive",D205="Automotive &amp; Energy",D205="Automotive Components",D205="Aviation",D205="Building Materials",D205="Chemicals",D205="Commercial Vehicles",D205="Conglomerate &amp; Defense",D205="Conglomerate &amp; Energy",D205="Construction",D205="Construction &amp; Infrastructure",D205="Construction &amp; Real Estate",D205="Construction &amp; Telecom",D205="Discount Retail",D205="Energy Management",D205="Energy Technology",D205="Engines &amp; Power Systems",D205="Environmental Services",D205="Food Distribution",D205="Food Services",D205="Grocery Retail",D205="Healthcare &amp; Pharmacy",D205="Home Improvement Retail",D205="Industrial Engineering &amp; Electronics",D205="Oilfield Services",D205="Pharmaceuticals",D205="Pharmaceuticals &amp; Chemicals",D205="Pharmaceuticals &amp; Healthcare",D205="Pharmacy Retail",D205="Postal &amp; Logistics",D205="Retail",D205="Retail &amp; Distribution",D205="Retail &amp; Grocery",D205="Retail (IKEA)",D205="Tobacco",D205="Trading &amp; Conglomerate",D205="Utilities",D205="Utilities &amp; Energy",D205="Wholesale Retail"),2,
OR(D205="Agribusiness",D205="Automotive &amp; Heavy Vehicles",D205="Chemicals",D205="Commercial Vehicles",D205="Construction",D205="Construction &amp; Infrastructure",D205="Engines &amp; Power Systems",D205="Food Processing",D205="Healthcare",D205="Healthcare &amp; Medical Devices",D205="Heavy Equipment",D205="Heavy Industry",D205="Industrial Gases",D205="Industrial Manufacturing",D205="Logistics",D205="Medical Devices",D205="Mining",D205="Mining &amp; Commodities Trading",D205="Oil &amp; Gas",D205="Oilfield Services",D205="Rail Transport",D205="Shipping &amp; Logistics",D205="Steel"),3,
OR(D205="Apparel &amp; Footwear",D205="Beverage",D205="Coffeehouse &amp; Retail",D205="Conglomerate",D205="Consumer Goods",D205="Convenience Retail",D205="Electronics",D205="Electronics &amp; Semiconductors",D205="Electronics Retail",D205="Fashion Retail",D205="Food &amp; Beverage",D205="Food Retail &amp; Consumer Goods",D205="Industrial &amp; Technology",D205="Industrial Automation",D205="Industrial Technology",D205="Postal &amp; Financial Services",D205="Postal Services",D205="Scientific Instruments",D205="Technology Hardware",D205="Trading Company",D205="IT Consulting"),1,
OR(D205="Cosmetics",D205="E-commerce &amp; Cloud Computing",D205="Electronics &amp; Entertainment",D205="Entertainment &amp; Media",D205="Luxury Goods",D205="Media &amp; Telecommunications",D205="Networking Technology",D205="Real Estate Services",D205="Technology &amp; Consumer Electronics",D205="Telecommunications",D205="Telecommunications &amp; Investment"),1,
OR(D205="Asset Management",D205="Banking",D205="Banking &amp; Asset Services",D205="Banking &amp; Financial Services",D205="Banking &amp; Wealth Management",D205="Cloud Software",D205="Enterprise Software",D205="Financial Services",D205="Information Technology Consulting",D205="Investment Banking",D205="Social Media &amp; Technology",D205="Software &amp; Cloud Computing",D205="Technology &amp; Consulting",D205="Technology &amp; Internet Services",D205="Technology &amp; Software"),1,
TRUE,"Unmapped"
)</f>
        <v>1</v>
      </c>
      <c r="H205" s="5">
        <f>'BIS + EDBA Final'!B196</f>
        <v>1</v>
      </c>
      <c r="I205" s="5">
        <f>VLOOKUP(B205,'BIS + EDBA Final'!A:F,6,FALSE)</f>
        <v>1</v>
      </c>
      <c r="J205" s="5">
        <f>VLOOKUP(B205,'CBG Final'!A:B,2,FALSE)</f>
        <v>1</v>
      </c>
      <c r="K205" s="9">
        <f t="shared" si="3"/>
        <v>1</v>
      </c>
      <c r="L205" s="5" t="s">
        <v>698</v>
      </c>
      <c r="M205" s="5" t="s">
        <v>184</v>
      </c>
      <c r="N205" s="5" t="s">
        <v>699</v>
      </c>
      <c r="O205" s="5" t="s">
        <v>700</v>
      </c>
      <c r="P205" s="5" t="s">
        <v>701</v>
      </c>
      <c r="Q205" s="5" t="s">
        <v>143</v>
      </c>
      <c r="R205" s="5" t="s">
        <v>46</v>
      </c>
      <c r="S205" s="10"/>
      <c r="T205" s="11"/>
      <c r="U205" s="11"/>
      <c r="V205" s="10"/>
      <c r="W205" s="10"/>
      <c r="X205" s="10"/>
      <c r="Y205" s="10"/>
      <c r="Z205" s="10"/>
      <c r="AA205" s="10"/>
      <c r="AB205" s="10"/>
      <c r="AC205" s="10"/>
      <c r="AD205" s="10"/>
      <c r="AE205" s="10"/>
      <c r="AF205" s="10"/>
      <c r="AG205" s="10"/>
      <c r="AH205" s="10"/>
    </row>
    <row r="206" spans="1:34" ht="15.75" customHeight="1">
      <c r="A206" s="5"/>
      <c r="B206" s="5" t="s">
        <v>726</v>
      </c>
      <c r="C206" s="6" t="s">
        <v>36</v>
      </c>
      <c r="D206" s="7" t="s">
        <v>251</v>
      </c>
      <c r="E206" s="8">
        <v>69700</v>
      </c>
      <c r="F206" s="6" cm="1">
        <f t="array" ref="F206">_xlfn.IFS(
E206&lt;=$E$245,0,
E206&lt;=$E$246,1,
E206&lt;=$E$247,2,
E206&gt;=$E$247,3)</f>
        <v>0</v>
      </c>
      <c r="G206" s="7" cm="1">
        <f t="array" ref="G206">_xlfn.IFS(
OR(D206="Aerospace",D206="Aerospace &amp; Defense",D206="Agricultural Equipment",D206="Airlines",D206="Automotive",D206="Automotive &amp; Energy",D206="Automotive Components",D206="Aviation",D206="Building Materials",D206="Chemicals",D206="Commercial Vehicles",D206="Conglomerate &amp; Defense",D206="Conglomerate &amp; Energy",D206="Construction",D206="Construction &amp; Infrastructure",D206="Construction &amp; Real Estate",D206="Construction &amp; Telecom",D206="Discount Retail",D206="Energy Management",D206="Energy Technology",D206="Engines &amp; Power Systems",D206="Environmental Services",D206="Food Distribution",D206="Food Services",D206="Grocery Retail",D206="Healthcare &amp; Pharmacy",D206="Home Improvement Retail",D206="Industrial Engineering &amp; Electronics",D206="Oilfield Services",D206="Pharmaceuticals",D206="Pharmaceuticals &amp; Chemicals",D206="Pharmaceuticals &amp; Healthcare",D206="Pharmacy Retail",D206="Postal &amp; Logistics",D206="Retail",D206="Retail &amp; Distribution",D206="Retail &amp; Grocery",D206="Retail (IKEA)",D206="Tobacco",D206="Trading &amp; Conglomerate",D206="Utilities",D206="Utilities &amp; Energy",D206="Wholesale Retail"),2,
OR(D206="Agribusiness",D206="Automotive &amp; Heavy Vehicles",D206="Chemicals",D206="Commercial Vehicles",D206="Construction",D206="Construction &amp; Infrastructure",D206="Engines &amp; Power Systems",D206="Food Processing",D206="Healthcare",D206="Healthcare &amp; Medical Devices",D206="Heavy Equipment",D206="Heavy Industry",D206="Industrial Gases",D206="Industrial Manufacturing",D206="Logistics",D206="Medical Devices",D206="Mining",D206="Mining &amp; Commodities Trading",D206="Oil &amp; Gas",D206="Oilfield Services",D206="Rail Transport",D206="Shipping &amp; Logistics",D206="Steel"),3,
OR(D206="Apparel &amp; Footwear",D206="Beverage",D206="Coffeehouse &amp; Retail",D206="Conglomerate",D206="Consumer Goods",D206="Convenience Retail",D206="Electronics",D206="Electronics &amp; Semiconductors",D206="Electronics Retail",D206="Fashion Retail",D206="Food &amp; Beverage",D206="Food Retail &amp; Consumer Goods",D206="Industrial &amp; Technology",D206="Industrial Automation",D206="Industrial Technology",D206="Postal &amp; Financial Services",D206="Postal Services",D206="Scientific Instruments",D206="Technology Hardware",D206="Trading Company",D206="IT Consulting"),1,
OR(D206="Cosmetics",D206="E-commerce &amp; Cloud Computing",D206="Electronics &amp; Entertainment",D206="Entertainment &amp; Media",D206="Luxury Goods",D206="Media &amp; Telecommunications",D206="Networking Technology",D206="Real Estate Services",D206="Technology &amp; Consumer Electronics",D206="Telecommunications",D206="Telecommunications &amp; Investment"),1,
OR(D206="Asset Management",D206="Banking",D206="Banking &amp; Asset Services",D206="Banking &amp; Financial Services",D206="Banking &amp; Wealth Management",D206="Cloud Software",D206="Enterprise Software",D206="Financial Services",D206="Information Technology Consulting",D206="Investment Banking",D206="Social Media &amp; Technology",D206="Software &amp; Cloud Computing",D206="Technology &amp; Consulting",D206="Technology &amp; Internet Services",D206="Technology &amp; Software"),1,
TRUE,"Unmapped"
)</f>
        <v>1</v>
      </c>
      <c r="H206" s="5">
        <f>'BIS + EDBA Final'!B199</f>
        <v>1</v>
      </c>
      <c r="I206" s="5">
        <f>VLOOKUP(B206,'BIS + EDBA Final'!A:F,6,FALSE)</f>
        <v>0</v>
      </c>
      <c r="J206" s="5">
        <f>VLOOKUP(B206,'CBG Final'!A:B,2,FALSE)</f>
        <v>3</v>
      </c>
      <c r="K206" s="9">
        <f t="shared" si="3"/>
        <v>1</v>
      </c>
      <c r="L206" s="5" t="s">
        <v>727</v>
      </c>
      <c r="M206" s="5" t="s">
        <v>273</v>
      </c>
      <c r="N206" s="5" t="s">
        <v>728</v>
      </c>
      <c r="O206" s="5" t="s">
        <v>191</v>
      </c>
      <c r="P206" s="5" t="s">
        <v>729</v>
      </c>
      <c r="Q206" s="5" t="s">
        <v>46</v>
      </c>
      <c r="R206" s="5" t="s">
        <v>20</v>
      </c>
      <c r="S206" s="10"/>
      <c r="T206" s="11"/>
      <c r="U206" s="11"/>
      <c r="V206" s="10"/>
      <c r="W206" s="10"/>
      <c r="X206" s="10"/>
      <c r="Y206" s="10"/>
      <c r="Z206" s="10"/>
      <c r="AA206" s="10"/>
      <c r="AB206" s="10"/>
      <c r="AC206" s="10"/>
      <c r="AD206" s="10"/>
      <c r="AE206" s="10"/>
      <c r="AF206" s="10"/>
      <c r="AG206" s="10"/>
      <c r="AH206" s="10"/>
    </row>
    <row r="207" spans="1:34" ht="15.75" customHeight="1">
      <c r="A207" s="5"/>
      <c r="B207" s="5" t="s">
        <v>976</v>
      </c>
      <c r="C207" s="6" t="s">
        <v>36</v>
      </c>
      <c r="D207" s="7" t="s">
        <v>360</v>
      </c>
      <c r="E207" s="8">
        <v>58000</v>
      </c>
      <c r="F207" s="6" cm="1">
        <f t="array" ref="F207">_xlfn.IFS(
E207&lt;=$E$245,0,
E207&lt;=$E$246,1,
E207&lt;=$E$247,2,
E207&gt;=$E$247,3)</f>
        <v>0</v>
      </c>
      <c r="G207" s="7" cm="1">
        <f t="array" ref="G207">_xlfn.IFS(
OR(D207="Aerospace",D207="Aerospace &amp; Defense",D207="Agricultural Equipment",D207="Airlines",D207="Automotive",D207="Automotive &amp; Energy",D207="Automotive Components",D207="Aviation",D207="Building Materials",D207="Chemicals",D207="Commercial Vehicles",D207="Conglomerate &amp; Defense",D207="Conglomerate &amp; Energy",D207="Construction",D207="Construction &amp; Infrastructure",D207="Construction &amp; Real Estate",D207="Construction &amp; Telecom",D207="Discount Retail",D207="Energy Management",D207="Energy Technology",D207="Engines &amp; Power Systems",D207="Environmental Services",D207="Food Distribution",D207="Food Services",D207="Grocery Retail",D207="Healthcare &amp; Pharmacy",D207="Home Improvement Retail",D207="Industrial Engineering &amp; Electronics",D207="Oilfield Services",D207="Pharmaceuticals",D207="Pharmaceuticals &amp; Chemicals",D207="Pharmaceuticals &amp; Healthcare",D207="Pharmacy Retail",D207="Postal &amp; Logistics",D207="Retail",D207="Retail &amp; Distribution",D207="Retail &amp; Grocery",D207="Retail (IKEA)",D207="Tobacco",D207="Trading &amp; Conglomerate",D207="Utilities",D207="Utilities &amp; Energy",D207="Wholesale Retail"),2,
OR(D207="Agribusiness",D207="Automotive &amp; Heavy Vehicles",D207="Chemicals",D207="Commercial Vehicles",D207="Construction",D207="Construction &amp; Infrastructure",D207="Engines &amp; Power Systems",D207="Food Processing",D207="Healthcare",D207="Healthcare &amp; Medical Devices",D207="Heavy Equipment",D207="Heavy Industry",D207="Industrial Gases",D207="Industrial Manufacturing",D207="Logistics",D207="Medical Devices",D207="Mining",D207="Mining &amp; Commodities Trading",D207="Oil &amp; Gas",D207="Oilfield Services",D207="Rail Transport",D207="Shipping &amp; Logistics",D207="Steel"),3,
OR(D207="Apparel &amp; Footwear",D207="Beverage",D207="Coffeehouse &amp; Retail",D207="Conglomerate",D207="Consumer Goods",D207="Convenience Retail",D207="Electronics",D207="Electronics &amp; Semiconductors",D207="Electronics Retail",D207="Fashion Retail",D207="Food &amp; Beverage",D207="Food Retail &amp; Consumer Goods",D207="Industrial &amp; Technology",D207="Industrial Automation",D207="Industrial Technology",D207="Postal &amp; Financial Services",D207="Postal Services",D207="Scientific Instruments",D207="Technology Hardware",D207="Trading Company",D207="IT Consulting"),1,
OR(D207="Cosmetics",D207="E-commerce &amp; Cloud Computing",D207="Electronics &amp; Entertainment",D207="Entertainment &amp; Media",D207="Luxury Goods",D207="Media &amp; Telecommunications",D207="Networking Technology",D207="Real Estate Services",D207="Technology &amp; Consumer Electronics",D207="Telecommunications",D207="Telecommunications &amp; Investment"),1,
OR(D207="Asset Management",D207="Banking",D207="Banking &amp; Asset Services",D207="Banking &amp; Financial Services",D207="Banking &amp; Wealth Management",D207="Cloud Software",D207="Enterprise Software",D207="Financial Services",D207="Information Technology Consulting",D207="Investment Banking",D207="Social Media &amp; Technology",D207="Software &amp; Cloud Computing",D207="Technology &amp; Consulting",D207="Technology &amp; Internet Services",D207="Technology &amp; Software"),1,
TRUE,"Unmapped"
)</f>
        <v>1</v>
      </c>
      <c r="H207" s="5">
        <f>'BIS + EDBA Final'!B202</f>
        <v>1</v>
      </c>
      <c r="I207" s="5">
        <f>VLOOKUP(B207,'BIS + EDBA Final'!A:F,6,FALSE)</f>
        <v>0</v>
      </c>
      <c r="J207" s="5">
        <f>VLOOKUP(B207,'CBG Final'!A:B,2,FALSE)</f>
        <v>3</v>
      </c>
      <c r="K207" s="9">
        <f t="shared" si="3"/>
        <v>1</v>
      </c>
      <c r="L207" s="5" t="s">
        <v>977</v>
      </c>
      <c r="M207" s="5" t="s">
        <v>978</v>
      </c>
      <c r="N207" s="5" t="s">
        <v>979</v>
      </c>
      <c r="O207" s="5" t="s">
        <v>866</v>
      </c>
      <c r="P207" s="5" t="s">
        <v>980</v>
      </c>
      <c r="Q207" s="5" t="s">
        <v>425</v>
      </c>
      <c r="R207" s="5" t="s">
        <v>20</v>
      </c>
      <c r="S207" s="10"/>
      <c r="T207" s="11"/>
      <c r="U207" s="11"/>
      <c r="V207" s="10"/>
      <c r="W207" s="10"/>
      <c r="X207" s="10"/>
      <c r="Y207" s="10"/>
      <c r="Z207" s="10"/>
      <c r="AA207" s="10"/>
      <c r="AB207" s="10"/>
      <c r="AC207" s="10"/>
      <c r="AD207" s="10"/>
      <c r="AE207" s="10"/>
      <c r="AF207" s="10"/>
      <c r="AG207" s="10"/>
      <c r="AH207" s="10"/>
    </row>
    <row r="208" spans="1:34" ht="15.75" customHeight="1">
      <c r="A208" s="5"/>
      <c r="B208" s="5" t="s">
        <v>663</v>
      </c>
      <c r="C208" s="6" t="s">
        <v>278</v>
      </c>
      <c r="D208" s="7" t="s">
        <v>157</v>
      </c>
      <c r="E208" s="8">
        <v>83307</v>
      </c>
      <c r="F208" s="6" cm="1">
        <f t="array" ref="F208">_xlfn.IFS(
E208&lt;=$E$245,0,
E208&lt;=$E$246,1,
E208&lt;=$E$247,2,
E208&gt;=$E$247,3)</f>
        <v>1</v>
      </c>
      <c r="G208" s="7" cm="1">
        <f t="array" ref="G208">_xlfn.IFS(
OR(D208="Aerospace",D208="Aerospace &amp; Defense",D208="Agricultural Equipment",D208="Airlines",D208="Automotive",D208="Automotive &amp; Energy",D208="Automotive Components",D208="Aviation",D208="Building Materials",D208="Chemicals",D208="Commercial Vehicles",D208="Conglomerate &amp; Defense",D208="Conglomerate &amp; Energy",D208="Construction",D208="Construction &amp; Infrastructure",D208="Construction &amp; Real Estate",D208="Construction &amp; Telecom",D208="Discount Retail",D208="Energy Management",D208="Energy Technology",D208="Engines &amp; Power Systems",D208="Environmental Services",D208="Food Distribution",D208="Food Services",D208="Grocery Retail",D208="Healthcare &amp; Pharmacy",D208="Home Improvement Retail",D208="Industrial Engineering &amp; Electronics",D208="Oilfield Services",D208="Pharmaceuticals",D208="Pharmaceuticals &amp; Chemicals",D208="Pharmaceuticals &amp; Healthcare",D208="Pharmacy Retail",D208="Postal &amp; Logistics",D208="Retail",D208="Retail &amp; Distribution",D208="Retail &amp; Grocery",D208="Retail (IKEA)",D208="Tobacco",D208="Trading &amp; Conglomerate",D208="Utilities",D208="Utilities &amp; Energy",D208="Wholesale Retail"),2,
OR(D208="Agribusiness",D208="Automotive &amp; Heavy Vehicles",D208="Chemicals",D208="Commercial Vehicles",D208="Construction",D208="Construction &amp; Infrastructure",D208="Engines &amp; Power Systems",D208="Food Processing",D208="Healthcare",D208="Healthcare &amp; Medical Devices",D208="Heavy Equipment",D208="Heavy Industry",D208="Industrial Gases",D208="Industrial Manufacturing",D208="Logistics",D208="Medical Devices",D208="Mining",D208="Mining &amp; Commodities Trading",D208="Oil &amp; Gas",D208="Oilfield Services",D208="Rail Transport",D208="Shipping &amp; Logistics",D208="Steel"),3,
OR(D208="Apparel &amp; Footwear",D208="Beverage",D208="Coffeehouse &amp; Retail",D208="Conglomerate",D208="Consumer Goods",D208="Convenience Retail",D208="Electronics",D208="Electronics &amp; Semiconductors",D208="Electronics Retail",D208="Fashion Retail",D208="Food &amp; Beverage",D208="Food Retail &amp; Consumer Goods",D208="Industrial &amp; Technology",D208="Industrial Automation",D208="Industrial Technology",D208="Postal &amp; Financial Services",D208="Postal Services",D208="Scientific Instruments",D208="Technology Hardware",D208="Trading Company",D208="IT Consulting"),1,
OR(D208="Cosmetics",D208="E-commerce &amp; Cloud Computing",D208="Electronics &amp; Entertainment",D208="Entertainment &amp; Media",D208="Luxury Goods",D208="Media &amp; Telecommunications",D208="Networking Technology",D208="Real Estate Services",D208="Technology &amp; Consumer Electronics",D208="Telecommunications",D208="Telecommunications &amp; Investment"),1,
OR(D208="Asset Management",D208="Banking",D208="Banking &amp; Asset Services",D208="Banking &amp; Financial Services",D208="Banking &amp; Wealth Management",D208="Cloud Software",D208="Enterprise Software",D208="Financial Services",D208="Information Technology Consulting",D208="Investment Banking",D208="Social Media &amp; Technology",D208="Software &amp; Cloud Computing",D208="Technology &amp; Consulting",D208="Technology &amp; Internet Services",D208="Technology &amp; Software"),1,
TRUE,"Unmapped"
)</f>
        <v>1</v>
      </c>
      <c r="H208" s="5">
        <f>'BIS + EDBA Final'!B208</f>
        <v>1</v>
      </c>
      <c r="I208" s="5">
        <f>VLOOKUP(B208,'BIS + EDBA Final'!A:F,6,FALSE)</f>
        <v>1</v>
      </c>
      <c r="J208" s="5">
        <f>VLOOKUP(B208,'CBG Final'!A:B,2,FALSE)</f>
        <v>1</v>
      </c>
      <c r="K208" s="9">
        <f t="shared" si="3"/>
        <v>1</v>
      </c>
      <c r="L208" s="5" t="s">
        <v>664</v>
      </c>
      <c r="M208" s="5" t="s">
        <v>665</v>
      </c>
      <c r="N208" s="5" t="s">
        <v>666</v>
      </c>
      <c r="O208" s="5" t="s">
        <v>424</v>
      </c>
      <c r="P208" s="5" t="s">
        <v>667</v>
      </c>
      <c r="Q208" s="5" t="s">
        <v>668</v>
      </c>
      <c r="R208" s="5" t="s">
        <v>82</v>
      </c>
      <c r="S208" s="10"/>
      <c r="T208" s="11"/>
      <c r="U208" s="11"/>
      <c r="V208" s="10"/>
      <c r="W208" s="10"/>
      <c r="X208" s="10"/>
      <c r="Y208" s="10"/>
      <c r="Z208" s="10"/>
      <c r="AA208" s="10"/>
      <c r="AB208" s="10"/>
      <c r="AC208" s="10"/>
      <c r="AD208" s="10"/>
      <c r="AE208" s="10"/>
      <c r="AF208" s="10"/>
      <c r="AG208" s="10"/>
      <c r="AH208" s="10"/>
    </row>
    <row r="209" spans="1:34" ht="15.75" customHeight="1">
      <c r="A209" s="5"/>
      <c r="B209" s="5" t="s">
        <v>399</v>
      </c>
      <c r="C209" s="6" t="s">
        <v>39</v>
      </c>
      <c r="D209" s="7" t="s">
        <v>157</v>
      </c>
      <c r="E209" s="8">
        <v>78401</v>
      </c>
      <c r="F209" s="6" cm="1">
        <f t="array" ref="F209">_xlfn.IFS(
E209&lt;=$E$245,0,
E209&lt;=$E$246,1,
E209&lt;=$E$247,2,
E209&gt;=$E$247,3)</f>
        <v>0</v>
      </c>
      <c r="G209" s="7" cm="1">
        <f t="array" ref="G209">_xlfn.IFS(
OR(D209="Aerospace",D209="Aerospace &amp; Defense",D209="Agricultural Equipment",D209="Airlines",D209="Automotive",D209="Automotive &amp; Energy",D209="Automotive Components",D209="Aviation",D209="Building Materials",D209="Chemicals",D209="Commercial Vehicles",D209="Conglomerate &amp; Defense",D209="Conglomerate &amp; Energy",D209="Construction",D209="Construction &amp; Infrastructure",D209="Construction &amp; Real Estate",D209="Construction &amp; Telecom",D209="Discount Retail",D209="Energy Management",D209="Energy Technology",D209="Engines &amp; Power Systems",D209="Environmental Services",D209="Food Distribution",D209="Food Services",D209="Grocery Retail",D209="Healthcare &amp; Pharmacy",D209="Home Improvement Retail",D209="Industrial Engineering &amp; Electronics",D209="Oilfield Services",D209="Pharmaceuticals",D209="Pharmaceuticals &amp; Chemicals",D209="Pharmaceuticals &amp; Healthcare",D209="Pharmacy Retail",D209="Postal &amp; Logistics",D209="Retail",D209="Retail &amp; Distribution",D209="Retail &amp; Grocery",D209="Retail (IKEA)",D209="Tobacco",D209="Trading &amp; Conglomerate",D209="Utilities",D209="Utilities &amp; Energy",D209="Wholesale Retail"),2,
OR(D209="Agribusiness",D209="Automotive &amp; Heavy Vehicles",D209="Chemicals",D209="Commercial Vehicles",D209="Construction",D209="Construction &amp; Infrastructure",D209="Engines &amp; Power Systems",D209="Food Processing",D209="Healthcare",D209="Healthcare &amp; Medical Devices",D209="Heavy Equipment",D209="Heavy Industry",D209="Industrial Gases",D209="Industrial Manufacturing",D209="Logistics",D209="Medical Devices",D209="Mining",D209="Mining &amp; Commodities Trading",D209="Oil &amp; Gas",D209="Oilfield Services",D209="Rail Transport",D209="Shipping &amp; Logistics",D209="Steel"),3,
OR(D209="Apparel &amp; Footwear",D209="Beverage",D209="Coffeehouse &amp; Retail",D209="Conglomerate",D209="Consumer Goods",D209="Convenience Retail",D209="Electronics",D209="Electronics &amp; Semiconductors",D209="Electronics Retail",D209="Fashion Retail",D209="Food &amp; Beverage",D209="Food Retail &amp; Consumer Goods",D209="Industrial &amp; Technology",D209="Industrial Automation",D209="Industrial Technology",D209="Postal &amp; Financial Services",D209="Postal Services",D209="Scientific Instruments",D209="Technology Hardware",D209="Trading Company",D209="IT Consulting"),1,
OR(D209="Cosmetics",D209="E-commerce &amp; Cloud Computing",D209="Electronics &amp; Entertainment",D209="Entertainment &amp; Media",D209="Luxury Goods",D209="Media &amp; Telecommunications",D209="Networking Technology",D209="Real Estate Services",D209="Technology &amp; Consumer Electronics",D209="Telecommunications",D209="Telecommunications &amp; Investment"),1,
OR(D209="Asset Management",D209="Banking",D209="Banking &amp; Asset Services",D209="Banking &amp; Financial Services",D209="Banking &amp; Wealth Management",D209="Cloud Software",D209="Enterprise Software",D209="Financial Services",D209="Information Technology Consulting",D209="Investment Banking",D209="Social Media &amp; Technology",D209="Software &amp; Cloud Computing",D209="Technology &amp; Consulting",D209="Technology &amp; Internet Services",D209="Technology &amp; Software"),1,
TRUE,"Unmapped"
)</f>
        <v>1</v>
      </c>
      <c r="H209" s="5">
        <f>'BIS + EDBA Final'!B209</f>
        <v>1</v>
      </c>
      <c r="I209" s="5">
        <f>VLOOKUP(B209,'BIS + EDBA Final'!A:F,6,FALSE)</f>
        <v>0</v>
      </c>
      <c r="J209" s="5">
        <f>VLOOKUP(B209,'CBG Final'!A:B,2,FALSE)</f>
        <v>3</v>
      </c>
      <c r="K209" s="9">
        <f t="shared" si="3"/>
        <v>1</v>
      </c>
      <c r="L209" s="5" t="s">
        <v>763</v>
      </c>
      <c r="M209" s="5" t="s">
        <v>291</v>
      </c>
      <c r="N209" s="5" t="s">
        <v>764</v>
      </c>
      <c r="O209" s="5" t="s">
        <v>200</v>
      </c>
      <c r="P209" s="5" t="s">
        <v>765</v>
      </c>
      <c r="Q209" s="5" t="s">
        <v>419</v>
      </c>
      <c r="R209" s="5" t="s">
        <v>20</v>
      </c>
      <c r="S209" s="10"/>
      <c r="T209" s="11"/>
      <c r="U209" s="11"/>
      <c r="V209" s="10"/>
      <c r="W209" s="10"/>
      <c r="X209" s="11"/>
      <c r="Y209" s="11"/>
      <c r="Z209" s="10"/>
      <c r="AA209" s="10"/>
      <c r="AB209" s="10"/>
      <c r="AC209" s="10"/>
      <c r="AD209" s="10"/>
      <c r="AE209" s="10"/>
      <c r="AF209" s="10"/>
      <c r="AG209" s="10"/>
      <c r="AH209" s="10"/>
    </row>
    <row r="210" spans="1:34" ht="15.75" customHeight="1">
      <c r="A210" s="5"/>
      <c r="B210" s="5" t="s">
        <v>1024</v>
      </c>
      <c r="C210" s="6" t="s">
        <v>278</v>
      </c>
      <c r="D210" s="7" t="s">
        <v>157</v>
      </c>
      <c r="E210" s="8">
        <v>96219</v>
      </c>
      <c r="F210" s="6" cm="1">
        <f t="array" ref="F210">_xlfn.IFS(
E210&lt;=$E$245,0,
E210&lt;=$E$246,1,
E210&lt;=$E$247,2,
E210&gt;=$E$247,3)</f>
        <v>1</v>
      </c>
      <c r="G210" s="7" cm="1">
        <f t="array" ref="G210">_xlfn.IFS(
OR(D210="Aerospace",D210="Aerospace &amp; Defense",D210="Agricultural Equipment",D210="Airlines",D210="Automotive",D210="Automotive &amp; Energy",D210="Automotive Components",D210="Aviation",D210="Building Materials",D210="Chemicals",D210="Commercial Vehicles",D210="Conglomerate &amp; Defense",D210="Conglomerate &amp; Energy",D210="Construction",D210="Construction &amp; Infrastructure",D210="Construction &amp; Real Estate",D210="Construction &amp; Telecom",D210="Discount Retail",D210="Energy Management",D210="Energy Technology",D210="Engines &amp; Power Systems",D210="Environmental Services",D210="Food Distribution",D210="Food Services",D210="Grocery Retail",D210="Healthcare &amp; Pharmacy",D210="Home Improvement Retail",D210="Industrial Engineering &amp; Electronics",D210="Oilfield Services",D210="Pharmaceuticals",D210="Pharmaceuticals &amp; Chemicals",D210="Pharmaceuticals &amp; Healthcare",D210="Pharmacy Retail",D210="Postal &amp; Logistics",D210="Retail",D210="Retail &amp; Distribution",D210="Retail &amp; Grocery",D210="Retail (IKEA)",D210="Tobacco",D210="Trading &amp; Conglomerate",D210="Utilities",D210="Utilities &amp; Energy",D210="Wholesale Retail"),2,
OR(D210="Agribusiness",D210="Automotive &amp; Heavy Vehicles",D210="Chemicals",D210="Commercial Vehicles",D210="Construction",D210="Construction &amp; Infrastructure",D210="Engines &amp; Power Systems",D210="Food Processing",D210="Healthcare",D210="Healthcare &amp; Medical Devices",D210="Heavy Equipment",D210="Heavy Industry",D210="Industrial Gases",D210="Industrial Manufacturing",D210="Logistics",D210="Medical Devices",D210="Mining",D210="Mining &amp; Commodities Trading",D210="Oil &amp; Gas",D210="Oilfield Services",D210="Rail Transport",D210="Shipping &amp; Logistics",D210="Steel"),3,
OR(D210="Apparel &amp; Footwear",D210="Beverage",D210="Coffeehouse &amp; Retail",D210="Conglomerate",D210="Consumer Goods",D210="Convenience Retail",D210="Electronics",D210="Electronics &amp; Semiconductors",D210="Electronics Retail",D210="Fashion Retail",D210="Food &amp; Beverage",D210="Food Retail &amp; Consumer Goods",D210="Industrial &amp; Technology",D210="Industrial Automation",D210="Industrial Technology",D210="Postal &amp; Financial Services",D210="Postal Services",D210="Scientific Instruments",D210="Technology Hardware",D210="Trading Company",D210="IT Consulting"),1,
OR(D210="Cosmetics",D210="E-commerce &amp; Cloud Computing",D210="Electronics &amp; Entertainment",D210="Entertainment &amp; Media",D210="Luxury Goods",D210="Media &amp; Telecommunications",D210="Networking Technology",D210="Real Estate Services",D210="Technology &amp; Consumer Electronics",D210="Telecommunications",D210="Telecommunications &amp; Investment"),1,
OR(D210="Asset Management",D210="Banking",D210="Banking &amp; Asset Services",D210="Banking &amp; Financial Services",D210="Banking &amp; Wealth Management",D210="Cloud Software",D210="Enterprise Software",D210="Financial Services",D210="Information Technology Consulting",D210="Investment Banking",D210="Social Media &amp; Technology",D210="Software &amp; Cloud Computing",D210="Technology &amp; Consulting",D210="Technology &amp; Internet Services",D210="Technology &amp; Software"),1,
TRUE,"Unmapped"
)</f>
        <v>1</v>
      </c>
      <c r="H210" s="5">
        <f>'BIS + EDBA Final'!B213</f>
        <v>1</v>
      </c>
      <c r="I210" s="5">
        <f>VLOOKUP(B210,'BIS + EDBA Final'!A:F,6,FALSE)</f>
        <v>1</v>
      </c>
      <c r="J210" s="5">
        <f>VLOOKUP(B210,'CBG Final'!A:B,2,FALSE)</f>
        <v>1</v>
      </c>
      <c r="K210" s="9">
        <f t="shared" si="3"/>
        <v>1</v>
      </c>
      <c r="L210" s="5" t="s">
        <v>1025</v>
      </c>
      <c r="M210" s="5" t="s">
        <v>749</v>
      </c>
      <c r="N210" s="5" t="s">
        <v>1026</v>
      </c>
      <c r="O210" s="5" t="s">
        <v>1027</v>
      </c>
      <c r="P210" s="5" t="s">
        <v>1028</v>
      </c>
      <c r="Q210" s="5" t="s">
        <v>1029</v>
      </c>
      <c r="R210" s="5" t="s">
        <v>144</v>
      </c>
      <c r="S210" s="10"/>
      <c r="T210" s="11"/>
      <c r="U210" s="11"/>
      <c r="V210" s="10"/>
      <c r="W210" s="10"/>
      <c r="X210" s="11"/>
      <c r="Y210" s="11"/>
      <c r="Z210" s="10"/>
      <c r="AA210" s="10"/>
      <c r="AB210" s="10"/>
      <c r="AC210" s="10"/>
      <c r="AD210" s="10"/>
      <c r="AE210" s="10"/>
      <c r="AF210" s="10"/>
      <c r="AG210" s="10"/>
      <c r="AH210" s="10"/>
    </row>
    <row r="211" spans="1:34" ht="15.75" customHeight="1">
      <c r="A211" s="5"/>
      <c r="B211" s="5" t="s">
        <v>647</v>
      </c>
      <c r="C211" s="6" t="s">
        <v>62</v>
      </c>
      <c r="D211" s="7" t="s">
        <v>157</v>
      </c>
      <c r="E211" s="8">
        <v>52554</v>
      </c>
      <c r="F211" s="6" cm="1">
        <f t="array" ref="F211">_xlfn.IFS(
E211&lt;=$E$245,0,
E211&lt;=$E$246,1,
E211&lt;=$E$247,2,
E211&gt;=$E$247,3)</f>
        <v>0</v>
      </c>
      <c r="G211" s="7" cm="1">
        <f t="array" ref="G211">_xlfn.IFS(
OR(D211="Aerospace",D211="Aerospace &amp; Defense",D211="Agricultural Equipment",D211="Airlines",D211="Automotive",D211="Automotive &amp; Energy",D211="Automotive Components",D211="Aviation",D211="Building Materials",D211="Chemicals",D211="Commercial Vehicles",D211="Conglomerate &amp; Defense",D211="Conglomerate &amp; Energy",D211="Construction",D211="Construction &amp; Infrastructure",D211="Construction &amp; Real Estate",D211="Construction &amp; Telecom",D211="Discount Retail",D211="Energy Management",D211="Energy Technology",D211="Engines &amp; Power Systems",D211="Environmental Services",D211="Food Distribution",D211="Food Services",D211="Grocery Retail",D211="Healthcare &amp; Pharmacy",D211="Home Improvement Retail",D211="Industrial Engineering &amp; Electronics",D211="Oilfield Services",D211="Pharmaceuticals",D211="Pharmaceuticals &amp; Chemicals",D211="Pharmaceuticals &amp; Healthcare",D211="Pharmacy Retail",D211="Postal &amp; Logistics",D211="Retail",D211="Retail &amp; Distribution",D211="Retail &amp; Grocery",D211="Retail (IKEA)",D211="Tobacco",D211="Trading &amp; Conglomerate",D211="Utilities",D211="Utilities &amp; Energy",D211="Wholesale Retail"),2,
OR(D211="Agribusiness",D211="Automotive &amp; Heavy Vehicles",D211="Chemicals",D211="Commercial Vehicles",D211="Construction",D211="Construction &amp; Infrastructure",D211="Engines &amp; Power Systems",D211="Food Processing",D211="Healthcare",D211="Healthcare &amp; Medical Devices",D211="Heavy Equipment",D211="Heavy Industry",D211="Industrial Gases",D211="Industrial Manufacturing",D211="Logistics",D211="Medical Devices",D211="Mining",D211="Mining &amp; Commodities Trading",D211="Oil &amp; Gas",D211="Oilfield Services",D211="Rail Transport",D211="Shipping &amp; Logistics",D211="Steel"),3,
OR(D211="Apparel &amp; Footwear",D211="Beverage",D211="Coffeehouse &amp; Retail",D211="Conglomerate",D211="Consumer Goods",D211="Convenience Retail",D211="Electronics",D211="Electronics &amp; Semiconductors",D211="Electronics Retail",D211="Fashion Retail",D211="Food &amp; Beverage",D211="Food Retail &amp; Consumer Goods",D211="Industrial &amp; Technology",D211="Industrial Automation",D211="Industrial Technology",D211="Postal &amp; Financial Services",D211="Postal Services",D211="Scientific Instruments",D211="Technology Hardware",D211="Trading Company",D211="IT Consulting"),1,
OR(D211="Cosmetics",D211="E-commerce &amp; Cloud Computing",D211="Electronics &amp; Entertainment",D211="Entertainment &amp; Media",D211="Luxury Goods",D211="Media &amp; Telecommunications",D211="Networking Technology",D211="Real Estate Services",D211="Technology &amp; Consumer Electronics",D211="Telecommunications",D211="Telecommunications &amp; Investment"),1,
OR(D211="Asset Management",D211="Banking",D211="Banking &amp; Asset Services",D211="Banking &amp; Financial Services",D211="Banking &amp; Wealth Management",D211="Cloud Software",D211="Enterprise Software",D211="Financial Services",D211="Information Technology Consulting",D211="Investment Banking",D211="Social Media &amp; Technology",D211="Software &amp; Cloud Computing",D211="Technology &amp; Consulting",D211="Technology &amp; Internet Services",D211="Technology &amp; Software"),1,
TRUE,"Unmapped"
)</f>
        <v>1</v>
      </c>
      <c r="H211" s="5">
        <f>'BIS + EDBA Final'!B223</f>
        <v>2</v>
      </c>
      <c r="I211" s="5">
        <f>VLOOKUP(B211,'BIS + EDBA Final'!A:F,6,FALSE)</f>
        <v>0</v>
      </c>
      <c r="J211" s="5">
        <f>VLOOKUP(B211,'CBG Final'!A:B,2,FALSE)</f>
        <v>2</v>
      </c>
      <c r="K211" s="9">
        <f t="shared" si="3"/>
        <v>1</v>
      </c>
      <c r="L211" s="5" t="s">
        <v>1152</v>
      </c>
      <c r="M211" s="5" t="s">
        <v>27</v>
      </c>
      <c r="N211" s="5" t="s">
        <v>1153</v>
      </c>
      <c r="O211" s="5" t="s">
        <v>1154</v>
      </c>
      <c r="P211" s="5" t="s">
        <v>1155</v>
      </c>
      <c r="Q211" s="5" t="s">
        <v>92</v>
      </c>
      <c r="R211" s="5" t="s">
        <v>34</v>
      </c>
      <c r="S211" s="10"/>
      <c r="T211" s="11"/>
      <c r="U211" s="11"/>
      <c r="V211" s="10"/>
      <c r="W211" s="10"/>
      <c r="X211" s="11"/>
      <c r="Y211" s="11"/>
      <c r="Z211" s="10"/>
      <c r="AA211" s="10"/>
      <c r="AB211" s="10"/>
      <c r="AC211" s="10"/>
      <c r="AD211" s="10"/>
      <c r="AE211" s="10"/>
      <c r="AF211" s="10"/>
      <c r="AG211" s="10"/>
      <c r="AH211" s="10"/>
    </row>
    <row r="212" spans="1:34" ht="15.75" customHeight="1">
      <c r="A212" s="5"/>
      <c r="B212" s="5" t="s">
        <v>269</v>
      </c>
      <c r="C212" s="6" t="s">
        <v>94</v>
      </c>
      <c r="D212" s="7" t="s">
        <v>173</v>
      </c>
      <c r="E212" s="8">
        <v>74378</v>
      </c>
      <c r="F212" s="6" cm="1">
        <f t="array" ref="F212">_xlfn.IFS(
E212&lt;=$E$245,0,
E212&lt;=$E$246,1,
E212&lt;=$E$247,2,
E212&gt;=$E$247,3)</f>
        <v>0</v>
      </c>
      <c r="G212" s="7" cm="1">
        <f t="array" ref="G212">_xlfn.IFS(
OR(D212="Aerospace",D212="Aerospace &amp; Defense",D212="Agricultural Equipment",D212="Airlines",D212="Automotive",D212="Automotive &amp; Energy",D212="Automotive Components",D212="Aviation",D212="Building Materials",D212="Chemicals",D212="Commercial Vehicles",D212="Conglomerate &amp; Defense",D212="Conglomerate &amp; Energy",D212="Construction",D212="Construction &amp; Infrastructure",D212="Construction &amp; Real Estate",D212="Construction &amp; Telecom",D212="Discount Retail",D212="Energy Management",D212="Energy Technology",D212="Engines &amp; Power Systems",D212="Environmental Services",D212="Food Distribution",D212="Food Services",D212="Grocery Retail",D212="Healthcare &amp; Pharmacy",D212="Home Improvement Retail",D212="Industrial Engineering &amp; Electronics",D212="Oilfield Services",D212="Pharmaceuticals",D212="Pharmaceuticals &amp; Chemicals",D212="Pharmaceuticals &amp; Healthcare",D212="Pharmacy Retail",D212="Postal &amp; Logistics",D212="Retail",D212="Retail &amp; Distribution",D212="Retail &amp; Grocery",D212="Retail (IKEA)",D212="Tobacco",D212="Trading &amp; Conglomerate",D212="Utilities",D212="Utilities &amp; Energy",D212="Wholesale Retail"),2,
OR(D212="Agribusiness",D212="Automotive &amp; Heavy Vehicles",D212="Chemicals",D212="Commercial Vehicles",D212="Construction",D212="Construction &amp; Infrastructure",D212="Engines &amp; Power Systems",D212="Food Processing",D212="Healthcare",D212="Healthcare &amp; Medical Devices",D212="Heavy Equipment",D212="Heavy Industry",D212="Industrial Gases",D212="Industrial Manufacturing",D212="Logistics",D212="Medical Devices",D212="Mining",D212="Mining &amp; Commodities Trading",D212="Oil &amp; Gas",D212="Oilfield Services",D212="Rail Transport",D212="Shipping &amp; Logistics",D212="Steel"),3,
OR(D212="Apparel &amp; Footwear",D212="Beverage",D212="Coffeehouse &amp; Retail",D212="Conglomerate",D212="Consumer Goods",D212="Convenience Retail",D212="Electronics",D212="Electronics &amp; Semiconductors",D212="Electronics Retail",D212="Fashion Retail",D212="Food &amp; Beverage",D212="Food Retail &amp; Consumer Goods",D212="Industrial &amp; Technology",D212="Industrial Automation",D212="Industrial Technology",D212="Postal &amp; Financial Services",D212="Postal Services",D212="Scientific Instruments",D212="Technology Hardware",D212="Trading Company",D212="IT Consulting"),1,
OR(D212="Cosmetics",D212="E-commerce &amp; Cloud Computing",D212="Electronics &amp; Entertainment",D212="Entertainment &amp; Media",D212="Luxury Goods",D212="Media &amp; Telecommunications",D212="Networking Technology",D212="Real Estate Services",D212="Technology &amp; Consumer Electronics",D212="Telecommunications",D212="Telecommunications &amp; Investment"),1,
OR(D212="Asset Management",D212="Banking",D212="Banking &amp; Asset Services",D212="Banking &amp; Financial Services",D212="Banking &amp; Wealth Management",D212="Cloud Software",D212="Enterprise Software",D212="Financial Services",D212="Information Technology Consulting",D212="Investment Banking",D212="Social Media &amp; Technology",D212="Software &amp; Cloud Computing",D212="Technology &amp; Consulting",D212="Technology &amp; Internet Services",D212="Technology &amp; Software"),1,
TRUE,"Unmapped"
)</f>
        <v>2</v>
      </c>
      <c r="H212" s="5">
        <v>1</v>
      </c>
      <c r="I212" s="5">
        <f>VLOOKUP(B212,'BIS + EDBA Final'!A:F,6,FALSE)</f>
        <v>-1</v>
      </c>
      <c r="J212" s="5">
        <f>VLOOKUP(B212,'CBG Final'!A:B,2,FALSE)</f>
        <v>2</v>
      </c>
      <c r="K212" s="9">
        <f t="shared" si="3"/>
        <v>0.90000000000000013</v>
      </c>
      <c r="L212" s="5" t="s">
        <v>270</v>
      </c>
      <c r="M212" s="5" t="s">
        <v>271</v>
      </c>
      <c r="N212" s="5" t="s">
        <v>272</v>
      </c>
      <c r="O212" s="5" t="s">
        <v>273</v>
      </c>
      <c r="P212" s="5" t="s">
        <v>274</v>
      </c>
      <c r="Q212" s="5" t="s">
        <v>33</v>
      </c>
      <c r="R212" s="5" t="s">
        <v>47</v>
      </c>
      <c r="S212" s="10"/>
      <c r="T212" s="11"/>
      <c r="U212" s="11"/>
      <c r="V212" s="10"/>
      <c r="W212" s="10"/>
      <c r="X212" s="10"/>
      <c r="Y212" s="10"/>
      <c r="Z212" s="10"/>
      <c r="AA212" s="10"/>
      <c r="AB212" s="10"/>
      <c r="AC212" s="10"/>
      <c r="AD212" s="10"/>
      <c r="AE212" s="10"/>
      <c r="AF212" s="10"/>
      <c r="AG212" s="10"/>
      <c r="AH212" s="10"/>
    </row>
    <row r="213" spans="1:34" ht="15.75" customHeight="1">
      <c r="A213" s="5"/>
      <c r="B213" s="5" t="s">
        <v>984</v>
      </c>
      <c r="C213" s="6" t="s">
        <v>182</v>
      </c>
      <c r="D213" s="7" t="s">
        <v>86</v>
      </c>
      <c r="E213" s="8">
        <v>75137</v>
      </c>
      <c r="F213" s="6" cm="1">
        <f t="array" ref="F213">_xlfn.IFS(
E213&lt;=$E$245,0,
E213&lt;=$E$246,1,
E213&lt;=$E$247,2,
E213&gt;=$E$247,3)</f>
        <v>0</v>
      </c>
      <c r="G213" s="7" cm="1">
        <f t="array" ref="G213">_xlfn.IFS(
OR(D213="Aerospace",D213="Aerospace &amp; Defense",D213="Agricultural Equipment",D213="Airlines",D213="Automotive",D213="Automotive &amp; Energy",D213="Automotive Components",D213="Aviation",D213="Building Materials",D213="Chemicals",D213="Commercial Vehicles",D213="Conglomerate &amp; Defense",D213="Conglomerate &amp; Energy",D213="Construction",D213="Construction &amp; Infrastructure",D213="Construction &amp; Real Estate",D213="Construction &amp; Telecom",D213="Discount Retail",D213="Energy Management",D213="Energy Technology",D213="Engines &amp; Power Systems",D213="Environmental Services",D213="Food Distribution",D213="Food Services",D213="Grocery Retail",D213="Healthcare &amp; Pharmacy",D213="Home Improvement Retail",D213="Industrial Engineering &amp; Electronics",D213="Oilfield Services",D213="Pharmaceuticals",D213="Pharmaceuticals &amp; Chemicals",D213="Pharmaceuticals &amp; Healthcare",D213="Pharmacy Retail",D213="Postal &amp; Logistics",D213="Retail",D213="Retail &amp; Distribution",D213="Retail &amp; Grocery",D213="Retail (IKEA)",D213="Tobacco",D213="Trading &amp; Conglomerate",D213="Utilities",D213="Utilities &amp; Energy",D213="Wholesale Retail"),2,
OR(D213="Agribusiness",D213="Automotive &amp; Heavy Vehicles",D213="Chemicals",D213="Commercial Vehicles",D213="Construction",D213="Construction &amp; Infrastructure",D213="Engines &amp; Power Systems",D213="Food Processing",D213="Healthcare",D213="Healthcare &amp; Medical Devices",D213="Heavy Equipment",D213="Heavy Industry",D213="Industrial Gases",D213="Industrial Manufacturing",D213="Logistics",D213="Medical Devices",D213="Mining",D213="Mining &amp; Commodities Trading",D213="Oil &amp; Gas",D213="Oilfield Services",D213="Rail Transport",D213="Shipping &amp; Logistics",D213="Steel"),3,
OR(D213="Apparel &amp; Footwear",D213="Beverage",D213="Coffeehouse &amp; Retail",D213="Conglomerate",D213="Consumer Goods",D213="Convenience Retail",D213="Electronics",D213="Electronics &amp; Semiconductors",D213="Electronics Retail",D213="Fashion Retail",D213="Food &amp; Beverage",D213="Food Retail &amp; Consumer Goods",D213="Industrial &amp; Technology",D213="Industrial Automation",D213="Industrial Technology",D213="Postal &amp; Financial Services",D213="Postal Services",D213="Scientific Instruments",D213="Technology Hardware",D213="Trading Company",D213="IT Consulting"),1,
OR(D213="Cosmetics",D213="E-commerce &amp; Cloud Computing",D213="Electronics &amp; Entertainment",D213="Entertainment &amp; Media",D213="Luxury Goods",D213="Media &amp; Telecommunications",D213="Networking Technology",D213="Real Estate Services",D213="Technology &amp; Consumer Electronics",D213="Telecommunications",D213="Telecommunications &amp; Investment"),1,
OR(D213="Asset Management",D213="Banking",D213="Banking &amp; Asset Services",D213="Banking &amp; Financial Services",D213="Banking &amp; Wealth Management",D213="Cloud Software",D213="Enterprise Software",D213="Financial Services",D213="Information Technology Consulting",D213="Investment Banking",D213="Social Media &amp; Technology",D213="Software &amp; Cloud Computing",D213="Technology &amp; Consulting",D213="Technology &amp; Internet Services",D213="Technology &amp; Software"),1,
TRUE,"Unmapped"
)</f>
        <v>2</v>
      </c>
      <c r="H213" s="5">
        <v>1</v>
      </c>
      <c r="I213" s="5">
        <f>VLOOKUP(B213,'BIS + EDBA Final'!A:F,6,FALSE)</f>
        <v>1</v>
      </c>
      <c r="J213" s="5">
        <f>VLOOKUP(B213,'CBG Final'!A:B,2,FALSE)</f>
        <v>1</v>
      </c>
      <c r="K213" s="9">
        <f t="shared" si="3"/>
        <v>0.90000000000000013</v>
      </c>
      <c r="L213" s="5" t="s">
        <v>985</v>
      </c>
      <c r="M213" s="5" t="s">
        <v>132</v>
      </c>
      <c r="N213" s="5" t="s">
        <v>986</v>
      </c>
      <c r="O213" s="5" t="s">
        <v>436</v>
      </c>
      <c r="P213" s="5" t="s">
        <v>987</v>
      </c>
      <c r="Q213" s="5" t="s">
        <v>82</v>
      </c>
      <c r="R213" s="5" t="s">
        <v>145</v>
      </c>
      <c r="S213" s="10"/>
      <c r="T213" s="11"/>
      <c r="U213" s="11"/>
      <c r="V213" s="10"/>
      <c r="W213" s="10"/>
      <c r="X213" s="11"/>
      <c r="Y213" s="11"/>
      <c r="Z213" s="10"/>
      <c r="AA213" s="10"/>
      <c r="AB213" s="10"/>
      <c r="AC213" s="10"/>
      <c r="AD213" s="10"/>
      <c r="AE213" s="10"/>
      <c r="AF213" s="10"/>
      <c r="AG213" s="10"/>
      <c r="AH213" s="10"/>
    </row>
    <row r="214" spans="1:34" ht="15.75" customHeight="1">
      <c r="A214" s="5"/>
      <c r="B214" s="5" t="s">
        <v>940</v>
      </c>
      <c r="C214" s="6" t="s">
        <v>182</v>
      </c>
      <c r="D214" s="7" t="s">
        <v>941</v>
      </c>
      <c r="E214" s="8">
        <v>73237</v>
      </c>
      <c r="F214" s="6" cm="1">
        <f t="array" ref="F214">_xlfn.IFS(
E214&lt;=$E$245,0,
E214&lt;=$E$246,1,
E214&lt;=$E$247,2,
E214&gt;=$E$247,3)</f>
        <v>0</v>
      </c>
      <c r="G214" s="7" cm="1">
        <f t="array" ref="G214">_xlfn.IFS(
OR(D214="Aerospace",D214="Aerospace &amp; Defense",D214="Agricultural Equipment",D214="Airlines",D214="Automotive",D214="Automotive &amp; Energy",D214="Automotive Components",D214="Aviation",D214="Building Materials",D214="Chemicals",D214="Commercial Vehicles",D214="Conglomerate &amp; Defense",D214="Conglomerate &amp; Energy",D214="Construction",D214="Construction &amp; Infrastructure",D214="Construction &amp; Real Estate",D214="Construction &amp; Telecom",D214="Discount Retail",D214="Energy Management",D214="Energy Technology",D214="Engines &amp; Power Systems",D214="Environmental Services",D214="Food Distribution",D214="Food Services",D214="Grocery Retail",D214="Healthcare &amp; Pharmacy",D214="Home Improvement Retail",D214="Industrial Engineering &amp; Electronics",D214="Oilfield Services",D214="Pharmaceuticals",D214="Pharmaceuticals &amp; Chemicals",D214="Pharmaceuticals &amp; Healthcare",D214="Pharmacy Retail",D214="Postal &amp; Logistics",D214="Retail",D214="Retail &amp; Distribution",D214="Retail &amp; Grocery",D214="Retail (IKEA)",D214="Tobacco",D214="Trading &amp; Conglomerate",D214="Utilities",D214="Utilities &amp; Energy",D214="Wholesale Retail"),2,
OR(D214="Agribusiness",D214="Automotive &amp; Heavy Vehicles",D214="Chemicals",D214="Commercial Vehicles",D214="Construction",D214="Construction &amp; Infrastructure",D214="Engines &amp; Power Systems",D214="Food Processing",D214="Healthcare",D214="Healthcare &amp; Medical Devices",D214="Heavy Equipment",D214="Heavy Industry",D214="Industrial Gases",D214="Industrial Manufacturing",D214="Logistics",D214="Medical Devices",D214="Mining",D214="Mining &amp; Commodities Trading",D214="Oil &amp; Gas",D214="Oilfield Services",D214="Rail Transport",D214="Shipping &amp; Logistics",D214="Steel"),3,
OR(D214="Apparel &amp; Footwear",D214="Beverage",D214="Coffeehouse &amp; Retail",D214="Conglomerate",D214="Consumer Goods",D214="Convenience Retail",D214="Electronics",D214="Electronics &amp; Semiconductors",D214="Electronics Retail",D214="Fashion Retail",D214="Food &amp; Beverage",D214="Food Retail &amp; Consumer Goods",D214="Industrial &amp; Technology",D214="Industrial Automation",D214="Industrial Technology",D214="Postal &amp; Financial Services",D214="Postal Services",D214="Scientific Instruments",D214="Technology Hardware",D214="Trading Company",D214="IT Consulting"),1,
OR(D214="Cosmetics",D214="E-commerce &amp; Cloud Computing",D214="Electronics &amp; Entertainment",D214="Entertainment &amp; Media",D214="Luxury Goods",D214="Media &amp; Telecommunications",D214="Networking Technology",D214="Real Estate Services",D214="Technology &amp; Consumer Electronics",D214="Telecommunications",D214="Telecommunications &amp; Investment"),1,
OR(D214="Asset Management",D214="Banking",D214="Banking &amp; Asset Services",D214="Banking &amp; Financial Services",D214="Banking &amp; Wealth Management",D214="Cloud Software",D214="Enterprise Software",D214="Financial Services",D214="Information Technology Consulting",D214="Investment Banking",D214="Social Media &amp; Technology",D214="Software &amp; Cloud Computing",D214="Technology &amp; Consulting",D214="Technology &amp; Internet Services",D214="Technology &amp; Software"),1,
TRUE,"Unmapped"
)</f>
        <v>2</v>
      </c>
      <c r="H214" s="5">
        <v>1</v>
      </c>
      <c r="I214" s="5">
        <f>VLOOKUP(B214,'BIS + EDBA Final'!A:F,6,FALSE)</f>
        <v>1</v>
      </c>
      <c r="J214" s="5">
        <f>VLOOKUP(B214,'CBG Final'!A:B,2,FALSE)</f>
        <v>1</v>
      </c>
      <c r="K214" s="9">
        <f t="shared" si="3"/>
        <v>0.90000000000000013</v>
      </c>
      <c r="L214" s="5" t="s">
        <v>942</v>
      </c>
      <c r="M214" s="5" t="s">
        <v>436</v>
      </c>
      <c r="N214" s="5" t="s">
        <v>943</v>
      </c>
      <c r="O214" s="5" t="s">
        <v>944</v>
      </c>
      <c r="P214" s="5" t="s">
        <v>945</v>
      </c>
      <c r="Q214" s="5" t="s">
        <v>303</v>
      </c>
      <c r="R214" s="5" t="s">
        <v>422</v>
      </c>
      <c r="S214" s="10"/>
      <c r="T214" s="11"/>
      <c r="U214" s="11"/>
      <c r="V214" s="10"/>
      <c r="W214" s="10"/>
      <c r="X214" s="10"/>
      <c r="Y214" s="10"/>
      <c r="Z214" s="10"/>
      <c r="AA214" s="10"/>
      <c r="AB214" s="10"/>
      <c r="AC214" s="10"/>
      <c r="AD214" s="10"/>
      <c r="AE214" s="10"/>
      <c r="AF214" s="10"/>
      <c r="AG214" s="10"/>
      <c r="AH214" s="10"/>
    </row>
    <row r="215" spans="1:34" ht="15.75" customHeight="1">
      <c r="A215" s="5"/>
      <c r="B215" s="5" t="s">
        <v>799</v>
      </c>
      <c r="C215" s="6" t="s">
        <v>62</v>
      </c>
      <c r="D215" s="7" t="s">
        <v>800</v>
      </c>
      <c r="E215" s="8">
        <v>50390</v>
      </c>
      <c r="F215" s="6" cm="1">
        <f t="array" ref="F215">_xlfn.IFS(
E215&lt;=$E$245,0,
E215&lt;=$E$246,1,
E215&lt;=$E$247,2,
E215&gt;=$E$247,3)</f>
        <v>0</v>
      </c>
      <c r="G215" s="7" cm="1">
        <f t="array" ref="G215">_xlfn.IFS(
OR(D215="Aerospace",D215="Aerospace &amp; Defense",D215="Agricultural Equipment",D215="Airlines",D215="Automotive",D215="Automotive &amp; Energy",D215="Automotive Components",D215="Aviation",D215="Building Materials",D215="Chemicals",D215="Commercial Vehicles",D215="Conglomerate &amp; Defense",D215="Conglomerate &amp; Energy",D215="Construction",D215="Construction &amp; Infrastructure",D215="Construction &amp; Real Estate",D215="Construction &amp; Telecom",D215="Discount Retail",D215="Energy Management",D215="Energy Technology",D215="Engines &amp; Power Systems",D215="Environmental Services",D215="Food Distribution",D215="Food Services",D215="Grocery Retail",D215="Healthcare &amp; Pharmacy",D215="Home Improvement Retail",D215="Industrial Engineering &amp; Electronics",D215="Oilfield Services",D215="Pharmaceuticals",D215="Pharmaceuticals &amp; Chemicals",D215="Pharmaceuticals &amp; Healthcare",D215="Pharmacy Retail",D215="Postal &amp; Logistics",D215="Retail",D215="Retail &amp; Distribution",D215="Retail &amp; Grocery",D215="Retail (IKEA)",D215="Tobacco",D215="Trading &amp; Conglomerate",D215="Utilities",D215="Utilities &amp; Energy",D215="Wholesale Retail"),2,
OR(D215="Agribusiness",D215="Automotive &amp; Heavy Vehicles",D215="Chemicals",D215="Commercial Vehicles",D215="Construction",D215="Construction &amp; Infrastructure",D215="Engines &amp; Power Systems",D215="Food Processing",D215="Healthcare",D215="Healthcare &amp; Medical Devices",D215="Heavy Equipment",D215="Heavy Industry",D215="Industrial Gases",D215="Industrial Manufacturing",D215="Logistics",D215="Medical Devices",D215="Mining",D215="Mining &amp; Commodities Trading",D215="Oil &amp; Gas",D215="Oilfield Services",D215="Rail Transport",D215="Shipping &amp; Logistics",D215="Steel"),3,
OR(D215="Apparel &amp; Footwear",D215="Beverage",D215="Coffeehouse &amp; Retail",D215="Conglomerate",D215="Consumer Goods",D215="Convenience Retail",D215="Electronics",D215="Electronics &amp; Semiconductors",D215="Electronics Retail",D215="Fashion Retail",D215="Food &amp; Beverage",D215="Food Retail &amp; Consumer Goods",D215="Industrial &amp; Technology",D215="Industrial Automation",D215="Industrial Technology",D215="Postal &amp; Financial Services",D215="Postal Services",D215="Scientific Instruments",D215="Technology Hardware",D215="Trading Company",D215="IT Consulting"),1,
OR(D215="Cosmetics",D215="E-commerce &amp; Cloud Computing",D215="Electronics &amp; Entertainment",D215="Entertainment &amp; Media",D215="Luxury Goods",D215="Media &amp; Telecommunications",D215="Networking Technology",D215="Real Estate Services",D215="Technology &amp; Consumer Electronics",D215="Telecommunications",D215="Telecommunications &amp; Investment"),1,
OR(D215="Asset Management",D215="Banking",D215="Banking &amp; Asset Services",D215="Banking &amp; Financial Services",D215="Banking &amp; Wealth Management",D215="Cloud Software",D215="Enterprise Software",D215="Financial Services",D215="Information Technology Consulting",D215="Investment Banking",D215="Social Media &amp; Technology",D215="Software &amp; Cloud Computing",D215="Technology &amp; Consulting",D215="Technology &amp; Internet Services",D215="Technology &amp; Software"),1,
TRUE,"Unmapped"
)</f>
        <v>2</v>
      </c>
      <c r="H215" s="5">
        <v>1</v>
      </c>
      <c r="I215" s="5">
        <f>VLOOKUP(B215,'BIS + EDBA Final'!A:F,6,FALSE)</f>
        <v>1</v>
      </c>
      <c r="J215" s="5">
        <f>VLOOKUP(B215,'CBG Final'!A:B,2,FALSE)</f>
        <v>1</v>
      </c>
      <c r="K215" s="9">
        <f t="shared" si="3"/>
        <v>0.90000000000000013</v>
      </c>
      <c r="L215" s="5" t="s">
        <v>801</v>
      </c>
      <c r="M215" s="5" t="s">
        <v>802</v>
      </c>
      <c r="N215" s="5" t="s">
        <v>803</v>
      </c>
      <c r="O215" s="5" t="s">
        <v>132</v>
      </c>
      <c r="P215" s="5" t="s">
        <v>804</v>
      </c>
      <c r="Q215" s="5" t="s">
        <v>210</v>
      </c>
      <c r="R215" s="5" t="s">
        <v>167</v>
      </c>
      <c r="S215" s="10"/>
      <c r="T215" s="11"/>
      <c r="U215" s="11"/>
      <c r="V215" s="10"/>
      <c r="W215" s="10"/>
      <c r="X215" s="10"/>
      <c r="Y215" s="10"/>
      <c r="Z215" s="10"/>
      <c r="AA215" s="10"/>
      <c r="AB215" s="10"/>
      <c r="AC215" s="10"/>
      <c r="AD215" s="10"/>
      <c r="AE215" s="10"/>
      <c r="AF215" s="10"/>
      <c r="AG215" s="10"/>
      <c r="AH215" s="10"/>
    </row>
    <row r="216" spans="1:34" ht="15.75" customHeight="1">
      <c r="A216" s="5"/>
      <c r="B216" s="5" t="s">
        <v>567</v>
      </c>
      <c r="C216" s="6" t="s">
        <v>278</v>
      </c>
      <c r="D216" s="7" t="s">
        <v>157</v>
      </c>
      <c r="E216" s="8">
        <v>78644</v>
      </c>
      <c r="F216" s="6" cm="1">
        <f t="array" ref="F216">_xlfn.IFS(
E216&lt;=$E$245,0,
E216&lt;=$E$246,1,
E216&lt;=$E$247,2,
E216&gt;=$E$247,3)</f>
        <v>0</v>
      </c>
      <c r="G216" s="7" cm="1">
        <f t="array" ref="G216">_xlfn.IFS(
OR(D216="Aerospace",D216="Aerospace &amp; Defense",D216="Agricultural Equipment",D216="Airlines",D216="Automotive",D216="Automotive &amp; Energy",D216="Automotive Components",D216="Aviation",D216="Building Materials",D216="Chemicals",D216="Commercial Vehicles",D216="Conglomerate &amp; Defense",D216="Conglomerate &amp; Energy",D216="Construction",D216="Construction &amp; Infrastructure",D216="Construction &amp; Real Estate",D216="Construction &amp; Telecom",D216="Discount Retail",D216="Energy Management",D216="Energy Technology",D216="Engines &amp; Power Systems",D216="Environmental Services",D216="Food Distribution",D216="Food Services",D216="Grocery Retail",D216="Healthcare &amp; Pharmacy",D216="Home Improvement Retail",D216="Industrial Engineering &amp; Electronics",D216="Oilfield Services",D216="Pharmaceuticals",D216="Pharmaceuticals &amp; Chemicals",D216="Pharmaceuticals &amp; Healthcare",D216="Pharmacy Retail",D216="Postal &amp; Logistics",D216="Retail",D216="Retail &amp; Distribution",D216="Retail &amp; Grocery",D216="Retail (IKEA)",D216="Tobacco",D216="Trading &amp; Conglomerate",D216="Utilities",D216="Utilities &amp; Energy",D216="Wholesale Retail"),2,
OR(D216="Agribusiness",D216="Automotive &amp; Heavy Vehicles",D216="Chemicals",D216="Commercial Vehicles",D216="Construction",D216="Construction &amp; Infrastructure",D216="Engines &amp; Power Systems",D216="Food Processing",D216="Healthcare",D216="Healthcare &amp; Medical Devices",D216="Heavy Equipment",D216="Heavy Industry",D216="Industrial Gases",D216="Industrial Manufacturing",D216="Logistics",D216="Medical Devices",D216="Mining",D216="Mining &amp; Commodities Trading",D216="Oil &amp; Gas",D216="Oilfield Services",D216="Rail Transport",D216="Shipping &amp; Logistics",D216="Steel"),3,
OR(D216="Apparel &amp; Footwear",D216="Beverage",D216="Coffeehouse &amp; Retail",D216="Conglomerate",D216="Consumer Goods",D216="Convenience Retail",D216="Electronics",D216="Electronics &amp; Semiconductors",D216="Electronics Retail",D216="Fashion Retail",D216="Food &amp; Beverage",D216="Food Retail &amp; Consumer Goods",D216="Industrial &amp; Technology",D216="Industrial Automation",D216="Industrial Technology",D216="Postal &amp; Financial Services",D216="Postal Services",D216="Scientific Instruments",D216="Technology Hardware",D216="Trading Company",D216="IT Consulting"),1,
OR(D216="Cosmetics",D216="E-commerce &amp; Cloud Computing",D216="Electronics &amp; Entertainment",D216="Entertainment &amp; Media",D216="Luxury Goods",D216="Media &amp; Telecommunications",D216="Networking Technology",D216="Real Estate Services",D216="Technology &amp; Consumer Electronics",D216="Telecommunications",D216="Telecommunications &amp; Investment"),1,
OR(D216="Asset Management",D216="Banking",D216="Banking &amp; Asset Services",D216="Banking &amp; Financial Services",D216="Banking &amp; Wealth Management",D216="Cloud Software",D216="Enterprise Software",D216="Financial Services",D216="Information Technology Consulting",D216="Investment Banking",D216="Social Media &amp; Technology",D216="Software &amp; Cloud Computing",D216="Technology &amp; Consulting",D216="Technology &amp; Internet Services",D216="Technology &amp; Software"),1,
TRUE,"Unmapped"
)</f>
        <v>1</v>
      </c>
      <c r="H216" s="5">
        <f>'BIS + EDBA Final'!B204</f>
        <v>2</v>
      </c>
      <c r="I216" s="5">
        <f>VLOOKUP(B216,'BIS + EDBA Final'!A:F,6,FALSE)</f>
        <v>1</v>
      </c>
      <c r="J216" s="5">
        <f>VLOOKUP(B216,'CBG Final'!A:B,2,FALSE)</f>
        <v>1</v>
      </c>
      <c r="K216" s="9">
        <f t="shared" si="3"/>
        <v>0.90000000000000013</v>
      </c>
      <c r="L216" s="5" t="s">
        <v>568</v>
      </c>
      <c r="M216" s="5" t="s">
        <v>569</v>
      </c>
      <c r="N216" s="5" t="s">
        <v>570</v>
      </c>
      <c r="O216" s="5" t="s">
        <v>571</v>
      </c>
      <c r="P216" s="5" t="s">
        <v>572</v>
      </c>
      <c r="Q216" s="5" t="s">
        <v>573</v>
      </c>
      <c r="R216" s="5" t="s">
        <v>58</v>
      </c>
      <c r="S216" s="10"/>
      <c r="T216" s="11"/>
      <c r="U216" s="11"/>
      <c r="V216" s="10"/>
      <c r="W216" s="10"/>
      <c r="X216" s="10"/>
      <c r="Y216" s="10"/>
      <c r="Z216" s="10"/>
      <c r="AA216" s="10"/>
      <c r="AB216" s="10"/>
      <c r="AC216" s="10"/>
      <c r="AD216" s="10"/>
      <c r="AE216" s="10"/>
      <c r="AF216" s="10"/>
      <c r="AG216" s="10"/>
      <c r="AH216" s="10"/>
    </row>
    <row r="217" spans="1:34" ht="15.75" customHeight="1">
      <c r="A217" s="5"/>
      <c r="B217" s="5" t="s">
        <v>1329</v>
      </c>
      <c r="C217" s="6" t="s">
        <v>94</v>
      </c>
      <c r="D217" s="7" t="s">
        <v>157</v>
      </c>
      <c r="E217" s="8">
        <v>81097</v>
      </c>
      <c r="F217" s="6" cm="1">
        <f t="array" ref="F217">_xlfn.IFS(
E217&lt;=$E$245,0,
E217&lt;=$E$246,1,
E217&lt;=$E$247,2,
E217&gt;=$E$247,3)</f>
        <v>0</v>
      </c>
      <c r="G217" s="7" cm="1">
        <f t="array" ref="G217">_xlfn.IFS(
OR(D217="Aerospace",D217="Aerospace &amp; Defense",D217="Agricultural Equipment",D217="Airlines",D217="Automotive",D217="Automotive &amp; Energy",D217="Automotive Components",D217="Aviation",D217="Building Materials",D217="Chemicals",D217="Commercial Vehicles",D217="Conglomerate &amp; Defense",D217="Conglomerate &amp; Energy",D217="Construction",D217="Construction &amp; Infrastructure",D217="Construction &amp; Real Estate",D217="Construction &amp; Telecom",D217="Discount Retail",D217="Energy Management",D217="Energy Technology",D217="Engines &amp; Power Systems",D217="Environmental Services",D217="Food Distribution",D217="Food Services",D217="Grocery Retail",D217="Healthcare &amp; Pharmacy",D217="Home Improvement Retail",D217="Industrial Engineering &amp; Electronics",D217="Oilfield Services",D217="Pharmaceuticals",D217="Pharmaceuticals &amp; Chemicals",D217="Pharmaceuticals &amp; Healthcare",D217="Pharmacy Retail",D217="Postal &amp; Logistics",D217="Retail",D217="Retail &amp; Distribution",D217="Retail &amp; Grocery",D217="Retail (IKEA)",D217="Tobacco",D217="Trading &amp; Conglomerate",D217="Utilities",D217="Utilities &amp; Energy",D217="Wholesale Retail"),2,
OR(D217="Agribusiness",D217="Automotive &amp; Heavy Vehicles",D217="Chemicals",D217="Commercial Vehicles",D217="Construction",D217="Construction &amp; Infrastructure",D217="Engines &amp; Power Systems",D217="Food Processing",D217="Healthcare",D217="Healthcare &amp; Medical Devices",D217="Heavy Equipment",D217="Heavy Industry",D217="Industrial Gases",D217="Industrial Manufacturing",D217="Logistics",D217="Medical Devices",D217="Mining",D217="Mining &amp; Commodities Trading",D217="Oil &amp; Gas",D217="Oilfield Services",D217="Rail Transport",D217="Shipping &amp; Logistics",D217="Steel"),3,
OR(D217="Apparel &amp; Footwear",D217="Beverage",D217="Coffeehouse &amp; Retail",D217="Conglomerate",D217="Consumer Goods",D217="Convenience Retail",D217="Electronics",D217="Electronics &amp; Semiconductors",D217="Electronics Retail",D217="Fashion Retail",D217="Food &amp; Beverage",D217="Food Retail &amp; Consumer Goods",D217="Industrial &amp; Technology",D217="Industrial Automation",D217="Industrial Technology",D217="Postal &amp; Financial Services",D217="Postal Services",D217="Scientific Instruments",D217="Technology Hardware",D217="Trading Company",D217="IT Consulting"),1,
OR(D217="Cosmetics",D217="E-commerce &amp; Cloud Computing",D217="Electronics &amp; Entertainment",D217="Entertainment &amp; Media",D217="Luxury Goods",D217="Media &amp; Telecommunications",D217="Networking Technology",D217="Real Estate Services",D217="Technology &amp; Consumer Electronics",D217="Telecommunications",D217="Telecommunications &amp; Investment"),1,
OR(D217="Asset Management",D217="Banking",D217="Banking &amp; Asset Services",D217="Banking &amp; Financial Services",D217="Banking &amp; Wealth Management",D217="Cloud Software",D217="Enterprise Software",D217="Financial Services",D217="Information Technology Consulting",D217="Investment Banking",D217="Social Media &amp; Technology",D217="Software &amp; Cloud Computing",D217="Technology &amp; Consulting",D217="Technology &amp; Internet Services",D217="Technology &amp; Software"),1,
TRUE,"Unmapped"
)</f>
        <v>1</v>
      </c>
      <c r="H217" s="5">
        <f>'BIS + EDBA Final'!B215</f>
        <v>1</v>
      </c>
      <c r="I217" s="5">
        <f>VLOOKUP(B217,'BIS + EDBA Final'!A:F,6,FALSE)</f>
        <v>-1</v>
      </c>
      <c r="J217" s="5">
        <f>VLOOKUP(B217,'CBG Final'!A:B,2,FALSE)</f>
        <v>3</v>
      </c>
      <c r="K217" s="9">
        <f t="shared" si="3"/>
        <v>0.90000000000000013</v>
      </c>
      <c r="L217" s="5" t="s">
        <v>1330</v>
      </c>
      <c r="M217" s="5" t="s">
        <v>1296</v>
      </c>
      <c r="N217" s="5" t="s">
        <v>1331</v>
      </c>
      <c r="O217" s="5" t="s">
        <v>1332</v>
      </c>
      <c r="P217" s="5" t="s">
        <v>1333</v>
      </c>
      <c r="Q217" s="5" t="s">
        <v>108</v>
      </c>
      <c r="R217" s="5" t="s">
        <v>155</v>
      </c>
      <c r="S217" s="10"/>
      <c r="T217" s="11"/>
      <c r="U217" s="11"/>
      <c r="V217" s="10"/>
      <c r="W217" s="10"/>
      <c r="X217" s="10"/>
      <c r="Y217" s="10"/>
      <c r="Z217" s="10"/>
      <c r="AA217" s="10"/>
      <c r="AB217" s="10"/>
      <c r="AC217" s="10"/>
      <c r="AD217" s="10"/>
      <c r="AE217" s="10"/>
      <c r="AF217" s="10"/>
      <c r="AG217" s="10"/>
      <c r="AH217" s="10"/>
    </row>
    <row r="218" spans="1:34" ht="15.75" customHeight="1">
      <c r="A218" s="5"/>
      <c r="B218" s="5" t="s">
        <v>1159</v>
      </c>
      <c r="C218" s="6" t="s">
        <v>36</v>
      </c>
      <c r="D218" s="7" t="s">
        <v>1160</v>
      </c>
      <c r="E218" s="8">
        <v>80478</v>
      </c>
      <c r="F218" s="6" cm="1">
        <f t="array" ref="F218">_xlfn.IFS(
E218&lt;=$E$245,0,
E218&lt;=$E$246,1,
E218&lt;=$E$247,2,
E218&gt;=$E$247,3)</f>
        <v>0</v>
      </c>
      <c r="G218" s="7" cm="1">
        <f t="array" ref="G218">_xlfn.IFS(
OR(D218="Aerospace",D218="Aerospace &amp; Defense",D218="Agricultural Equipment",D218="Airlines",D218="Automotive",D218="Automotive &amp; Energy",D218="Automotive Components",D218="Aviation",D218="Building Materials",D218="Chemicals",D218="Commercial Vehicles",D218="Conglomerate &amp; Defense",D218="Conglomerate &amp; Energy",D218="Construction",D218="Construction &amp; Infrastructure",D218="Construction &amp; Real Estate",D218="Construction &amp; Telecom",D218="Discount Retail",D218="Energy Management",D218="Energy Technology",D218="Engines &amp; Power Systems",D218="Environmental Services",D218="Food Distribution",D218="Food Services",D218="Grocery Retail",D218="Healthcare &amp; Pharmacy",D218="Home Improvement Retail",D218="Industrial Engineering &amp; Electronics",D218="Oilfield Services",D218="Pharmaceuticals",D218="Pharmaceuticals &amp; Chemicals",D218="Pharmaceuticals &amp; Healthcare",D218="Pharmacy Retail",D218="Postal &amp; Logistics",D218="Retail",D218="Retail &amp; Distribution",D218="Retail &amp; Grocery",D218="Retail (IKEA)",D218="Tobacco",D218="Trading &amp; Conglomerate",D218="Utilities",D218="Utilities &amp; Energy",D218="Wholesale Retail"),2,
OR(D218="Agribusiness",D218="Automotive &amp; Heavy Vehicles",D218="Chemicals",D218="Commercial Vehicles",D218="Construction",D218="Construction &amp; Infrastructure",D218="Engines &amp; Power Systems",D218="Food Processing",D218="Healthcare",D218="Healthcare &amp; Medical Devices",D218="Heavy Equipment",D218="Heavy Industry",D218="Industrial Gases",D218="Industrial Manufacturing",D218="Logistics",D218="Medical Devices",D218="Mining",D218="Mining &amp; Commodities Trading",D218="Oil &amp; Gas",D218="Oilfield Services",D218="Rail Transport",D218="Shipping &amp; Logistics",D218="Steel"),3,
OR(D218="Apparel &amp; Footwear",D218="Beverage",D218="Coffeehouse &amp; Retail",D218="Conglomerate",D218="Consumer Goods",D218="Convenience Retail",D218="Electronics",D218="Electronics &amp; Semiconductors",D218="Electronics Retail",D218="Fashion Retail",D218="Food &amp; Beverage",D218="Food Retail &amp; Consumer Goods",D218="Industrial &amp; Technology",D218="Industrial Automation",D218="Industrial Technology",D218="Postal &amp; Financial Services",D218="Postal Services",D218="Scientific Instruments",D218="Technology Hardware",D218="Trading Company",D218="IT Consulting"),1,
OR(D218="Cosmetics",D218="E-commerce &amp; Cloud Computing",D218="Electronics &amp; Entertainment",D218="Entertainment &amp; Media",D218="Luxury Goods",D218="Media &amp; Telecommunications",D218="Networking Technology",D218="Real Estate Services",D218="Technology &amp; Consumer Electronics",D218="Telecommunications",D218="Telecommunications &amp; Investment"),1,
OR(D218="Asset Management",D218="Banking",D218="Banking &amp; Asset Services",D218="Banking &amp; Financial Services",D218="Banking &amp; Wealth Management",D218="Cloud Software",D218="Enterprise Software",D218="Financial Services",D218="Information Technology Consulting",D218="Investment Banking",D218="Social Media &amp; Technology",D218="Software &amp; Cloud Computing",D218="Technology &amp; Consulting",D218="Technology &amp; Internet Services",D218="Technology &amp; Software"),1,
TRUE,"Unmapped"
)</f>
        <v>1</v>
      </c>
      <c r="H218" s="5">
        <f>'BIS + EDBA Final'!B216</f>
        <v>1</v>
      </c>
      <c r="I218" s="5">
        <f>VLOOKUP(B218,'BIS + EDBA Final'!A:F,6,FALSE)</f>
        <v>-1</v>
      </c>
      <c r="J218" s="5">
        <f>VLOOKUP(B218,'CBG Final'!A:B,2,FALSE)</f>
        <v>3</v>
      </c>
      <c r="K218" s="9">
        <f t="shared" si="3"/>
        <v>0.90000000000000013</v>
      </c>
      <c r="L218" s="5" t="s">
        <v>1161</v>
      </c>
      <c r="M218" s="5" t="s">
        <v>700</v>
      </c>
      <c r="N218" s="5" t="s">
        <v>1162</v>
      </c>
      <c r="O218" s="5" t="s">
        <v>1163</v>
      </c>
      <c r="P218" s="5" t="s">
        <v>1164</v>
      </c>
      <c r="Q218" s="5" t="s">
        <v>339</v>
      </c>
      <c r="R218" s="5" t="s">
        <v>107</v>
      </c>
      <c r="S218" s="10"/>
      <c r="T218" s="11"/>
      <c r="U218" s="11"/>
      <c r="V218" s="10"/>
      <c r="W218" s="10"/>
      <c r="X218" s="11"/>
      <c r="Y218" s="11"/>
      <c r="Z218" s="10"/>
      <c r="AA218" s="10"/>
      <c r="AB218" s="10"/>
      <c r="AC218" s="10"/>
      <c r="AD218" s="10"/>
      <c r="AE218" s="10"/>
      <c r="AF218" s="10"/>
      <c r="AG218" s="10"/>
      <c r="AH218" s="10"/>
    </row>
    <row r="219" spans="1:34" ht="15.75" customHeight="1">
      <c r="A219" s="5"/>
      <c r="B219" s="5" t="s">
        <v>907</v>
      </c>
      <c r="C219" s="6" t="s">
        <v>62</v>
      </c>
      <c r="D219" s="7" t="s">
        <v>266</v>
      </c>
      <c r="E219" s="8">
        <v>64636</v>
      </c>
      <c r="F219" s="6" cm="1">
        <f t="array" ref="F219">_xlfn.IFS(
E219&lt;=$E$245,0,
E219&lt;=$E$246,1,
E219&lt;=$E$247,2,
E219&gt;=$E$247,3)</f>
        <v>0</v>
      </c>
      <c r="G219" s="7" cm="1">
        <f t="array" ref="G219">_xlfn.IFS(
OR(D219="Aerospace",D219="Aerospace &amp; Defense",D219="Agricultural Equipment",D219="Airlines",D219="Automotive",D219="Automotive &amp; Energy",D219="Automotive Components",D219="Aviation",D219="Building Materials",D219="Chemicals",D219="Commercial Vehicles",D219="Conglomerate &amp; Defense",D219="Conglomerate &amp; Energy",D219="Construction",D219="Construction &amp; Infrastructure",D219="Construction &amp; Real Estate",D219="Construction &amp; Telecom",D219="Discount Retail",D219="Energy Management",D219="Energy Technology",D219="Engines &amp; Power Systems",D219="Environmental Services",D219="Food Distribution",D219="Food Services",D219="Grocery Retail",D219="Healthcare &amp; Pharmacy",D219="Home Improvement Retail",D219="Industrial Engineering &amp; Electronics",D219="Oilfield Services",D219="Pharmaceuticals",D219="Pharmaceuticals &amp; Chemicals",D219="Pharmaceuticals &amp; Healthcare",D219="Pharmacy Retail",D219="Postal &amp; Logistics",D219="Retail",D219="Retail &amp; Distribution",D219="Retail &amp; Grocery",D219="Retail (IKEA)",D219="Tobacco",D219="Trading &amp; Conglomerate",D219="Utilities",D219="Utilities &amp; Energy",D219="Wholesale Retail"),2,
OR(D219="Agribusiness",D219="Automotive &amp; Heavy Vehicles",D219="Chemicals",D219="Commercial Vehicles",D219="Construction",D219="Construction &amp; Infrastructure",D219="Engines &amp; Power Systems",D219="Food Processing",D219="Healthcare",D219="Healthcare &amp; Medical Devices",D219="Heavy Equipment",D219="Heavy Industry",D219="Industrial Gases",D219="Industrial Manufacturing",D219="Logistics",D219="Medical Devices",D219="Mining",D219="Mining &amp; Commodities Trading",D219="Oil &amp; Gas",D219="Oilfield Services",D219="Rail Transport",D219="Shipping &amp; Logistics",D219="Steel"),3,
OR(D219="Apparel &amp; Footwear",D219="Beverage",D219="Coffeehouse &amp; Retail",D219="Conglomerate",D219="Consumer Goods",D219="Convenience Retail",D219="Electronics",D219="Electronics &amp; Semiconductors",D219="Electronics Retail",D219="Fashion Retail",D219="Food &amp; Beverage",D219="Food Retail &amp; Consumer Goods",D219="Industrial &amp; Technology",D219="Industrial Automation",D219="Industrial Technology",D219="Postal &amp; Financial Services",D219="Postal Services",D219="Scientific Instruments",D219="Technology Hardware",D219="Trading Company",D219="IT Consulting"),1,
OR(D219="Cosmetics",D219="E-commerce &amp; Cloud Computing",D219="Electronics &amp; Entertainment",D219="Entertainment &amp; Media",D219="Luxury Goods",D219="Media &amp; Telecommunications",D219="Networking Technology",D219="Real Estate Services",D219="Technology &amp; Consumer Electronics",D219="Telecommunications",D219="Telecommunications &amp; Investment"),1,
OR(D219="Asset Management",D219="Banking",D219="Banking &amp; Asset Services",D219="Banking &amp; Financial Services",D219="Banking &amp; Wealth Management",D219="Cloud Software",D219="Enterprise Software",D219="Financial Services",D219="Information Technology Consulting",D219="Investment Banking",D219="Social Media &amp; Technology",D219="Software &amp; Cloud Computing",D219="Technology &amp; Consulting",D219="Technology &amp; Internet Services",D219="Technology &amp; Software"),1,
TRUE,"Unmapped"
)</f>
        <v>1</v>
      </c>
      <c r="H219" s="5">
        <f>'BIS + EDBA Final'!B217</f>
        <v>2</v>
      </c>
      <c r="I219" s="5">
        <f>VLOOKUP(B219,'BIS + EDBA Final'!A:F,6,FALSE)</f>
        <v>1</v>
      </c>
      <c r="J219" s="5">
        <f>VLOOKUP(B219,'CBG Final'!A:B,2,FALSE)</f>
        <v>1</v>
      </c>
      <c r="K219" s="9">
        <f t="shared" si="3"/>
        <v>0.90000000000000013</v>
      </c>
      <c r="L219" s="5" t="s">
        <v>1064</v>
      </c>
      <c r="M219" s="5" t="s">
        <v>292</v>
      </c>
      <c r="N219" s="5" t="s">
        <v>1065</v>
      </c>
      <c r="O219" s="5" t="s">
        <v>79</v>
      </c>
      <c r="P219" s="5" t="s">
        <v>1066</v>
      </c>
      <c r="Q219" s="5" t="s">
        <v>561</v>
      </c>
      <c r="R219" s="5" t="s">
        <v>107</v>
      </c>
      <c r="S219" s="10"/>
      <c r="T219" s="11"/>
      <c r="U219" s="11"/>
      <c r="V219" s="10"/>
      <c r="W219" s="10"/>
      <c r="X219" s="10"/>
      <c r="Y219" s="10"/>
      <c r="Z219" s="10"/>
      <c r="AA219" s="10"/>
      <c r="AB219" s="10"/>
      <c r="AC219" s="10"/>
      <c r="AD219" s="10"/>
      <c r="AE219" s="10"/>
      <c r="AF219" s="10"/>
      <c r="AG219" s="10"/>
      <c r="AH219" s="10"/>
    </row>
    <row r="220" spans="1:34" ht="15.75" customHeight="1">
      <c r="A220" s="5"/>
      <c r="B220" s="5" t="s">
        <v>1165</v>
      </c>
      <c r="C220" s="6" t="s">
        <v>94</v>
      </c>
      <c r="D220" s="7" t="s">
        <v>157</v>
      </c>
      <c r="E220" s="8">
        <v>61400</v>
      </c>
      <c r="F220" s="6" cm="1">
        <f t="array" ref="F220">_xlfn.IFS(
E220&lt;=$E$245,0,
E220&lt;=$E$246,1,
E220&lt;=$E$247,2,
E220&gt;=$E$247,3)</f>
        <v>0</v>
      </c>
      <c r="G220" s="7" cm="1">
        <f t="array" ref="G220">_xlfn.IFS(
OR(D220="Aerospace",D220="Aerospace &amp; Defense",D220="Agricultural Equipment",D220="Airlines",D220="Automotive",D220="Automotive &amp; Energy",D220="Automotive Components",D220="Aviation",D220="Building Materials",D220="Chemicals",D220="Commercial Vehicles",D220="Conglomerate &amp; Defense",D220="Conglomerate &amp; Energy",D220="Construction",D220="Construction &amp; Infrastructure",D220="Construction &amp; Real Estate",D220="Construction &amp; Telecom",D220="Discount Retail",D220="Energy Management",D220="Energy Technology",D220="Engines &amp; Power Systems",D220="Environmental Services",D220="Food Distribution",D220="Food Services",D220="Grocery Retail",D220="Healthcare &amp; Pharmacy",D220="Home Improvement Retail",D220="Industrial Engineering &amp; Electronics",D220="Oilfield Services",D220="Pharmaceuticals",D220="Pharmaceuticals &amp; Chemicals",D220="Pharmaceuticals &amp; Healthcare",D220="Pharmacy Retail",D220="Postal &amp; Logistics",D220="Retail",D220="Retail &amp; Distribution",D220="Retail &amp; Grocery",D220="Retail (IKEA)",D220="Tobacco",D220="Trading &amp; Conglomerate",D220="Utilities",D220="Utilities &amp; Energy",D220="Wholesale Retail"),2,
OR(D220="Agribusiness",D220="Automotive &amp; Heavy Vehicles",D220="Chemicals",D220="Commercial Vehicles",D220="Construction",D220="Construction &amp; Infrastructure",D220="Engines &amp; Power Systems",D220="Food Processing",D220="Healthcare",D220="Healthcare &amp; Medical Devices",D220="Heavy Equipment",D220="Heavy Industry",D220="Industrial Gases",D220="Industrial Manufacturing",D220="Logistics",D220="Medical Devices",D220="Mining",D220="Mining &amp; Commodities Trading",D220="Oil &amp; Gas",D220="Oilfield Services",D220="Rail Transport",D220="Shipping &amp; Logistics",D220="Steel"),3,
OR(D220="Apparel &amp; Footwear",D220="Beverage",D220="Coffeehouse &amp; Retail",D220="Conglomerate",D220="Consumer Goods",D220="Convenience Retail",D220="Electronics",D220="Electronics &amp; Semiconductors",D220="Electronics Retail",D220="Fashion Retail",D220="Food &amp; Beverage",D220="Food Retail &amp; Consumer Goods",D220="Industrial &amp; Technology",D220="Industrial Automation",D220="Industrial Technology",D220="Postal &amp; Financial Services",D220="Postal Services",D220="Scientific Instruments",D220="Technology Hardware",D220="Trading Company",D220="IT Consulting"),1,
OR(D220="Cosmetics",D220="E-commerce &amp; Cloud Computing",D220="Electronics &amp; Entertainment",D220="Entertainment &amp; Media",D220="Luxury Goods",D220="Media &amp; Telecommunications",D220="Networking Technology",D220="Real Estate Services",D220="Technology &amp; Consumer Electronics",D220="Telecommunications",D220="Telecommunications &amp; Investment"),1,
OR(D220="Asset Management",D220="Banking",D220="Banking &amp; Asset Services",D220="Banking &amp; Financial Services",D220="Banking &amp; Wealth Management",D220="Cloud Software",D220="Enterprise Software",D220="Financial Services",D220="Information Technology Consulting",D220="Investment Banking",D220="Social Media &amp; Technology",D220="Software &amp; Cloud Computing",D220="Technology &amp; Consulting",D220="Technology &amp; Internet Services",D220="Technology &amp; Software"),1,
TRUE,"Unmapped"
)</f>
        <v>1</v>
      </c>
      <c r="H220" s="5">
        <f>'BIS + EDBA Final'!B224</f>
        <v>2</v>
      </c>
      <c r="I220" s="5">
        <f>VLOOKUP(B220,'BIS + EDBA Final'!A:F,6,FALSE)</f>
        <v>1</v>
      </c>
      <c r="J220" s="5">
        <f>VLOOKUP(B220,'CBG Final'!A:B,2,FALSE)</f>
        <v>1</v>
      </c>
      <c r="K220" s="9">
        <f t="shared" si="3"/>
        <v>0.90000000000000013</v>
      </c>
      <c r="L220" s="5" t="s">
        <v>1166</v>
      </c>
      <c r="M220" s="5" t="s">
        <v>617</v>
      </c>
      <c r="N220" s="5" t="s">
        <v>1167</v>
      </c>
      <c r="O220" s="5" t="s">
        <v>645</v>
      </c>
      <c r="P220" s="5" t="s">
        <v>1168</v>
      </c>
      <c r="Q220" s="5" t="s">
        <v>33</v>
      </c>
      <c r="R220" s="5" t="s">
        <v>353</v>
      </c>
      <c r="S220" s="10"/>
      <c r="T220" s="11"/>
      <c r="U220" s="11"/>
      <c r="V220" s="10"/>
      <c r="W220" s="10"/>
      <c r="X220" s="10"/>
      <c r="Y220" s="10"/>
      <c r="Z220" s="10"/>
      <c r="AA220" s="10"/>
      <c r="AB220" s="10"/>
      <c r="AC220" s="10"/>
      <c r="AD220" s="10"/>
      <c r="AE220" s="10"/>
      <c r="AF220" s="10"/>
      <c r="AG220" s="10"/>
      <c r="AH220" s="10"/>
    </row>
    <row r="221" spans="1:34" ht="15.75" customHeight="1">
      <c r="A221" s="5"/>
      <c r="B221" s="5" t="s">
        <v>449</v>
      </c>
      <c r="C221" s="6" t="s">
        <v>39</v>
      </c>
      <c r="D221" s="7" t="s">
        <v>157</v>
      </c>
      <c r="E221" s="8">
        <v>98371</v>
      </c>
      <c r="F221" s="6" cm="1">
        <f t="array" ref="F221">_xlfn.IFS(
E221&lt;=$E$245,0,
E221&lt;=$E$246,1,
E221&lt;=$E$247,2,
E221&gt;=$E$247,3)</f>
        <v>1</v>
      </c>
      <c r="G221" s="7" cm="1">
        <f t="array" ref="G221">_xlfn.IFS(
OR(D221="Aerospace",D221="Aerospace &amp; Defense",D221="Agricultural Equipment",D221="Airlines",D221="Automotive",D221="Automotive &amp; Energy",D221="Automotive Components",D221="Aviation",D221="Building Materials",D221="Chemicals",D221="Commercial Vehicles",D221="Conglomerate &amp; Defense",D221="Conglomerate &amp; Energy",D221="Construction",D221="Construction &amp; Infrastructure",D221="Construction &amp; Real Estate",D221="Construction &amp; Telecom",D221="Discount Retail",D221="Energy Management",D221="Energy Technology",D221="Engines &amp; Power Systems",D221="Environmental Services",D221="Food Distribution",D221="Food Services",D221="Grocery Retail",D221="Healthcare &amp; Pharmacy",D221="Home Improvement Retail",D221="Industrial Engineering &amp; Electronics",D221="Oilfield Services",D221="Pharmaceuticals",D221="Pharmaceuticals &amp; Chemicals",D221="Pharmaceuticals &amp; Healthcare",D221="Pharmacy Retail",D221="Postal &amp; Logistics",D221="Retail",D221="Retail &amp; Distribution",D221="Retail &amp; Grocery",D221="Retail (IKEA)",D221="Tobacco",D221="Trading &amp; Conglomerate",D221="Utilities",D221="Utilities &amp; Energy",D221="Wholesale Retail"),2,
OR(D221="Agribusiness",D221="Automotive &amp; Heavy Vehicles",D221="Chemicals",D221="Commercial Vehicles",D221="Construction",D221="Construction &amp; Infrastructure",D221="Engines &amp; Power Systems",D221="Food Processing",D221="Healthcare",D221="Healthcare &amp; Medical Devices",D221="Heavy Equipment",D221="Heavy Industry",D221="Industrial Gases",D221="Industrial Manufacturing",D221="Logistics",D221="Medical Devices",D221="Mining",D221="Mining &amp; Commodities Trading",D221="Oil &amp; Gas",D221="Oilfield Services",D221="Rail Transport",D221="Shipping &amp; Logistics",D221="Steel"),3,
OR(D221="Apparel &amp; Footwear",D221="Beverage",D221="Coffeehouse &amp; Retail",D221="Conglomerate",D221="Consumer Goods",D221="Convenience Retail",D221="Electronics",D221="Electronics &amp; Semiconductors",D221="Electronics Retail",D221="Fashion Retail",D221="Food &amp; Beverage",D221="Food Retail &amp; Consumer Goods",D221="Industrial &amp; Technology",D221="Industrial Automation",D221="Industrial Technology",D221="Postal &amp; Financial Services",D221="Postal Services",D221="Scientific Instruments",D221="Technology Hardware",D221="Trading Company",D221="IT Consulting"),1,
OR(D221="Cosmetics",D221="E-commerce &amp; Cloud Computing",D221="Electronics &amp; Entertainment",D221="Entertainment &amp; Media",D221="Luxury Goods",D221="Media &amp; Telecommunications",D221="Networking Technology",D221="Real Estate Services",D221="Technology &amp; Consumer Electronics",D221="Telecommunications",D221="Telecommunications &amp; Investment"),1,
OR(D221="Asset Management",D221="Banking",D221="Banking &amp; Asset Services",D221="Banking &amp; Financial Services",D221="Banking &amp; Wealth Management",D221="Cloud Software",D221="Enterprise Software",D221="Financial Services",D221="Information Technology Consulting",D221="Investment Banking",D221="Social Media &amp; Technology",D221="Software &amp; Cloud Computing",D221="Technology &amp; Consulting",D221="Technology &amp; Internet Services",D221="Technology &amp; Software"),1,
TRUE,"Unmapped"
)</f>
        <v>1</v>
      </c>
      <c r="H221" s="5">
        <f>'BIS + EDBA Final'!B211</f>
        <v>1</v>
      </c>
      <c r="I221" s="5">
        <f>VLOOKUP(B221,'BIS + EDBA Final'!A:F,6,FALSE)</f>
        <v>0</v>
      </c>
      <c r="J221" s="5">
        <f>VLOOKUP(B221,'CBG Final'!A:B,2,FALSE)</f>
        <v>1</v>
      </c>
      <c r="K221" s="9">
        <f t="shared" si="3"/>
        <v>0.89999999999999991</v>
      </c>
      <c r="L221" s="5" t="s">
        <v>930</v>
      </c>
      <c r="M221" s="5" t="s">
        <v>931</v>
      </c>
      <c r="N221" s="5" t="s">
        <v>932</v>
      </c>
      <c r="O221" s="5" t="s">
        <v>933</v>
      </c>
      <c r="P221" s="5" t="s">
        <v>934</v>
      </c>
      <c r="Q221" s="5" t="s">
        <v>30</v>
      </c>
      <c r="R221" s="5" t="s">
        <v>258</v>
      </c>
      <c r="S221" s="10"/>
      <c r="T221" s="11"/>
      <c r="U221" s="11"/>
      <c r="V221" s="10"/>
      <c r="W221" s="10"/>
      <c r="X221" s="11"/>
      <c r="Y221" s="11"/>
      <c r="Z221" s="10"/>
      <c r="AA221" s="10"/>
      <c r="AB221" s="10"/>
      <c r="AC221" s="10"/>
      <c r="AD221" s="10"/>
      <c r="AE221" s="10"/>
      <c r="AF221" s="10"/>
      <c r="AG221" s="10"/>
      <c r="AH221" s="10"/>
    </row>
    <row r="222" spans="1:34" ht="15.75" customHeight="1">
      <c r="A222" s="5"/>
      <c r="B222" s="5" t="s">
        <v>452</v>
      </c>
      <c r="C222" s="6" t="s">
        <v>62</v>
      </c>
      <c r="D222" s="7" t="s">
        <v>453</v>
      </c>
      <c r="E222" s="8">
        <v>55489</v>
      </c>
      <c r="F222" s="6" cm="1">
        <f t="array" ref="F222">_xlfn.IFS(
E222&lt;=$E$245,0,
E222&lt;=$E$246,1,
E222&lt;=$E$247,2,
E222&gt;=$E$247,3)</f>
        <v>0</v>
      </c>
      <c r="G222" s="7" cm="1">
        <f t="array" ref="G222">_xlfn.IFS(
OR(D222="Aerospace",D222="Aerospace &amp; Defense",D222="Agricultural Equipment",D222="Airlines",D222="Automotive",D222="Automotive &amp; Energy",D222="Automotive Components",D222="Aviation",D222="Building Materials",D222="Chemicals",D222="Commercial Vehicles",D222="Conglomerate &amp; Defense",D222="Conglomerate &amp; Energy",D222="Construction",D222="Construction &amp; Infrastructure",D222="Construction &amp; Real Estate",D222="Construction &amp; Telecom",D222="Discount Retail",D222="Energy Management",D222="Energy Technology",D222="Engines &amp; Power Systems",D222="Environmental Services",D222="Food Distribution",D222="Food Services",D222="Grocery Retail",D222="Healthcare &amp; Pharmacy",D222="Home Improvement Retail",D222="Industrial Engineering &amp; Electronics",D222="Oilfield Services",D222="Pharmaceuticals",D222="Pharmaceuticals &amp; Chemicals",D222="Pharmaceuticals &amp; Healthcare",D222="Pharmacy Retail",D222="Postal &amp; Logistics",D222="Retail",D222="Retail &amp; Distribution",D222="Retail &amp; Grocery",D222="Retail (IKEA)",D222="Tobacco",D222="Trading &amp; Conglomerate",D222="Utilities",D222="Utilities &amp; Energy",D222="Wholesale Retail"),2,
OR(D222="Agribusiness",D222="Automotive &amp; Heavy Vehicles",D222="Chemicals",D222="Commercial Vehicles",D222="Construction",D222="Construction &amp; Infrastructure",D222="Engines &amp; Power Systems",D222="Food Processing",D222="Healthcare",D222="Healthcare &amp; Medical Devices",D222="Heavy Equipment",D222="Heavy Industry",D222="Industrial Gases",D222="Industrial Manufacturing",D222="Logistics",D222="Medical Devices",D222="Mining",D222="Mining &amp; Commodities Trading",D222="Oil &amp; Gas",D222="Oilfield Services",D222="Rail Transport",D222="Shipping &amp; Logistics",D222="Steel"),3,
OR(D222="Apparel &amp; Footwear",D222="Beverage",D222="Coffeehouse &amp; Retail",D222="Conglomerate",D222="Consumer Goods",D222="Convenience Retail",D222="Electronics",D222="Electronics &amp; Semiconductors",D222="Electronics Retail",D222="Fashion Retail",D222="Food &amp; Beverage",D222="Food Retail &amp; Consumer Goods",D222="Industrial &amp; Technology",D222="Industrial Automation",D222="Industrial Technology",D222="Postal &amp; Financial Services",D222="Postal Services",D222="Scientific Instruments",D222="Technology Hardware",D222="Trading Company",D222="IT Consulting"),1,
OR(D222="Cosmetics",D222="E-commerce &amp; Cloud Computing",D222="Electronics &amp; Entertainment",D222="Entertainment &amp; Media",D222="Luxury Goods",D222="Media &amp; Telecommunications",D222="Networking Technology",D222="Real Estate Services",D222="Technology &amp; Consumer Electronics",D222="Telecommunications",D222="Telecommunications &amp; Investment"),1,
OR(D222="Asset Management",D222="Banking",D222="Banking &amp; Asset Services",D222="Banking &amp; Financial Services",D222="Banking &amp; Wealth Management",D222="Cloud Software",D222="Enterprise Software",D222="Financial Services",D222="Information Technology Consulting",D222="Investment Banking",D222="Social Media &amp; Technology",D222="Software &amp; Cloud Computing",D222="Technology &amp; Consulting",D222="Technology &amp; Internet Services",D222="Technology &amp; Software"),1,
TRUE,"Unmapped"
)</f>
        <v>1</v>
      </c>
      <c r="H222" s="5">
        <v>2</v>
      </c>
      <c r="I222" s="5">
        <f>VLOOKUP(B222,'BIS + EDBA Final'!A:F,6,FALSE)</f>
        <v>0</v>
      </c>
      <c r="J222" s="5">
        <f>VLOOKUP(B222,'CBG Final'!A:B,2,FALSE)</f>
        <v>1</v>
      </c>
      <c r="K222" s="9">
        <f t="shared" si="3"/>
        <v>0.8</v>
      </c>
      <c r="L222" s="5" t="s">
        <v>454</v>
      </c>
      <c r="M222" s="5" t="s">
        <v>79</v>
      </c>
      <c r="N222" s="5" t="s">
        <v>455</v>
      </c>
      <c r="O222" s="5" t="s">
        <v>456</v>
      </c>
      <c r="P222" s="5" t="s">
        <v>457</v>
      </c>
      <c r="Q222" s="5" t="s">
        <v>180</v>
      </c>
      <c r="R222" s="5" t="s">
        <v>20</v>
      </c>
      <c r="S222" s="10"/>
      <c r="T222" s="11"/>
      <c r="U222" s="11"/>
      <c r="V222" s="10"/>
      <c r="W222" s="10"/>
      <c r="X222" s="10"/>
      <c r="Y222" s="10"/>
      <c r="Z222" s="10"/>
      <c r="AA222" s="10"/>
      <c r="AB222" s="10"/>
      <c r="AC222" s="10"/>
      <c r="AD222" s="10"/>
      <c r="AE222" s="10"/>
      <c r="AF222" s="10"/>
      <c r="AG222" s="10"/>
      <c r="AH222" s="10"/>
    </row>
    <row r="223" spans="1:34" ht="15.75" customHeight="1">
      <c r="A223" s="5"/>
      <c r="B223" s="5" t="s">
        <v>1130</v>
      </c>
      <c r="C223" s="6" t="s">
        <v>12</v>
      </c>
      <c r="D223" s="7" t="s">
        <v>63</v>
      </c>
      <c r="E223" s="8">
        <v>72249</v>
      </c>
      <c r="F223" s="6" cm="1">
        <f t="array" ref="F223">_xlfn.IFS(
E223&lt;=$E$245,0,
E223&lt;=$E$246,1,
E223&lt;=$E$247,2,
E223&gt;=$E$247,3)</f>
        <v>0</v>
      </c>
      <c r="G223" s="7" cm="1">
        <f t="array" ref="G223">_xlfn.IFS(
OR(D223="Aerospace",D223="Aerospace &amp; Defense",D223="Agricultural Equipment",D223="Airlines",D223="Automotive",D223="Automotive &amp; Energy",D223="Automotive Components",D223="Aviation",D223="Building Materials",D223="Chemicals",D223="Commercial Vehicles",D223="Conglomerate &amp; Defense",D223="Conglomerate &amp; Energy",D223="Construction",D223="Construction &amp; Infrastructure",D223="Construction &amp; Real Estate",D223="Construction &amp; Telecom",D223="Discount Retail",D223="Energy Management",D223="Energy Technology",D223="Engines &amp; Power Systems",D223="Environmental Services",D223="Food Distribution",D223="Food Services",D223="Grocery Retail",D223="Healthcare &amp; Pharmacy",D223="Home Improvement Retail",D223="Industrial Engineering &amp; Electronics",D223="Oilfield Services",D223="Pharmaceuticals",D223="Pharmaceuticals &amp; Chemicals",D223="Pharmaceuticals &amp; Healthcare",D223="Pharmacy Retail",D223="Postal &amp; Logistics",D223="Retail",D223="Retail &amp; Distribution",D223="Retail &amp; Grocery",D223="Retail (IKEA)",D223="Tobacco",D223="Trading &amp; Conglomerate",D223="Utilities",D223="Utilities &amp; Energy",D223="Wholesale Retail"),2,
OR(D223="Agribusiness",D223="Automotive &amp; Heavy Vehicles",D223="Chemicals",D223="Commercial Vehicles",D223="Construction",D223="Construction &amp; Infrastructure",D223="Engines &amp; Power Systems",D223="Food Processing",D223="Healthcare",D223="Healthcare &amp; Medical Devices",D223="Heavy Equipment",D223="Heavy Industry",D223="Industrial Gases",D223="Industrial Manufacturing",D223="Logistics",D223="Medical Devices",D223="Mining",D223="Mining &amp; Commodities Trading",D223="Oil &amp; Gas",D223="Oilfield Services",D223="Rail Transport",D223="Shipping &amp; Logistics",D223="Steel"),3,
OR(D223="Apparel &amp; Footwear",D223="Beverage",D223="Coffeehouse &amp; Retail",D223="Conglomerate",D223="Consumer Goods",D223="Convenience Retail",D223="Electronics",D223="Electronics &amp; Semiconductors",D223="Electronics Retail",D223="Fashion Retail",D223="Food &amp; Beverage",D223="Food Retail &amp; Consumer Goods",D223="Industrial &amp; Technology",D223="Industrial Automation",D223="Industrial Technology",D223="Postal &amp; Financial Services",D223="Postal Services",D223="Scientific Instruments",D223="Technology Hardware",D223="Trading Company",D223="IT Consulting"),1,
OR(D223="Cosmetics",D223="E-commerce &amp; Cloud Computing",D223="Electronics &amp; Entertainment",D223="Entertainment &amp; Media",D223="Luxury Goods",D223="Media &amp; Telecommunications",D223="Networking Technology",D223="Real Estate Services",D223="Technology &amp; Consumer Electronics",D223="Telecommunications",D223="Telecommunications &amp; Investment"),1,
OR(D223="Asset Management",D223="Banking",D223="Banking &amp; Asset Services",D223="Banking &amp; Financial Services",D223="Banking &amp; Wealth Management",D223="Cloud Software",D223="Enterprise Software",D223="Financial Services",D223="Information Technology Consulting",D223="Investment Banking",D223="Social Media &amp; Technology",D223="Software &amp; Cloud Computing",D223="Technology &amp; Consulting",D223="Technology &amp; Internet Services",D223="Technology &amp; Software"),1,
TRUE,"Unmapped"
)</f>
        <v>2</v>
      </c>
      <c r="H223" s="5">
        <f>'BIS + EDBA Final'!B190</f>
        <v>1</v>
      </c>
      <c r="I223" s="5">
        <f>VLOOKUP(B223,'BIS + EDBA Final'!A:F,6,FALSE)</f>
        <v>0</v>
      </c>
      <c r="J223" s="5">
        <f>VLOOKUP(B223,'CBG Final'!A:B,2,FALSE)</f>
        <v>1</v>
      </c>
      <c r="K223" s="9">
        <f t="shared" si="3"/>
        <v>0.8</v>
      </c>
      <c r="L223" s="5" t="s">
        <v>1131</v>
      </c>
      <c r="M223" s="5" t="s">
        <v>1132</v>
      </c>
      <c r="N223" s="5" t="s">
        <v>1133</v>
      </c>
      <c r="O223" s="5" t="s">
        <v>1134</v>
      </c>
      <c r="P223" s="5" t="s">
        <v>1135</v>
      </c>
      <c r="Q223" s="5" t="s">
        <v>169</v>
      </c>
      <c r="R223" s="5" t="s">
        <v>20</v>
      </c>
      <c r="S223" s="10"/>
      <c r="T223" s="11"/>
      <c r="U223" s="11"/>
      <c r="V223" s="10"/>
      <c r="W223" s="10"/>
      <c r="X223" s="10"/>
      <c r="Y223" s="10"/>
      <c r="Z223" s="10"/>
      <c r="AA223" s="10"/>
      <c r="AB223" s="10"/>
      <c r="AC223" s="10"/>
      <c r="AD223" s="10"/>
      <c r="AE223" s="10"/>
      <c r="AF223" s="10"/>
      <c r="AG223" s="10"/>
      <c r="AH223" s="10"/>
    </row>
    <row r="224" spans="1:34" ht="15.75" customHeight="1">
      <c r="A224" s="5"/>
      <c r="B224" s="5" t="s">
        <v>988</v>
      </c>
      <c r="C224" s="6" t="s">
        <v>1212</v>
      </c>
      <c r="D224" s="7" t="s">
        <v>236</v>
      </c>
      <c r="E224" s="8">
        <v>51435</v>
      </c>
      <c r="F224" s="6" cm="1">
        <f t="array" ref="F224">_xlfn.IFS(
E224&lt;=$E$245,0,
E224&lt;=$E$246,1,
E224&lt;=$E$247,2,
E224&gt;=$E$247,3)</f>
        <v>0</v>
      </c>
      <c r="G224" s="7" cm="1">
        <f t="array" ref="G224">_xlfn.IFS(
OR(D224="Aerospace",D224="Aerospace &amp; Defense",D224="Agricultural Equipment",D224="Airlines",D224="Automotive",D224="Automotive &amp; Energy",D224="Automotive Components",D224="Aviation",D224="Building Materials",D224="Chemicals",D224="Commercial Vehicles",D224="Conglomerate &amp; Defense",D224="Conglomerate &amp; Energy",D224="Construction",D224="Construction &amp; Infrastructure",D224="Construction &amp; Real Estate",D224="Construction &amp; Telecom",D224="Discount Retail",D224="Energy Management",D224="Energy Technology",D224="Engines &amp; Power Systems",D224="Environmental Services",D224="Food Distribution",D224="Food Services",D224="Grocery Retail",D224="Healthcare &amp; Pharmacy",D224="Home Improvement Retail",D224="Industrial Engineering &amp; Electronics",D224="Oilfield Services",D224="Pharmaceuticals",D224="Pharmaceuticals &amp; Chemicals",D224="Pharmaceuticals &amp; Healthcare",D224="Pharmacy Retail",D224="Postal &amp; Logistics",D224="Retail",D224="Retail &amp; Distribution",D224="Retail &amp; Grocery",D224="Retail (IKEA)",D224="Tobacco",D224="Trading &amp; Conglomerate",D224="Utilities",D224="Utilities &amp; Energy",D224="Wholesale Retail"),2,
OR(D224="Agribusiness",D224="Automotive &amp; Heavy Vehicles",D224="Chemicals",D224="Commercial Vehicles",D224="Construction",D224="Construction &amp; Infrastructure",D224="Engines &amp; Power Systems",D224="Food Processing",D224="Healthcare",D224="Healthcare &amp; Medical Devices",D224="Heavy Equipment",D224="Heavy Industry",D224="Industrial Gases",D224="Industrial Manufacturing",D224="Logistics",D224="Medical Devices",D224="Mining",D224="Mining &amp; Commodities Trading",D224="Oil &amp; Gas",D224="Oilfield Services",D224="Rail Transport",D224="Shipping &amp; Logistics",D224="Steel"),3,
OR(D224="Apparel &amp; Footwear",D224="Beverage",D224="Coffeehouse &amp; Retail",D224="Conglomerate",D224="Consumer Goods",D224="Convenience Retail",D224="Electronics",D224="Electronics &amp; Semiconductors",D224="Electronics Retail",D224="Fashion Retail",D224="Food &amp; Beverage",D224="Food Retail &amp; Consumer Goods",D224="Industrial &amp; Technology",D224="Industrial Automation",D224="Industrial Technology",D224="Postal &amp; Financial Services",D224="Postal Services",D224="Scientific Instruments",D224="Technology Hardware",D224="Trading Company",D224="IT Consulting"),1,
OR(D224="Cosmetics",D224="E-commerce &amp; Cloud Computing",D224="Electronics &amp; Entertainment",D224="Entertainment &amp; Media",D224="Luxury Goods",D224="Media &amp; Telecommunications",D224="Networking Technology",D224="Real Estate Services",D224="Technology &amp; Consumer Electronics",D224="Telecommunications",D224="Telecommunications &amp; Investment"),1,
OR(D224="Asset Management",D224="Banking",D224="Banking &amp; Asset Services",D224="Banking &amp; Financial Services",D224="Banking &amp; Wealth Management",D224="Cloud Software",D224="Enterprise Software",D224="Financial Services",D224="Information Technology Consulting",D224="Investment Banking",D224="Social Media &amp; Technology",D224="Software &amp; Cloud Computing",D224="Technology &amp; Consulting",D224="Technology &amp; Internet Services",D224="Technology &amp; Software"),1,
TRUE,"Unmapped"
)</f>
        <v>2</v>
      </c>
      <c r="H224" s="5">
        <f>'BIS + EDBA Final'!B193</f>
        <v>1</v>
      </c>
      <c r="I224" s="5">
        <f>VLOOKUP(B224,'BIS + EDBA Final'!A:F,6,FALSE)</f>
        <v>0</v>
      </c>
      <c r="J224" s="5">
        <f>VLOOKUP(B224,'CBG Final'!A:B,2,FALSE)</f>
        <v>1</v>
      </c>
      <c r="K224" s="9">
        <f t="shared" si="3"/>
        <v>0.8</v>
      </c>
      <c r="L224" s="5" t="s">
        <v>1213</v>
      </c>
      <c r="M224" s="5" t="s">
        <v>643</v>
      </c>
      <c r="N224" s="5" t="s">
        <v>1214</v>
      </c>
      <c r="O224" s="5" t="s">
        <v>1215</v>
      </c>
      <c r="P224" s="5" t="s">
        <v>1216</v>
      </c>
      <c r="Q224" s="5" t="s">
        <v>33</v>
      </c>
      <c r="R224" s="5" t="s">
        <v>232</v>
      </c>
      <c r="S224" s="10"/>
      <c r="T224" s="11"/>
      <c r="U224" s="11"/>
      <c r="V224" s="10"/>
      <c r="W224" s="10"/>
      <c r="X224" s="10"/>
      <c r="Y224" s="10"/>
      <c r="Z224" s="10"/>
      <c r="AA224" s="10"/>
      <c r="AB224" s="10"/>
      <c r="AC224" s="10"/>
      <c r="AD224" s="10"/>
      <c r="AE224" s="10"/>
      <c r="AF224" s="10"/>
      <c r="AG224" s="10"/>
      <c r="AH224" s="10"/>
    </row>
    <row r="225" spans="1:34" ht="15.75" customHeight="1">
      <c r="A225" s="5"/>
      <c r="B225" s="5" t="s">
        <v>599</v>
      </c>
      <c r="C225" s="6" t="s">
        <v>182</v>
      </c>
      <c r="D225" s="7" t="s">
        <v>600</v>
      </c>
      <c r="E225" s="8">
        <v>75000</v>
      </c>
      <c r="F225" s="6" cm="1">
        <f t="array" ref="F225">_xlfn.IFS(
E225&lt;=$E$245,0,
E225&lt;=$E$246,1,
E225&lt;=$E$247,2,
E225&gt;=$E$247,3)</f>
        <v>0</v>
      </c>
      <c r="G225" s="7" cm="1">
        <f t="array" ref="G225">_xlfn.IFS(
OR(D225="Aerospace",D225="Aerospace &amp; Defense",D225="Agricultural Equipment",D225="Airlines",D225="Automotive",D225="Automotive &amp; Energy",D225="Automotive Components",D225="Aviation",D225="Building Materials",D225="Chemicals",D225="Commercial Vehicles",D225="Conglomerate &amp; Defense",D225="Conglomerate &amp; Energy",D225="Construction",D225="Construction &amp; Infrastructure",D225="Construction &amp; Real Estate",D225="Construction &amp; Telecom",D225="Discount Retail",D225="Energy Management",D225="Energy Technology",D225="Engines &amp; Power Systems",D225="Environmental Services",D225="Food Distribution",D225="Food Services",D225="Grocery Retail",D225="Healthcare &amp; Pharmacy",D225="Home Improvement Retail",D225="Industrial Engineering &amp; Electronics",D225="Oilfield Services",D225="Pharmaceuticals",D225="Pharmaceuticals &amp; Chemicals",D225="Pharmaceuticals &amp; Healthcare",D225="Pharmacy Retail",D225="Postal &amp; Logistics",D225="Retail",D225="Retail &amp; Distribution",D225="Retail &amp; Grocery",D225="Retail (IKEA)",D225="Tobacco",D225="Trading &amp; Conglomerate",D225="Utilities",D225="Utilities &amp; Energy",D225="Wholesale Retail"),2,
OR(D225="Agribusiness",D225="Automotive &amp; Heavy Vehicles",D225="Chemicals",D225="Commercial Vehicles",D225="Construction",D225="Construction &amp; Infrastructure",D225="Engines &amp; Power Systems",D225="Food Processing",D225="Healthcare",D225="Healthcare &amp; Medical Devices",D225="Heavy Equipment",D225="Heavy Industry",D225="Industrial Gases",D225="Industrial Manufacturing",D225="Logistics",D225="Medical Devices",D225="Mining",D225="Mining &amp; Commodities Trading",D225="Oil &amp; Gas",D225="Oilfield Services",D225="Rail Transport",D225="Shipping &amp; Logistics",D225="Steel"),3,
OR(D225="Apparel &amp; Footwear",D225="Beverage",D225="Coffeehouse &amp; Retail",D225="Conglomerate",D225="Consumer Goods",D225="Convenience Retail",D225="Electronics",D225="Electronics &amp; Semiconductors",D225="Electronics Retail",D225="Fashion Retail",D225="Food &amp; Beverage",D225="Food Retail &amp; Consumer Goods",D225="Industrial &amp; Technology",D225="Industrial Automation",D225="Industrial Technology",D225="Postal &amp; Financial Services",D225="Postal Services",D225="Scientific Instruments",D225="Technology Hardware",D225="Trading Company",D225="IT Consulting"),1,
OR(D225="Cosmetics",D225="E-commerce &amp; Cloud Computing",D225="Electronics &amp; Entertainment",D225="Entertainment &amp; Media",D225="Luxury Goods",D225="Media &amp; Telecommunications",D225="Networking Technology",D225="Real Estate Services",D225="Technology &amp; Consumer Electronics",D225="Telecommunications",D225="Telecommunications &amp; Investment"),1,
OR(D225="Asset Management",D225="Banking",D225="Banking &amp; Asset Services",D225="Banking &amp; Financial Services",D225="Banking &amp; Wealth Management",D225="Cloud Software",D225="Enterprise Software",D225="Financial Services",D225="Information Technology Consulting",D225="Investment Banking",D225="Social Media &amp; Technology",D225="Software &amp; Cloud Computing",D225="Technology &amp; Consulting",D225="Technology &amp; Internet Services",D225="Technology &amp; Software"),1,
TRUE,"Unmapped"
)</f>
        <v>1</v>
      </c>
      <c r="H225" s="5">
        <f>'BIS + EDBA Final'!B201</f>
        <v>1</v>
      </c>
      <c r="I225" s="5">
        <f>VLOOKUP(B225,'BIS + EDBA Final'!A:F,6,FALSE)</f>
        <v>0</v>
      </c>
      <c r="J225" s="5">
        <f>VLOOKUP(B225,'CBG Final'!A:B,2,FALSE)</f>
        <v>2</v>
      </c>
      <c r="K225" s="9">
        <f t="shared" si="3"/>
        <v>0.8</v>
      </c>
      <c r="L225" s="5" t="s">
        <v>1085</v>
      </c>
      <c r="M225" s="5" t="s">
        <v>423</v>
      </c>
      <c r="N225" s="5" t="s">
        <v>1086</v>
      </c>
      <c r="O225" s="5" t="s">
        <v>1087</v>
      </c>
      <c r="P225" s="5" t="s">
        <v>1088</v>
      </c>
      <c r="Q225" s="5" t="s">
        <v>425</v>
      </c>
      <c r="R225" s="5" t="s">
        <v>34</v>
      </c>
      <c r="S225" s="10"/>
      <c r="T225" s="11"/>
      <c r="U225" s="11"/>
      <c r="V225" s="10"/>
      <c r="W225" s="10"/>
      <c r="X225" s="11"/>
      <c r="Y225" s="11"/>
      <c r="Z225" s="10"/>
      <c r="AA225" s="10"/>
      <c r="AB225" s="10"/>
      <c r="AC225" s="10"/>
      <c r="AD225" s="10"/>
      <c r="AE225" s="10"/>
      <c r="AF225" s="10"/>
      <c r="AG225" s="10"/>
      <c r="AH225" s="10"/>
    </row>
    <row r="226" spans="1:34" ht="15.75" customHeight="1">
      <c r="A226" s="5"/>
      <c r="B226" s="5" t="s">
        <v>560</v>
      </c>
      <c r="C226" s="6" t="s">
        <v>62</v>
      </c>
      <c r="D226" s="7" t="s">
        <v>453</v>
      </c>
      <c r="E226" s="8">
        <v>69111</v>
      </c>
      <c r="F226" s="6" cm="1">
        <f t="array" ref="F226">_xlfn.IFS(
E226&lt;=$E$245,0,
E226&lt;=$E$246,1,
E226&lt;=$E$247,2,
E226&gt;=$E$247,3)</f>
        <v>0</v>
      </c>
      <c r="G226" s="7" cm="1">
        <f t="array" ref="G226">_xlfn.IFS(
OR(D226="Aerospace",D226="Aerospace &amp; Defense",D226="Agricultural Equipment",D226="Airlines",D226="Automotive",D226="Automotive &amp; Energy",D226="Automotive Components",D226="Aviation",D226="Building Materials",D226="Chemicals",D226="Commercial Vehicles",D226="Conglomerate &amp; Defense",D226="Conglomerate &amp; Energy",D226="Construction",D226="Construction &amp; Infrastructure",D226="Construction &amp; Real Estate",D226="Construction &amp; Telecom",D226="Discount Retail",D226="Energy Management",D226="Energy Technology",D226="Engines &amp; Power Systems",D226="Environmental Services",D226="Food Distribution",D226="Food Services",D226="Grocery Retail",D226="Healthcare &amp; Pharmacy",D226="Home Improvement Retail",D226="Industrial Engineering &amp; Electronics",D226="Oilfield Services",D226="Pharmaceuticals",D226="Pharmaceuticals &amp; Chemicals",D226="Pharmaceuticals &amp; Healthcare",D226="Pharmacy Retail",D226="Postal &amp; Logistics",D226="Retail",D226="Retail &amp; Distribution",D226="Retail &amp; Grocery",D226="Retail (IKEA)",D226="Tobacco",D226="Trading &amp; Conglomerate",D226="Utilities",D226="Utilities &amp; Energy",D226="Wholesale Retail"),2,
OR(D226="Agribusiness",D226="Automotive &amp; Heavy Vehicles",D226="Chemicals",D226="Commercial Vehicles",D226="Construction",D226="Construction &amp; Infrastructure",D226="Engines &amp; Power Systems",D226="Food Processing",D226="Healthcare",D226="Healthcare &amp; Medical Devices",D226="Heavy Equipment",D226="Heavy Industry",D226="Industrial Gases",D226="Industrial Manufacturing",D226="Logistics",D226="Medical Devices",D226="Mining",D226="Mining &amp; Commodities Trading",D226="Oil &amp; Gas",D226="Oilfield Services",D226="Rail Transport",D226="Shipping &amp; Logistics",D226="Steel"),3,
OR(D226="Apparel &amp; Footwear",D226="Beverage",D226="Coffeehouse &amp; Retail",D226="Conglomerate",D226="Consumer Goods",D226="Convenience Retail",D226="Electronics",D226="Electronics &amp; Semiconductors",D226="Electronics Retail",D226="Fashion Retail",D226="Food &amp; Beverage",D226="Food Retail &amp; Consumer Goods",D226="Industrial &amp; Technology",D226="Industrial Automation",D226="Industrial Technology",D226="Postal &amp; Financial Services",D226="Postal Services",D226="Scientific Instruments",D226="Technology Hardware",D226="Trading Company",D226="IT Consulting"),1,
OR(D226="Cosmetics",D226="E-commerce &amp; Cloud Computing",D226="Electronics &amp; Entertainment",D226="Entertainment &amp; Media",D226="Luxury Goods",D226="Media &amp; Telecommunications",D226="Networking Technology",D226="Real Estate Services",D226="Technology &amp; Consumer Electronics",D226="Telecommunications",D226="Telecommunications &amp; Investment"),1,
OR(D226="Asset Management",D226="Banking",D226="Banking &amp; Asset Services",D226="Banking &amp; Financial Services",D226="Banking &amp; Wealth Management",D226="Cloud Software",D226="Enterprise Software",D226="Financial Services",D226="Information Technology Consulting",D226="Investment Banking",D226="Social Media &amp; Technology",D226="Software &amp; Cloud Computing",D226="Technology &amp; Consulting",D226="Technology &amp; Internet Services",D226="Technology &amp; Software"),1,
TRUE,"Unmapped"
)</f>
        <v>1</v>
      </c>
      <c r="H226" s="5">
        <f>'BIS + EDBA Final'!B203</f>
        <v>2</v>
      </c>
      <c r="I226" s="5">
        <f>VLOOKUP(B226,'BIS + EDBA Final'!A:F,6,FALSE)</f>
        <v>0</v>
      </c>
      <c r="J226" s="5">
        <f>VLOOKUP(B226,'CBG Final'!A:B,2,FALSE)</f>
        <v>1</v>
      </c>
      <c r="K226" s="9">
        <f t="shared" si="3"/>
        <v>0.8</v>
      </c>
      <c r="L226" s="5" t="s">
        <v>1392</v>
      </c>
      <c r="M226" s="5" t="s">
        <v>743</v>
      </c>
      <c r="N226" s="5" t="s">
        <v>1393</v>
      </c>
      <c r="O226" s="5" t="s">
        <v>485</v>
      </c>
      <c r="P226" s="5" t="s">
        <v>1394</v>
      </c>
      <c r="Q226" s="5" t="s">
        <v>683</v>
      </c>
      <c r="R226" s="5" t="s">
        <v>136</v>
      </c>
      <c r="S226" s="10"/>
      <c r="T226" s="11"/>
      <c r="U226" s="11"/>
      <c r="V226" s="10"/>
      <c r="W226" s="10"/>
      <c r="X226" s="11"/>
      <c r="Y226" s="11"/>
      <c r="Z226" s="10"/>
      <c r="AA226" s="10"/>
      <c r="AB226" s="10"/>
      <c r="AC226" s="10"/>
      <c r="AD226" s="10"/>
      <c r="AE226" s="10"/>
      <c r="AF226" s="10"/>
      <c r="AG226" s="10"/>
      <c r="AH226" s="10"/>
    </row>
    <row r="227" spans="1:34" ht="15.75" customHeight="1">
      <c r="A227" s="5"/>
      <c r="B227" s="5" t="s">
        <v>787</v>
      </c>
      <c r="C227" s="6" t="s">
        <v>62</v>
      </c>
      <c r="D227" s="7" t="s">
        <v>788</v>
      </c>
      <c r="E227" s="8">
        <v>67229</v>
      </c>
      <c r="F227" s="6" cm="1">
        <f t="array" ref="F227">_xlfn.IFS(
E227&lt;=$E$245,0,
E227&lt;=$E$246,1,
E227&lt;=$E$247,2,
E227&gt;=$E$247,3)</f>
        <v>0</v>
      </c>
      <c r="G227" s="7" cm="1">
        <f t="array" ref="G227">_xlfn.IFS(
OR(D227="Aerospace",D227="Aerospace &amp; Defense",D227="Agricultural Equipment",D227="Airlines",D227="Automotive",D227="Automotive &amp; Energy",D227="Automotive Components",D227="Aviation",D227="Building Materials",D227="Chemicals",D227="Commercial Vehicles",D227="Conglomerate &amp; Defense",D227="Conglomerate &amp; Energy",D227="Construction",D227="Construction &amp; Infrastructure",D227="Construction &amp; Real Estate",D227="Construction &amp; Telecom",D227="Discount Retail",D227="Energy Management",D227="Energy Technology",D227="Engines &amp; Power Systems",D227="Environmental Services",D227="Food Distribution",D227="Food Services",D227="Grocery Retail",D227="Healthcare &amp; Pharmacy",D227="Home Improvement Retail",D227="Industrial Engineering &amp; Electronics",D227="Oilfield Services",D227="Pharmaceuticals",D227="Pharmaceuticals &amp; Chemicals",D227="Pharmaceuticals &amp; Healthcare",D227="Pharmacy Retail",D227="Postal &amp; Logistics",D227="Retail",D227="Retail &amp; Distribution",D227="Retail &amp; Grocery",D227="Retail (IKEA)",D227="Tobacco",D227="Trading &amp; Conglomerate",D227="Utilities",D227="Utilities &amp; Energy",D227="Wholesale Retail"),2,
OR(D227="Agribusiness",D227="Automotive &amp; Heavy Vehicles",D227="Chemicals",D227="Commercial Vehicles",D227="Construction",D227="Construction &amp; Infrastructure",D227="Engines &amp; Power Systems",D227="Food Processing",D227="Healthcare",D227="Healthcare &amp; Medical Devices",D227="Heavy Equipment",D227="Heavy Industry",D227="Industrial Gases",D227="Industrial Manufacturing",D227="Logistics",D227="Medical Devices",D227="Mining",D227="Mining &amp; Commodities Trading",D227="Oil &amp; Gas",D227="Oilfield Services",D227="Rail Transport",D227="Shipping &amp; Logistics",D227="Steel"),3,
OR(D227="Apparel &amp; Footwear",D227="Beverage",D227="Coffeehouse &amp; Retail",D227="Conglomerate",D227="Consumer Goods",D227="Convenience Retail",D227="Electronics",D227="Electronics &amp; Semiconductors",D227="Electronics Retail",D227="Fashion Retail",D227="Food &amp; Beverage",D227="Food Retail &amp; Consumer Goods",D227="Industrial &amp; Technology",D227="Industrial Automation",D227="Industrial Technology",D227="Postal &amp; Financial Services",D227="Postal Services",D227="Scientific Instruments",D227="Technology Hardware",D227="Trading Company",D227="IT Consulting"),1,
OR(D227="Cosmetics",D227="E-commerce &amp; Cloud Computing",D227="Electronics &amp; Entertainment",D227="Entertainment &amp; Media",D227="Luxury Goods",D227="Media &amp; Telecommunications",D227="Networking Technology",D227="Real Estate Services",D227="Technology &amp; Consumer Electronics",D227="Telecommunications",D227="Telecommunications &amp; Investment"),1,
OR(D227="Asset Management",D227="Banking",D227="Banking &amp; Asset Services",D227="Banking &amp; Financial Services",D227="Banking &amp; Wealth Management",D227="Cloud Software",D227="Enterprise Software",D227="Financial Services",D227="Information Technology Consulting",D227="Investment Banking",D227="Social Media &amp; Technology",D227="Software &amp; Cloud Computing",D227="Technology &amp; Consulting",D227="Technology &amp; Internet Services",D227="Technology &amp; Software"),1,
TRUE,"Unmapped"
)</f>
        <v>1</v>
      </c>
      <c r="H227" s="5">
        <f>'BIS + EDBA Final'!B218</f>
        <v>1</v>
      </c>
      <c r="I227" s="5">
        <f>VLOOKUP(B227,'BIS + EDBA Final'!A:F,6,FALSE)</f>
        <v>0</v>
      </c>
      <c r="J227" s="5">
        <f>VLOOKUP(B227,'CBG Final'!A:B,2,FALSE)</f>
        <v>2</v>
      </c>
      <c r="K227" s="9">
        <f t="shared" si="3"/>
        <v>0.8</v>
      </c>
      <c r="L227" s="5" t="s">
        <v>1322</v>
      </c>
      <c r="M227" s="5" t="s">
        <v>446</v>
      </c>
      <c r="N227" s="5" t="s">
        <v>1323</v>
      </c>
      <c r="O227" s="5"/>
      <c r="P227" s="5" t="s">
        <v>1324</v>
      </c>
      <c r="Q227" s="5" t="s">
        <v>82</v>
      </c>
      <c r="R227" s="5" t="s">
        <v>339</v>
      </c>
      <c r="S227" s="10"/>
      <c r="T227" s="11"/>
      <c r="U227" s="11"/>
      <c r="V227" s="10"/>
      <c r="W227" s="10"/>
      <c r="X227" s="10"/>
      <c r="Y227" s="10"/>
      <c r="Z227" s="10"/>
      <c r="AA227" s="10"/>
      <c r="AB227" s="10"/>
      <c r="AC227" s="10"/>
      <c r="AD227" s="10"/>
      <c r="AE227" s="10"/>
      <c r="AF227" s="10"/>
      <c r="AG227" s="10"/>
      <c r="AH227" s="10"/>
    </row>
    <row r="228" spans="1:34" ht="15.75" customHeight="1">
      <c r="A228" s="5"/>
      <c r="B228" s="5" t="s">
        <v>508</v>
      </c>
      <c r="C228" s="6" t="s">
        <v>94</v>
      </c>
      <c r="D228" s="7" t="s">
        <v>157</v>
      </c>
      <c r="E228" s="8">
        <v>61228</v>
      </c>
      <c r="F228" s="6" cm="1">
        <f t="array" ref="F228">_xlfn.IFS(
E228&lt;=$E$245,0,
E228&lt;=$E$246,1,
E228&lt;=$E$247,2,
E228&gt;=$E$247,3)</f>
        <v>0</v>
      </c>
      <c r="G228" s="7" cm="1">
        <f t="array" ref="G228">_xlfn.IFS(
OR(D228="Aerospace",D228="Aerospace &amp; Defense",D228="Agricultural Equipment",D228="Airlines",D228="Automotive",D228="Automotive &amp; Energy",D228="Automotive Components",D228="Aviation",D228="Building Materials",D228="Chemicals",D228="Commercial Vehicles",D228="Conglomerate &amp; Defense",D228="Conglomerate &amp; Energy",D228="Construction",D228="Construction &amp; Infrastructure",D228="Construction &amp; Real Estate",D228="Construction &amp; Telecom",D228="Discount Retail",D228="Energy Management",D228="Energy Technology",D228="Engines &amp; Power Systems",D228="Environmental Services",D228="Food Distribution",D228="Food Services",D228="Grocery Retail",D228="Healthcare &amp; Pharmacy",D228="Home Improvement Retail",D228="Industrial Engineering &amp; Electronics",D228="Oilfield Services",D228="Pharmaceuticals",D228="Pharmaceuticals &amp; Chemicals",D228="Pharmaceuticals &amp; Healthcare",D228="Pharmacy Retail",D228="Postal &amp; Logistics",D228="Retail",D228="Retail &amp; Distribution",D228="Retail &amp; Grocery",D228="Retail (IKEA)",D228="Tobacco",D228="Trading &amp; Conglomerate",D228="Utilities",D228="Utilities &amp; Energy",D228="Wholesale Retail"),2,
OR(D228="Agribusiness",D228="Automotive &amp; Heavy Vehicles",D228="Chemicals",D228="Commercial Vehicles",D228="Construction",D228="Construction &amp; Infrastructure",D228="Engines &amp; Power Systems",D228="Food Processing",D228="Healthcare",D228="Healthcare &amp; Medical Devices",D228="Heavy Equipment",D228="Heavy Industry",D228="Industrial Gases",D228="Industrial Manufacturing",D228="Logistics",D228="Medical Devices",D228="Mining",D228="Mining &amp; Commodities Trading",D228="Oil &amp; Gas",D228="Oilfield Services",D228="Rail Transport",D228="Shipping &amp; Logistics",D228="Steel"),3,
OR(D228="Apparel &amp; Footwear",D228="Beverage",D228="Coffeehouse &amp; Retail",D228="Conglomerate",D228="Consumer Goods",D228="Convenience Retail",D228="Electronics",D228="Electronics &amp; Semiconductors",D228="Electronics Retail",D228="Fashion Retail",D228="Food &amp; Beverage",D228="Food Retail &amp; Consumer Goods",D228="Industrial &amp; Technology",D228="Industrial Automation",D228="Industrial Technology",D228="Postal &amp; Financial Services",D228="Postal Services",D228="Scientific Instruments",D228="Technology Hardware",D228="Trading Company",D228="IT Consulting"),1,
OR(D228="Cosmetics",D228="E-commerce &amp; Cloud Computing",D228="Electronics &amp; Entertainment",D228="Entertainment &amp; Media",D228="Luxury Goods",D228="Media &amp; Telecommunications",D228="Networking Technology",D228="Real Estate Services",D228="Technology &amp; Consumer Electronics",D228="Telecommunications",D228="Telecommunications &amp; Investment"),1,
OR(D228="Asset Management",D228="Banking",D228="Banking &amp; Asset Services",D228="Banking &amp; Financial Services",D228="Banking &amp; Wealth Management",D228="Cloud Software",D228="Enterprise Software",D228="Financial Services",D228="Information Technology Consulting",D228="Investment Banking",D228="Social Media &amp; Technology",D228="Software &amp; Cloud Computing",D228="Technology &amp; Consulting",D228="Technology &amp; Internet Services",D228="Technology &amp; Software"),1,
TRUE,"Unmapped"
)</f>
        <v>1</v>
      </c>
      <c r="H228" s="5">
        <f>'BIS + EDBA Final'!B222</f>
        <v>2</v>
      </c>
      <c r="I228" s="5">
        <f>VLOOKUP(B228,'BIS + EDBA Final'!A:F,6,FALSE)</f>
        <v>-1</v>
      </c>
      <c r="J228" s="5">
        <f>VLOOKUP(B228,'CBG Final'!A:B,2,FALSE)</f>
        <v>1</v>
      </c>
      <c r="K228" s="9">
        <f t="shared" si="3"/>
        <v>0.70000000000000018</v>
      </c>
      <c r="L228" s="5" t="s">
        <v>1089</v>
      </c>
      <c r="M228" s="5" t="s">
        <v>545</v>
      </c>
      <c r="N228" s="5" t="s">
        <v>1090</v>
      </c>
      <c r="O228" s="5" t="s">
        <v>1091</v>
      </c>
      <c r="P228" s="5" t="s">
        <v>1092</v>
      </c>
      <c r="Q228" s="5" t="s">
        <v>34</v>
      </c>
      <c r="R228" s="5" t="s">
        <v>145</v>
      </c>
      <c r="S228" s="10"/>
      <c r="T228" s="11"/>
      <c r="U228" s="11"/>
      <c r="V228" s="10"/>
      <c r="W228" s="10"/>
      <c r="X228" s="11"/>
      <c r="Y228" s="11"/>
      <c r="Z228" s="10"/>
      <c r="AA228" s="10"/>
      <c r="AB228" s="10"/>
      <c r="AC228" s="10"/>
      <c r="AD228" s="10"/>
      <c r="AE228" s="10"/>
      <c r="AF228" s="10"/>
      <c r="AG228" s="10"/>
      <c r="AH228" s="10"/>
    </row>
    <row r="229" spans="1:34" ht="15.75" customHeight="1">
      <c r="A229" s="5"/>
      <c r="B229" s="5" t="s">
        <v>417</v>
      </c>
      <c r="C229" s="6" t="s">
        <v>62</v>
      </c>
      <c r="D229" s="7" t="s">
        <v>285</v>
      </c>
      <c r="E229" s="8">
        <v>62062</v>
      </c>
      <c r="F229" s="6" cm="1">
        <f t="array" ref="F229">_xlfn.IFS(
E229&lt;=$E$245,0,
E229&lt;=$E$246,1,
E229&lt;=$E$247,2,
E229&gt;=$E$247,3)</f>
        <v>0</v>
      </c>
      <c r="G229" s="7" cm="1">
        <f t="array" ref="G229">_xlfn.IFS(
OR(D229="Aerospace",D229="Aerospace &amp; Defense",D229="Agricultural Equipment",D229="Airlines",D229="Automotive",D229="Automotive &amp; Energy",D229="Automotive Components",D229="Aviation",D229="Building Materials",D229="Chemicals",D229="Commercial Vehicles",D229="Conglomerate &amp; Defense",D229="Conglomerate &amp; Energy",D229="Construction",D229="Construction &amp; Infrastructure",D229="Construction &amp; Real Estate",D229="Construction &amp; Telecom",D229="Discount Retail",D229="Energy Management",D229="Energy Technology",D229="Engines &amp; Power Systems",D229="Environmental Services",D229="Food Distribution",D229="Food Services",D229="Grocery Retail",D229="Healthcare &amp; Pharmacy",D229="Home Improvement Retail",D229="Industrial Engineering &amp; Electronics",D229="Oilfield Services",D229="Pharmaceuticals",D229="Pharmaceuticals &amp; Chemicals",D229="Pharmaceuticals &amp; Healthcare",D229="Pharmacy Retail",D229="Postal &amp; Logistics",D229="Retail",D229="Retail &amp; Distribution",D229="Retail &amp; Grocery",D229="Retail (IKEA)",D229="Tobacco",D229="Trading &amp; Conglomerate",D229="Utilities",D229="Utilities &amp; Energy",D229="Wholesale Retail"),2,
OR(D229="Agribusiness",D229="Automotive &amp; Heavy Vehicles",D229="Chemicals",D229="Commercial Vehicles",D229="Construction",D229="Construction &amp; Infrastructure",D229="Engines &amp; Power Systems",D229="Food Processing",D229="Healthcare",D229="Healthcare &amp; Medical Devices",D229="Heavy Equipment",D229="Heavy Industry",D229="Industrial Gases",D229="Industrial Manufacturing",D229="Logistics",D229="Medical Devices",D229="Mining",D229="Mining &amp; Commodities Trading",D229="Oil &amp; Gas",D229="Oilfield Services",D229="Rail Transport",D229="Shipping &amp; Logistics",D229="Steel"),3,
OR(D229="Apparel &amp; Footwear",D229="Beverage",D229="Coffeehouse &amp; Retail",D229="Conglomerate",D229="Consumer Goods",D229="Convenience Retail",D229="Electronics",D229="Electronics &amp; Semiconductors",D229="Electronics Retail",D229="Fashion Retail",D229="Food &amp; Beverage",D229="Food Retail &amp; Consumer Goods",D229="Industrial &amp; Technology",D229="Industrial Automation",D229="Industrial Technology",D229="Postal &amp; Financial Services",D229="Postal Services",D229="Scientific Instruments",D229="Technology Hardware",D229="Trading Company",D229="IT Consulting"),1,
OR(D229="Cosmetics",D229="E-commerce &amp; Cloud Computing",D229="Electronics &amp; Entertainment",D229="Entertainment &amp; Media",D229="Luxury Goods",D229="Media &amp; Telecommunications",D229="Networking Technology",D229="Real Estate Services",D229="Technology &amp; Consumer Electronics",D229="Telecommunications",D229="Telecommunications &amp; Investment"),1,
OR(D229="Asset Management",D229="Banking",D229="Banking &amp; Asset Services",D229="Banking &amp; Financial Services",D229="Banking &amp; Wealth Management",D229="Cloud Software",D229="Enterprise Software",D229="Financial Services",D229="Information Technology Consulting",D229="Investment Banking",D229="Social Media &amp; Technology",D229="Software &amp; Cloud Computing",D229="Technology &amp; Consulting",D229="Technology &amp; Internet Services",D229="Technology &amp; Software"),1,
TRUE,"Unmapped"
)</f>
        <v>1</v>
      </c>
      <c r="H229" s="5">
        <f>'BIS + EDBA Final'!B200</f>
        <v>1</v>
      </c>
      <c r="I229" s="5">
        <f>VLOOKUP(B229,'BIS + EDBA Final'!A:F,6,FALSE)</f>
        <v>1</v>
      </c>
      <c r="J229" s="5">
        <f>VLOOKUP(B229,'CBG Final'!A:B,2,FALSE)</f>
        <v>1</v>
      </c>
      <c r="K229" s="9">
        <f t="shared" si="3"/>
        <v>0.7</v>
      </c>
      <c r="L229" s="5" t="s">
        <v>1136</v>
      </c>
      <c r="M229" s="5" t="s">
        <v>1137</v>
      </c>
      <c r="N229" s="5" t="s">
        <v>1138</v>
      </c>
      <c r="O229" s="5" t="s">
        <v>891</v>
      </c>
      <c r="P229" s="5" t="s">
        <v>1139</v>
      </c>
      <c r="Q229" s="5" t="s">
        <v>683</v>
      </c>
      <c r="R229" s="5" t="s">
        <v>20</v>
      </c>
      <c r="S229" s="10"/>
      <c r="T229" s="11"/>
      <c r="U229" s="11"/>
      <c r="V229" s="10"/>
      <c r="W229" s="10"/>
      <c r="X229" s="11"/>
      <c r="Y229" s="11"/>
      <c r="Z229" s="10"/>
      <c r="AA229" s="10"/>
      <c r="AB229" s="10"/>
      <c r="AC229" s="10"/>
      <c r="AD229" s="10"/>
      <c r="AE229" s="10"/>
      <c r="AF229" s="10"/>
      <c r="AG229" s="10"/>
      <c r="AH229" s="10"/>
    </row>
    <row r="230" spans="1:34" ht="15.75" customHeight="1">
      <c r="A230" s="5"/>
      <c r="B230" s="5" t="s">
        <v>851</v>
      </c>
      <c r="C230" s="6" t="s">
        <v>36</v>
      </c>
      <c r="D230" s="7" t="s">
        <v>157</v>
      </c>
      <c r="E230" s="8">
        <v>70263</v>
      </c>
      <c r="F230" s="6" cm="1">
        <f t="array" ref="F230">_xlfn.IFS(
E230&lt;=$E$245,0,
E230&lt;=$E$246,1,
E230&lt;=$E$247,2,
E230&gt;=$E$247,3)</f>
        <v>0</v>
      </c>
      <c r="G230" s="7" cm="1">
        <f t="array" ref="G230">_xlfn.IFS(
OR(D230="Aerospace",D230="Aerospace &amp; Defense",D230="Agricultural Equipment",D230="Airlines",D230="Automotive",D230="Automotive &amp; Energy",D230="Automotive Components",D230="Aviation",D230="Building Materials",D230="Chemicals",D230="Commercial Vehicles",D230="Conglomerate &amp; Defense",D230="Conglomerate &amp; Energy",D230="Construction",D230="Construction &amp; Infrastructure",D230="Construction &amp; Real Estate",D230="Construction &amp; Telecom",D230="Discount Retail",D230="Energy Management",D230="Energy Technology",D230="Engines &amp; Power Systems",D230="Environmental Services",D230="Food Distribution",D230="Food Services",D230="Grocery Retail",D230="Healthcare &amp; Pharmacy",D230="Home Improvement Retail",D230="Industrial Engineering &amp; Electronics",D230="Oilfield Services",D230="Pharmaceuticals",D230="Pharmaceuticals &amp; Chemicals",D230="Pharmaceuticals &amp; Healthcare",D230="Pharmacy Retail",D230="Postal &amp; Logistics",D230="Retail",D230="Retail &amp; Distribution",D230="Retail &amp; Grocery",D230="Retail (IKEA)",D230="Tobacco",D230="Trading &amp; Conglomerate",D230="Utilities",D230="Utilities &amp; Energy",D230="Wholesale Retail"),2,
OR(D230="Agribusiness",D230="Automotive &amp; Heavy Vehicles",D230="Chemicals",D230="Commercial Vehicles",D230="Construction",D230="Construction &amp; Infrastructure",D230="Engines &amp; Power Systems",D230="Food Processing",D230="Healthcare",D230="Healthcare &amp; Medical Devices",D230="Heavy Equipment",D230="Heavy Industry",D230="Industrial Gases",D230="Industrial Manufacturing",D230="Logistics",D230="Medical Devices",D230="Mining",D230="Mining &amp; Commodities Trading",D230="Oil &amp; Gas",D230="Oilfield Services",D230="Rail Transport",D230="Shipping &amp; Logistics",D230="Steel"),3,
OR(D230="Apparel &amp; Footwear",D230="Beverage",D230="Coffeehouse &amp; Retail",D230="Conglomerate",D230="Consumer Goods",D230="Convenience Retail",D230="Electronics",D230="Electronics &amp; Semiconductors",D230="Electronics Retail",D230="Fashion Retail",D230="Food &amp; Beverage",D230="Food Retail &amp; Consumer Goods",D230="Industrial &amp; Technology",D230="Industrial Automation",D230="Industrial Technology",D230="Postal &amp; Financial Services",D230="Postal Services",D230="Scientific Instruments",D230="Technology Hardware",D230="Trading Company",D230="IT Consulting"),1,
OR(D230="Cosmetics",D230="E-commerce &amp; Cloud Computing",D230="Electronics &amp; Entertainment",D230="Entertainment &amp; Media",D230="Luxury Goods",D230="Media &amp; Telecommunications",D230="Networking Technology",D230="Real Estate Services",D230="Technology &amp; Consumer Electronics",D230="Telecommunications",D230="Telecommunications &amp; Investment"),1,
OR(D230="Asset Management",D230="Banking",D230="Banking &amp; Asset Services",D230="Banking &amp; Financial Services",D230="Banking &amp; Wealth Management",D230="Cloud Software",D230="Enterprise Software",D230="Financial Services",D230="Information Technology Consulting",D230="Investment Banking",D230="Social Media &amp; Technology",D230="Software &amp; Cloud Computing",D230="Technology &amp; Consulting",D230="Technology &amp; Internet Services",D230="Technology &amp; Software"),1,
TRUE,"Unmapped"
)</f>
        <v>1</v>
      </c>
      <c r="H230" s="5">
        <f>'BIS + EDBA Final'!B225</f>
        <v>1</v>
      </c>
      <c r="I230" s="5">
        <f>VLOOKUP(B230,'BIS + EDBA Final'!A:F,6,FALSE)</f>
        <v>1</v>
      </c>
      <c r="J230" s="5">
        <f>VLOOKUP(B230,'CBG Final'!A:B,2,FALSE)</f>
        <v>1</v>
      </c>
      <c r="K230" s="9">
        <f t="shared" si="3"/>
        <v>0.7</v>
      </c>
      <c r="L230" s="5" t="s">
        <v>1398</v>
      </c>
      <c r="M230" s="5" t="s">
        <v>264</v>
      </c>
      <c r="N230" s="5" t="s">
        <v>1399</v>
      </c>
      <c r="O230" s="5" t="s">
        <v>852</v>
      </c>
      <c r="P230" s="5" t="s">
        <v>1400</v>
      </c>
      <c r="Q230" s="5" t="s">
        <v>144</v>
      </c>
      <c r="R230" s="5" t="s">
        <v>339</v>
      </c>
      <c r="S230" s="10"/>
      <c r="T230" s="11"/>
      <c r="U230" s="11"/>
      <c r="V230" s="10"/>
      <c r="W230" s="10"/>
      <c r="X230" s="10"/>
      <c r="Y230" s="10"/>
      <c r="Z230" s="10"/>
      <c r="AA230" s="10"/>
      <c r="AB230" s="10"/>
      <c r="AC230" s="10"/>
      <c r="AD230" s="10"/>
      <c r="AE230" s="10"/>
      <c r="AF230" s="10"/>
      <c r="AG230" s="10"/>
      <c r="AH230" s="10"/>
    </row>
    <row r="231" spans="1:34" ht="15.75" customHeight="1">
      <c r="A231" s="5"/>
      <c r="B231" s="5" t="s">
        <v>766</v>
      </c>
      <c r="C231" s="6" t="s">
        <v>39</v>
      </c>
      <c r="D231" s="7" t="s">
        <v>157</v>
      </c>
      <c r="E231" s="8">
        <v>72352</v>
      </c>
      <c r="F231" s="6" cm="1">
        <f t="array" ref="F231">_xlfn.IFS(
E231&lt;=$E$245,0,
E231&lt;=$E$246,1,
E231&lt;=$E$247,2,
E231&gt;=$E$247,3)</f>
        <v>0</v>
      </c>
      <c r="G231" s="7" cm="1">
        <f t="array" ref="G231">_xlfn.IFS(
OR(D231="Aerospace",D231="Aerospace &amp; Defense",D231="Agricultural Equipment",D231="Airlines",D231="Automotive",D231="Automotive &amp; Energy",D231="Automotive Components",D231="Aviation",D231="Building Materials",D231="Chemicals",D231="Commercial Vehicles",D231="Conglomerate &amp; Defense",D231="Conglomerate &amp; Energy",D231="Construction",D231="Construction &amp; Infrastructure",D231="Construction &amp; Real Estate",D231="Construction &amp; Telecom",D231="Discount Retail",D231="Energy Management",D231="Energy Technology",D231="Engines &amp; Power Systems",D231="Environmental Services",D231="Food Distribution",D231="Food Services",D231="Grocery Retail",D231="Healthcare &amp; Pharmacy",D231="Home Improvement Retail",D231="Industrial Engineering &amp; Electronics",D231="Oilfield Services",D231="Pharmaceuticals",D231="Pharmaceuticals &amp; Chemicals",D231="Pharmaceuticals &amp; Healthcare",D231="Pharmacy Retail",D231="Postal &amp; Logistics",D231="Retail",D231="Retail &amp; Distribution",D231="Retail &amp; Grocery",D231="Retail (IKEA)",D231="Tobacco",D231="Trading &amp; Conglomerate",D231="Utilities",D231="Utilities &amp; Energy",D231="Wholesale Retail"),2,
OR(D231="Agribusiness",D231="Automotive &amp; Heavy Vehicles",D231="Chemicals",D231="Commercial Vehicles",D231="Construction",D231="Construction &amp; Infrastructure",D231="Engines &amp; Power Systems",D231="Food Processing",D231="Healthcare",D231="Healthcare &amp; Medical Devices",D231="Heavy Equipment",D231="Heavy Industry",D231="Industrial Gases",D231="Industrial Manufacturing",D231="Logistics",D231="Medical Devices",D231="Mining",D231="Mining &amp; Commodities Trading",D231="Oil &amp; Gas",D231="Oilfield Services",D231="Rail Transport",D231="Shipping &amp; Logistics",D231="Steel"),3,
OR(D231="Apparel &amp; Footwear",D231="Beverage",D231="Coffeehouse &amp; Retail",D231="Conglomerate",D231="Consumer Goods",D231="Convenience Retail",D231="Electronics",D231="Electronics &amp; Semiconductors",D231="Electronics Retail",D231="Fashion Retail",D231="Food &amp; Beverage",D231="Food Retail &amp; Consumer Goods",D231="Industrial &amp; Technology",D231="Industrial Automation",D231="Industrial Technology",D231="Postal &amp; Financial Services",D231="Postal Services",D231="Scientific Instruments",D231="Technology Hardware",D231="Trading Company",D231="IT Consulting"),1,
OR(D231="Cosmetics",D231="E-commerce &amp; Cloud Computing",D231="Electronics &amp; Entertainment",D231="Entertainment &amp; Media",D231="Luxury Goods",D231="Media &amp; Telecommunications",D231="Networking Technology",D231="Real Estate Services",D231="Technology &amp; Consumer Electronics",D231="Telecommunications",D231="Telecommunications &amp; Investment"),1,
OR(D231="Asset Management",D231="Banking",D231="Banking &amp; Asset Services",D231="Banking &amp; Financial Services",D231="Banking &amp; Wealth Management",D231="Cloud Software",D231="Enterprise Software",D231="Financial Services",D231="Information Technology Consulting",D231="Investment Banking",D231="Social Media &amp; Technology",D231="Software &amp; Cloud Computing",D231="Technology &amp; Consulting",D231="Technology &amp; Internet Services",D231="Technology &amp; Software"),1,
TRUE,"Unmapped"
)</f>
        <v>1</v>
      </c>
      <c r="H231" s="5">
        <f>'BIS + EDBA Final'!B220</f>
        <v>1</v>
      </c>
      <c r="I231" s="5">
        <f>VLOOKUP(B231,'BIS + EDBA Final'!A:F,6,FALSE)</f>
        <v>0</v>
      </c>
      <c r="J231" s="5">
        <f>VLOOKUP(B231,'CBG Final'!A:B,2,FALSE)</f>
        <v>1</v>
      </c>
      <c r="K231" s="9">
        <f t="shared" si="3"/>
        <v>0.60000000000000009</v>
      </c>
      <c r="L231" s="5" t="s">
        <v>767</v>
      </c>
      <c r="M231" s="5" t="s">
        <v>768</v>
      </c>
      <c r="N231" s="5" t="s">
        <v>769</v>
      </c>
      <c r="O231" s="5" t="s">
        <v>384</v>
      </c>
      <c r="P231" s="5" t="s">
        <v>770</v>
      </c>
      <c r="Q231" s="5" t="s">
        <v>771</v>
      </c>
      <c r="R231" s="5" t="s">
        <v>169</v>
      </c>
      <c r="S231" s="10"/>
      <c r="T231" s="11"/>
      <c r="U231" s="11"/>
      <c r="V231" s="10"/>
      <c r="W231" s="10"/>
      <c r="X231" s="10"/>
      <c r="Y231" s="10"/>
      <c r="Z231" s="10"/>
      <c r="AA231" s="10"/>
      <c r="AB231" s="10"/>
      <c r="AC231" s="10"/>
      <c r="AD231" s="10"/>
      <c r="AE231" s="10"/>
      <c r="AF231" s="10"/>
      <c r="AG231" s="10"/>
      <c r="AH231" s="10"/>
    </row>
    <row r="232" spans="1:34" ht="15.75" customHeight="1">
      <c r="A232" s="13"/>
      <c r="B232" s="14"/>
      <c r="C232" s="14"/>
      <c r="D232" s="14"/>
      <c r="E232" s="15"/>
      <c r="F232" s="16"/>
      <c r="G232" s="14"/>
      <c r="H232" s="17"/>
      <c r="I232" s="17"/>
      <c r="J232" s="17"/>
      <c r="K232" s="18"/>
      <c r="L232" s="17"/>
      <c r="M232" s="14"/>
      <c r="N232" s="14"/>
      <c r="O232" s="14"/>
      <c r="P232" s="14"/>
      <c r="Q232" s="14"/>
      <c r="R232" s="14"/>
      <c r="S232" s="10"/>
      <c r="T232" s="10"/>
      <c r="U232" s="10"/>
      <c r="V232" s="10"/>
      <c r="W232" s="10"/>
      <c r="X232" s="10"/>
      <c r="Y232" s="10"/>
      <c r="Z232" s="10"/>
      <c r="AA232" s="10"/>
      <c r="AB232" s="10"/>
      <c r="AC232" s="10"/>
      <c r="AD232" s="10"/>
      <c r="AE232" s="10"/>
      <c r="AF232" s="10"/>
      <c r="AG232" s="10"/>
      <c r="AH232" s="10"/>
    </row>
    <row r="233" spans="1:34" ht="15.75" hidden="1" customHeight="1">
      <c r="A233" s="13"/>
      <c r="B233" s="14"/>
      <c r="C233" s="14"/>
      <c r="D233" s="14" t="e">
        <f t="array" aca="1" ref="D233:D338" ca="1">_xludf.unique(D2:D231)</f>
        <v>#NAME?</v>
      </c>
      <c r="E233" s="15"/>
      <c r="F233" s="16"/>
      <c r="G233" s="14"/>
      <c r="H233" s="17"/>
      <c r="I233" s="17"/>
      <c r="J233" s="19" t="s">
        <v>1465</v>
      </c>
      <c r="K233" s="18"/>
      <c r="L233" s="17"/>
      <c r="M233" s="14"/>
      <c r="N233" s="14"/>
      <c r="O233" s="14"/>
      <c r="P233" s="14"/>
      <c r="Q233" s="14"/>
      <c r="R233" s="14"/>
      <c r="S233" s="10"/>
      <c r="T233" s="10"/>
      <c r="U233" s="10"/>
      <c r="V233" s="10"/>
      <c r="W233" s="10"/>
      <c r="X233" s="10"/>
      <c r="Y233" s="10"/>
      <c r="Z233" s="10"/>
      <c r="AA233" s="10"/>
      <c r="AB233" s="10"/>
      <c r="AC233" s="10"/>
      <c r="AD233" s="10"/>
      <c r="AE233" s="10"/>
      <c r="AF233" s="10"/>
      <c r="AG233" s="10"/>
      <c r="AH233" s="10"/>
    </row>
    <row r="234" spans="1:34" ht="15.75" hidden="1" customHeight="1">
      <c r="A234" s="13"/>
      <c r="B234" s="14"/>
      <c r="C234" s="14"/>
      <c r="D234" s="14" t="e">
        <f ca="1"/>
        <v>#NAME?</v>
      </c>
      <c r="E234" s="15"/>
      <c r="F234" s="16"/>
      <c r="G234" s="14"/>
      <c r="H234" s="17"/>
      <c r="I234" s="17"/>
      <c r="J234" s="17"/>
      <c r="K234" s="18"/>
      <c r="L234" s="17"/>
      <c r="M234" s="14"/>
      <c r="N234" s="14"/>
      <c r="O234" s="14"/>
      <c r="P234" s="14"/>
      <c r="Q234" s="14"/>
      <c r="R234" s="14"/>
      <c r="S234" s="10"/>
      <c r="T234" s="10"/>
      <c r="U234" s="10"/>
      <c r="V234" s="10"/>
      <c r="W234" s="10"/>
      <c r="X234" s="10"/>
      <c r="Y234" s="10"/>
      <c r="Z234" s="10"/>
      <c r="AA234" s="10"/>
      <c r="AB234" s="10"/>
      <c r="AC234" s="10"/>
      <c r="AD234" s="10"/>
      <c r="AE234" s="10"/>
      <c r="AF234" s="10"/>
      <c r="AG234" s="10"/>
      <c r="AH234" s="10"/>
    </row>
    <row r="235" spans="1:34" ht="15.75" hidden="1" customHeight="1">
      <c r="A235" s="13"/>
      <c r="B235" s="14"/>
      <c r="C235" s="14"/>
      <c r="D235" s="14" t="e">
        <f ca="1"/>
        <v>#NAME?</v>
      </c>
      <c r="E235" s="15"/>
      <c r="F235" s="16"/>
      <c r="G235" s="14"/>
      <c r="H235" s="17"/>
      <c r="I235" s="17"/>
      <c r="J235" s="17"/>
      <c r="K235" s="18"/>
      <c r="L235" s="17"/>
      <c r="M235" s="14"/>
      <c r="N235" s="14"/>
      <c r="O235" s="14"/>
      <c r="P235" s="14"/>
      <c r="Q235" s="14"/>
      <c r="R235" s="14"/>
      <c r="S235" s="10"/>
      <c r="T235" s="10"/>
      <c r="U235" s="10"/>
      <c r="V235" s="10"/>
      <c r="W235" s="10"/>
      <c r="X235" s="10"/>
      <c r="Y235" s="10"/>
      <c r="Z235" s="10"/>
      <c r="AA235" s="10"/>
      <c r="AB235" s="10"/>
      <c r="AC235" s="10"/>
      <c r="AD235" s="10"/>
      <c r="AE235" s="10"/>
      <c r="AF235" s="10"/>
      <c r="AG235" s="10"/>
      <c r="AH235" s="10"/>
    </row>
    <row r="236" spans="1:34" ht="15.75" hidden="1" customHeight="1">
      <c r="A236" s="13"/>
      <c r="B236" s="14"/>
      <c r="C236" s="14"/>
      <c r="D236" s="14" t="e">
        <f ca="1"/>
        <v>#NAME?</v>
      </c>
      <c r="E236" s="15"/>
      <c r="F236" s="16"/>
      <c r="G236" s="14"/>
      <c r="H236" s="17"/>
      <c r="I236" s="17"/>
      <c r="J236" s="17"/>
      <c r="K236" s="18"/>
      <c r="L236" s="17"/>
      <c r="M236" s="14"/>
      <c r="N236" s="14"/>
      <c r="O236" s="14"/>
      <c r="P236" s="14"/>
      <c r="Q236" s="14"/>
      <c r="R236" s="14"/>
      <c r="S236" s="10"/>
      <c r="T236" s="10"/>
      <c r="U236" s="10"/>
      <c r="V236" s="10"/>
      <c r="W236" s="10"/>
      <c r="X236" s="10"/>
      <c r="Y236" s="10"/>
      <c r="Z236" s="10"/>
      <c r="AA236" s="10"/>
      <c r="AB236" s="10"/>
      <c r="AC236" s="10"/>
      <c r="AD236" s="10"/>
      <c r="AE236" s="10"/>
      <c r="AF236" s="10"/>
      <c r="AG236" s="10"/>
      <c r="AH236" s="10"/>
    </row>
    <row r="237" spans="1:34" ht="15.75" hidden="1" customHeight="1">
      <c r="A237" s="13"/>
      <c r="B237" s="14"/>
      <c r="C237" s="14"/>
      <c r="D237" s="14" t="e">
        <f ca="1"/>
        <v>#NAME?</v>
      </c>
      <c r="E237" s="15"/>
      <c r="F237" s="16"/>
      <c r="G237" s="14"/>
      <c r="H237" s="17"/>
      <c r="I237" s="17"/>
      <c r="J237" s="17"/>
      <c r="K237" s="18"/>
      <c r="L237" s="17"/>
      <c r="M237" s="14"/>
      <c r="N237" s="14"/>
      <c r="O237" s="14"/>
      <c r="P237" s="14"/>
      <c r="Q237" s="14"/>
      <c r="R237" s="14"/>
      <c r="S237" s="10"/>
      <c r="T237" s="10"/>
      <c r="U237" s="10"/>
      <c r="V237" s="10"/>
      <c r="W237" s="10"/>
      <c r="X237" s="10"/>
      <c r="Y237" s="10"/>
      <c r="Z237" s="10"/>
      <c r="AA237" s="10"/>
      <c r="AB237" s="10"/>
      <c r="AC237" s="10"/>
      <c r="AD237" s="10"/>
      <c r="AE237" s="10"/>
      <c r="AF237" s="10"/>
      <c r="AG237" s="10"/>
      <c r="AH237" s="10"/>
    </row>
    <row r="238" spans="1:34" ht="15.75" hidden="1" customHeight="1">
      <c r="A238" s="13"/>
      <c r="B238" s="14"/>
      <c r="C238" s="14"/>
      <c r="D238" s="14" t="e">
        <f ca="1"/>
        <v>#NAME?</v>
      </c>
      <c r="E238" s="20">
        <f>_xlfn.PERCENTILE.INC($E$2:$E$231,0.2)</f>
        <v>77334</v>
      </c>
      <c r="F238" s="16"/>
      <c r="G238" s="14"/>
      <c r="H238" s="17"/>
      <c r="I238" s="17"/>
      <c r="J238" s="17"/>
      <c r="K238" s="18"/>
      <c r="L238" s="17"/>
      <c r="M238" s="14"/>
      <c r="N238" s="14"/>
      <c r="O238" s="14"/>
      <c r="P238" s="14"/>
      <c r="Q238" s="14"/>
      <c r="R238" s="14"/>
      <c r="S238" s="10"/>
      <c r="T238" s="10"/>
      <c r="U238" s="10"/>
      <c r="V238" s="10"/>
      <c r="W238" s="10"/>
      <c r="X238" s="10"/>
      <c r="Y238" s="10"/>
      <c r="Z238" s="10"/>
      <c r="AA238" s="10"/>
      <c r="AB238" s="10"/>
      <c r="AC238" s="10"/>
      <c r="AD238" s="10"/>
      <c r="AE238" s="10"/>
      <c r="AF238" s="10"/>
      <c r="AG238" s="10"/>
      <c r="AH238" s="10"/>
    </row>
    <row r="239" spans="1:34" ht="15.75" hidden="1" customHeight="1">
      <c r="A239" s="13"/>
      <c r="B239" s="14"/>
      <c r="C239" s="14"/>
      <c r="D239" s="14" t="e">
        <f ca="1"/>
        <v>#NAME?</v>
      </c>
      <c r="E239" s="20">
        <f>_xlfn.PERCENTILE.INC($E$2:$E$231,0.4)</f>
        <v>99840</v>
      </c>
      <c r="F239" s="16"/>
      <c r="G239" s="14"/>
      <c r="H239" s="17"/>
      <c r="I239" s="17"/>
      <c r="J239" s="17"/>
      <c r="K239" s="18"/>
      <c r="L239" s="17"/>
      <c r="M239" s="14"/>
      <c r="N239" s="14"/>
      <c r="O239" s="14"/>
      <c r="P239" s="14"/>
      <c r="Q239" s="14"/>
      <c r="R239" s="14"/>
      <c r="S239" s="10"/>
      <c r="T239" s="10"/>
      <c r="U239" s="10"/>
      <c r="V239" s="10"/>
      <c r="W239" s="10"/>
      <c r="X239" s="10"/>
      <c r="Y239" s="10"/>
      <c r="Z239" s="10"/>
      <c r="AA239" s="10"/>
      <c r="AB239" s="10"/>
      <c r="AC239" s="10"/>
      <c r="AD239" s="10"/>
      <c r="AE239" s="10"/>
      <c r="AF239" s="10"/>
      <c r="AG239" s="10"/>
      <c r="AH239" s="10"/>
    </row>
    <row r="240" spans="1:34" ht="15.75" hidden="1" customHeight="1">
      <c r="A240" s="13"/>
      <c r="B240" s="14"/>
      <c r="C240" s="14"/>
      <c r="D240" s="14" t="e">
        <f ca="1"/>
        <v>#NAME?</v>
      </c>
      <c r="E240" s="20">
        <f>_xlfn.PERCENTILE.INC($E$2:$E$231,0.6)</f>
        <v>140879.6</v>
      </c>
      <c r="F240" s="16"/>
      <c r="G240" s="14"/>
      <c r="H240" s="17"/>
      <c r="I240" s="17"/>
      <c r="J240" s="17"/>
      <c r="K240" s="21"/>
      <c r="L240" s="17"/>
      <c r="M240" s="14"/>
      <c r="N240" s="14"/>
      <c r="O240" s="14"/>
      <c r="P240" s="14"/>
      <c r="Q240" s="14"/>
      <c r="R240" s="14"/>
      <c r="S240" s="10"/>
      <c r="T240" s="10"/>
      <c r="U240" s="10"/>
      <c r="V240" s="10"/>
      <c r="W240" s="10"/>
      <c r="X240" s="10"/>
      <c r="Y240" s="10"/>
      <c r="Z240" s="10"/>
      <c r="AA240" s="10"/>
      <c r="AB240" s="10"/>
      <c r="AC240" s="10"/>
      <c r="AD240" s="10"/>
      <c r="AE240" s="10"/>
      <c r="AF240" s="10"/>
      <c r="AG240" s="10"/>
      <c r="AH240" s="10"/>
    </row>
    <row r="241" spans="1:34" ht="15.75" hidden="1" customHeight="1">
      <c r="A241" s="13"/>
      <c r="B241" s="14"/>
      <c r="C241" s="14"/>
      <c r="D241" s="14" t="e">
        <f ca="1"/>
        <v>#NAME?</v>
      </c>
      <c r="E241" s="20"/>
      <c r="F241" s="16"/>
      <c r="G241" s="14"/>
      <c r="H241" s="17"/>
      <c r="I241" s="17"/>
      <c r="J241" s="17"/>
      <c r="K241" s="21"/>
      <c r="L241" s="17"/>
      <c r="M241" s="14"/>
      <c r="N241" s="14"/>
      <c r="O241" s="14"/>
      <c r="P241" s="14"/>
      <c r="Q241" s="14"/>
      <c r="R241" s="14"/>
      <c r="S241" s="10"/>
      <c r="T241" s="10"/>
      <c r="U241" s="10"/>
      <c r="V241" s="10"/>
      <c r="W241" s="10"/>
      <c r="X241" s="10"/>
      <c r="Y241" s="10"/>
      <c r="Z241" s="10"/>
      <c r="AA241" s="10"/>
      <c r="AB241" s="10"/>
      <c r="AC241" s="10"/>
      <c r="AD241" s="10"/>
      <c r="AE241" s="10"/>
      <c r="AF241" s="10"/>
      <c r="AG241" s="10"/>
      <c r="AH241" s="10"/>
    </row>
    <row r="242" spans="1:34" ht="15.75" hidden="1" customHeight="1">
      <c r="A242" s="13"/>
      <c r="B242" s="14"/>
      <c r="C242" s="14"/>
      <c r="D242" s="14" t="e">
        <f ca="1"/>
        <v>#NAME?</v>
      </c>
      <c r="E242" s="20"/>
      <c r="F242" s="16"/>
      <c r="G242" s="14"/>
      <c r="H242" s="17"/>
      <c r="I242" s="17"/>
      <c r="J242" s="17"/>
      <c r="K242" s="21"/>
      <c r="L242" s="17"/>
      <c r="M242" s="14"/>
      <c r="N242" s="14"/>
      <c r="O242" s="14"/>
      <c r="P242" s="14"/>
      <c r="Q242" s="14"/>
      <c r="R242" s="14"/>
      <c r="S242" s="10"/>
      <c r="T242" s="10"/>
      <c r="U242" s="10"/>
      <c r="V242" s="10"/>
      <c r="W242" s="10"/>
      <c r="X242" s="10"/>
      <c r="Y242" s="10"/>
      <c r="Z242" s="10"/>
      <c r="AA242" s="10"/>
      <c r="AB242" s="10"/>
      <c r="AC242" s="10"/>
      <c r="AD242" s="10"/>
      <c r="AE242" s="10"/>
      <c r="AF242" s="10"/>
      <c r="AG242" s="10"/>
      <c r="AH242" s="10"/>
    </row>
    <row r="243" spans="1:34" ht="15.75" hidden="1" customHeight="1">
      <c r="A243" s="13"/>
      <c r="B243" s="14"/>
      <c r="C243" s="14"/>
      <c r="D243" s="14" t="e">
        <f ca="1"/>
        <v>#NAME?</v>
      </c>
      <c r="E243" s="20">
        <f>_xlfn.PERCENTILE.INC($E$2:$E$231,0.8)</f>
        <v>222966.20000000007</v>
      </c>
      <c r="F243" s="16"/>
      <c r="G243" s="14"/>
      <c r="H243" s="17"/>
      <c r="I243" s="17"/>
      <c r="J243" s="17"/>
      <c r="K243" s="21"/>
      <c r="L243" s="17"/>
      <c r="M243" s="14"/>
      <c r="N243" s="14"/>
      <c r="O243" s="14"/>
      <c r="P243" s="14"/>
      <c r="Q243" s="14"/>
      <c r="R243" s="14"/>
      <c r="S243" s="10"/>
      <c r="T243" s="10"/>
      <c r="U243" s="10"/>
      <c r="V243" s="10"/>
      <c r="W243" s="10"/>
      <c r="X243" s="10"/>
      <c r="Y243" s="10"/>
      <c r="Z243" s="10"/>
      <c r="AA243" s="10"/>
      <c r="AB243" s="10"/>
      <c r="AC243" s="10"/>
      <c r="AD243" s="10"/>
      <c r="AE243" s="10"/>
      <c r="AF243" s="10"/>
      <c r="AG243" s="10"/>
      <c r="AH243" s="10"/>
    </row>
    <row r="244" spans="1:34" ht="15.75" hidden="1" customHeight="1">
      <c r="A244" s="13"/>
      <c r="B244" s="14"/>
      <c r="C244" s="14"/>
      <c r="D244" s="14" t="e">
        <f ca="1"/>
        <v>#NAME?</v>
      </c>
      <c r="E244" s="15"/>
      <c r="F244" s="16"/>
      <c r="G244" s="14"/>
      <c r="H244" s="17"/>
      <c r="I244" s="17"/>
      <c r="J244" s="17"/>
      <c r="K244" s="21"/>
      <c r="L244" s="17"/>
      <c r="M244" s="14"/>
      <c r="N244" s="14"/>
      <c r="O244" s="14"/>
      <c r="P244" s="14"/>
      <c r="Q244" s="14"/>
      <c r="R244" s="14"/>
      <c r="S244" s="10"/>
      <c r="T244" s="10"/>
      <c r="U244" s="10"/>
      <c r="V244" s="10"/>
      <c r="W244" s="10"/>
      <c r="X244" s="10"/>
      <c r="Y244" s="10"/>
      <c r="Z244" s="10"/>
      <c r="AA244" s="10"/>
      <c r="AB244" s="10"/>
      <c r="AC244" s="10"/>
      <c r="AD244" s="10"/>
      <c r="AE244" s="10"/>
      <c r="AF244" s="10"/>
      <c r="AG244" s="10"/>
      <c r="AH244" s="10"/>
    </row>
    <row r="245" spans="1:34" ht="15.75" hidden="1" customHeight="1">
      <c r="A245" s="13"/>
      <c r="B245" s="14"/>
      <c r="C245" s="14"/>
      <c r="D245" s="14" t="e">
        <f ca="1"/>
        <v>#NAME?</v>
      </c>
      <c r="E245" s="20">
        <f>_xlfn.PERCENTILE.INC($E$2:$E$231,0.25)</f>
        <v>83151.75</v>
      </c>
      <c r="F245" s="16"/>
      <c r="G245" s="14"/>
      <c r="H245" s="17"/>
      <c r="I245" s="17"/>
      <c r="J245" s="17"/>
      <c r="K245" s="21"/>
      <c r="L245" s="17"/>
      <c r="M245" s="14"/>
      <c r="N245" s="14"/>
      <c r="O245" s="14"/>
      <c r="P245" s="14"/>
      <c r="Q245" s="14"/>
      <c r="R245" s="14"/>
      <c r="S245" s="10"/>
      <c r="T245" s="10"/>
      <c r="U245" s="10"/>
      <c r="V245" s="10"/>
      <c r="W245" s="10"/>
      <c r="X245" s="10"/>
      <c r="Y245" s="10"/>
      <c r="Z245" s="10"/>
      <c r="AA245" s="10"/>
      <c r="AB245" s="10"/>
      <c r="AC245" s="10"/>
      <c r="AD245" s="10"/>
      <c r="AE245" s="10"/>
      <c r="AF245" s="10"/>
      <c r="AG245" s="10"/>
      <c r="AH245" s="10"/>
    </row>
    <row r="246" spans="1:34" ht="15.75" hidden="1" customHeight="1">
      <c r="A246" s="13"/>
      <c r="B246" s="14"/>
      <c r="C246" s="14"/>
      <c r="D246" s="14" t="e">
        <f ca="1"/>
        <v>#NAME?</v>
      </c>
      <c r="E246" s="20">
        <f>_xlfn.PERCENTILE.INC($E$2:$E$231,0.5)</f>
        <v>112600</v>
      </c>
      <c r="F246" s="16"/>
      <c r="G246" s="14"/>
      <c r="H246" s="17"/>
      <c r="I246" s="17"/>
      <c r="J246" s="17"/>
      <c r="K246" s="21"/>
      <c r="L246" s="17"/>
      <c r="M246" s="14"/>
      <c r="N246" s="14"/>
      <c r="O246" s="14"/>
      <c r="P246" s="14"/>
      <c r="Q246" s="14"/>
      <c r="R246" s="14"/>
      <c r="S246" s="10"/>
      <c r="T246" s="10"/>
      <c r="U246" s="10"/>
      <c r="V246" s="10"/>
      <c r="W246" s="10"/>
      <c r="X246" s="10"/>
      <c r="Y246" s="10"/>
      <c r="Z246" s="10"/>
      <c r="AA246" s="10"/>
      <c r="AB246" s="10"/>
      <c r="AC246" s="10"/>
      <c r="AD246" s="10"/>
      <c r="AE246" s="10"/>
      <c r="AF246" s="10"/>
      <c r="AG246" s="10"/>
      <c r="AH246" s="10"/>
    </row>
    <row r="247" spans="1:34" ht="15.75" hidden="1" customHeight="1">
      <c r="A247" s="13"/>
      <c r="B247" s="14"/>
      <c r="C247" s="14"/>
      <c r="D247" s="14" t="e">
        <f ca="1"/>
        <v>#NAME?</v>
      </c>
      <c r="E247" s="20">
        <f>_xlfn.PERCENTILE.INC($E$2:$E$231,0.75)</f>
        <v>201189.25</v>
      </c>
      <c r="F247" s="16"/>
      <c r="G247" s="14"/>
      <c r="H247" s="17"/>
      <c r="I247" s="17"/>
      <c r="J247" s="17"/>
      <c r="K247" s="21"/>
      <c r="L247" s="17"/>
      <c r="M247" s="14"/>
      <c r="N247" s="14"/>
      <c r="O247" s="14"/>
      <c r="P247" s="14"/>
      <c r="Q247" s="14"/>
      <c r="R247" s="14"/>
      <c r="S247" s="10"/>
      <c r="T247" s="10"/>
      <c r="U247" s="10"/>
      <c r="V247" s="10"/>
      <c r="W247" s="10"/>
      <c r="X247" s="10"/>
      <c r="Y247" s="10"/>
      <c r="Z247" s="10"/>
      <c r="AA247" s="10"/>
      <c r="AB247" s="10"/>
      <c r="AC247" s="10"/>
      <c r="AD247" s="10"/>
      <c r="AE247" s="10"/>
      <c r="AF247" s="10"/>
      <c r="AG247" s="10"/>
      <c r="AH247" s="10"/>
    </row>
    <row r="248" spans="1:34" ht="15.75" hidden="1" customHeight="1">
      <c r="A248" s="13"/>
      <c r="B248" s="14"/>
      <c r="C248" s="14"/>
      <c r="D248" s="14" t="e">
        <f ca="1"/>
        <v>#NAME?</v>
      </c>
      <c r="E248" s="22"/>
      <c r="F248" s="16"/>
      <c r="G248" s="14"/>
      <c r="H248" s="17"/>
      <c r="I248" s="17"/>
      <c r="J248" s="17"/>
      <c r="K248" s="21"/>
      <c r="L248" s="17"/>
      <c r="M248" s="14"/>
      <c r="N248" s="14"/>
      <c r="O248" s="14"/>
      <c r="P248" s="14"/>
      <c r="Q248" s="14"/>
      <c r="R248" s="14"/>
      <c r="S248" s="10"/>
      <c r="T248" s="10"/>
      <c r="U248" s="10"/>
      <c r="V248" s="10"/>
      <c r="W248" s="10"/>
      <c r="X248" s="10"/>
      <c r="Y248" s="10"/>
      <c r="Z248" s="10"/>
      <c r="AA248" s="10"/>
      <c r="AB248" s="10"/>
      <c r="AC248" s="10"/>
      <c r="AD248" s="10"/>
      <c r="AE248" s="10"/>
      <c r="AF248" s="10"/>
      <c r="AG248" s="10"/>
      <c r="AH248" s="10"/>
    </row>
    <row r="249" spans="1:34" ht="15.75" hidden="1" customHeight="1">
      <c r="A249" s="13"/>
      <c r="B249" s="14"/>
      <c r="C249" s="14"/>
      <c r="D249" s="14" t="e">
        <f ca="1"/>
        <v>#NAME?</v>
      </c>
      <c r="E249" s="22"/>
      <c r="F249" s="16"/>
      <c r="G249" s="14"/>
      <c r="H249" s="17"/>
      <c r="I249" s="17"/>
      <c r="J249" s="17"/>
      <c r="K249" s="21"/>
      <c r="L249" s="17"/>
      <c r="M249" s="14"/>
      <c r="N249" s="14"/>
      <c r="O249" s="14"/>
      <c r="P249" s="14"/>
      <c r="Q249" s="14"/>
      <c r="R249" s="14"/>
      <c r="S249" s="10"/>
      <c r="T249" s="10"/>
      <c r="U249" s="10"/>
      <c r="V249" s="10"/>
      <c r="W249" s="10"/>
      <c r="X249" s="10"/>
      <c r="Y249" s="10"/>
      <c r="Z249" s="10"/>
      <c r="AA249" s="10"/>
      <c r="AB249" s="10"/>
      <c r="AC249" s="10"/>
      <c r="AD249" s="10"/>
      <c r="AE249" s="10"/>
      <c r="AF249" s="10"/>
      <c r="AG249" s="10"/>
      <c r="AH249" s="10"/>
    </row>
    <row r="250" spans="1:34" ht="15.75" hidden="1" customHeight="1">
      <c r="A250" s="13"/>
      <c r="B250" s="14"/>
      <c r="C250" s="14"/>
      <c r="D250" s="14" t="e">
        <f ca="1"/>
        <v>#NAME?</v>
      </c>
      <c r="E250" s="22"/>
      <c r="F250" s="16"/>
      <c r="G250" s="14"/>
      <c r="H250" s="17"/>
      <c r="I250" s="17"/>
      <c r="J250" s="17"/>
      <c r="K250" s="21"/>
      <c r="L250" s="17"/>
      <c r="M250" s="14"/>
      <c r="N250" s="14"/>
      <c r="O250" s="14"/>
      <c r="P250" s="14"/>
      <c r="Q250" s="14"/>
      <c r="R250" s="14"/>
      <c r="S250" s="10"/>
      <c r="T250" s="10"/>
      <c r="U250" s="10"/>
      <c r="V250" s="10"/>
      <c r="W250" s="10"/>
      <c r="X250" s="10"/>
      <c r="Y250" s="10"/>
      <c r="Z250" s="10"/>
      <c r="AA250" s="10"/>
      <c r="AB250" s="10"/>
      <c r="AC250" s="10"/>
      <c r="AD250" s="10"/>
      <c r="AE250" s="10"/>
      <c r="AF250" s="10"/>
      <c r="AG250" s="10"/>
      <c r="AH250" s="10"/>
    </row>
    <row r="251" spans="1:34" ht="15.75" hidden="1" customHeight="1">
      <c r="A251" s="13"/>
      <c r="B251" s="14"/>
      <c r="C251" s="14"/>
      <c r="D251" s="14" t="e">
        <f ca="1"/>
        <v>#NAME?</v>
      </c>
      <c r="E251" s="15"/>
      <c r="F251" s="16"/>
      <c r="G251" s="14"/>
      <c r="H251" s="17"/>
      <c r="I251" s="17"/>
      <c r="J251" s="17"/>
      <c r="K251" s="21"/>
      <c r="L251" s="17"/>
      <c r="M251" s="17"/>
      <c r="N251" s="14"/>
      <c r="O251" s="14"/>
      <c r="P251" s="14"/>
      <c r="Q251" s="14"/>
      <c r="R251" s="14"/>
      <c r="S251" s="10"/>
      <c r="T251" s="10"/>
      <c r="U251" s="10"/>
      <c r="V251" s="10"/>
      <c r="W251" s="10"/>
      <c r="X251" s="10"/>
      <c r="Y251" s="10"/>
      <c r="Z251" s="10"/>
      <c r="AA251" s="10"/>
      <c r="AB251" s="10"/>
      <c r="AC251" s="10"/>
      <c r="AD251" s="10"/>
      <c r="AE251" s="10"/>
      <c r="AF251" s="10"/>
      <c r="AG251" s="10"/>
      <c r="AH251" s="10"/>
    </row>
    <row r="252" spans="1:34" ht="15.75" hidden="1" customHeight="1">
      <c r="A252" s="13"/>
      <c r="B252" s="14"/>
      <c r="C252" s="14"/>
      <c r="D252" s="14" t="e">
        <f ca="1"/>
        <v>#NAME?</v>
      </c>
      <c r="E252" s="15"/>
      <c r="F252" s="16"/>
      <c r="G252" s="14"/>
      <c r="H252" s="17"/>
      <c r="I252" s="17"/>
      <c r="J252" s="17"/>
      <c r="K252" s="21"/>
      <c r="L252" s="17"/>
      <c r="M252" s="17"/>
      <c r="N252" s="14"/>
      <c r="O252" s="14"/>
      <c r="P252" s="14"/>
      <c r="Q252" s="14"/>
      <c r="R252" s="14"/>
      <c r="S252" s="10"/>
      <c r="T252" s="10"/>
      <c r="U252" s="10"/>
      <c r="V252" s="10"/>
      <c r="W252" s="10"/>
      <c r="X252" s="10"/>
      <c r="Y252" s="10"/>
      <c r="Z252" s="10"/>
      <c r="AA252" s="10"/>
      <c r="AB252" s="10"/>
      <c r="AC252" s="10"/>
      <c r="AD252" s="10"/>
      <c r="AE252" s="10"/>
      <c r="AF252" s="10"/>
      <c r="AG252" s="10"/>
      <c r="AH252" s="10"/>
    </row>
    <row r="253" spans="1:34" ht="15.75" hidden="1" customHeight="1">
      <c r="A253" s="13"/>
      <c r="B253" s="14"/>
      <c r="C253" s="14"/>
      <c r="D253" s="14" t="e">
        <f ca="1"/>
        <v>#NAME?</v>
      </c>
      <c r="E253" s="15"/>
      <c r="F253" s="16"/>
      <c r="G253" s="14"/>
      <c r="H253" s="17"/>
      <c r="I253" s="17"/>
      <c r="J253" s="17"/>
      <c r="K253" s="21"/>
      <c r="L253" s="17"/>
      <c r="M253" s="17"/>
      <c r="N253" s="14"/>
      <c r="O253" s="14"/>
      <c r="P253" s="14"/>
      <c r="Q253" s="14"/>
      <c r="R253" s="14"/>
      <c r="S253" s="10"/>
      <c r="T253" s="10"/>
      <c r="U253" s="10"/>
      <c r="V253" s="10"/>
      <c r="W253" s="10"/>
      <c r="X253" s="10"/>
      <c r="Y253" s="10"/>
      <c r="Z253" s="10"/>
      <c r="AA253" s="10"/>
      <c r="AB253" s="10"/>
      <c r="AC253" s="10"/>
      <c r="AD253" s="10"/>
      <c r="AE253" s="10"/>
      <c r="AF253" s="10"/>
      <c r="AG253" s="10"/>
      <c r="AH253" s="10"/>
    </row>
    <row r="254" spans="1:34" ht="15.75" hidden="1" customHeight="1">
      <c r="A254" s="13"/>
      <c r="B254" s="14"/>
      <c r="C254" s="14"/>
      <c r="D254" s="14" t="e">
        <f ca="1"/>
        <v>#NAME?</v>
      </c>
      <c r="E254" s="15"/>
      <c r="F254" s="16"/>
      <c r="G254" s="14"/>
      <c r="H254" s="17"/>
      <c r="I254" s="17"/>
      <c r="J254" s="17"/>
      <c r="K254" s="21"/>
      <c r="L254" s="17"/>
      <c r="M254" s="17"/>
      <c r="N254" s="14"/>
      <c r="O254" s="14"/>
      <c r="P254" s="14"/>
      <c r="Q254" s="14"/>
      <c r="R254" s="14"/>
      <c r="S254" s="10"/>
      <c r="T254" s="10"/>
      <c r="U254" s="10"/>
      <c r="V254" s="10"/>
      <c r="W254" s="10"/>
      <c r="X254" s="10"/>
      <c r="Y254" s="10"/>
      <c r="Z254" s="10"/>
      <c r="AA254" s="10"/>
      <c r="AB254" s="10"/>
      <c r="AC254" s="10"/>
      <c r="AD254" s="10"/>
      <c r="AE254" s="10"/>
      <c r="AF254" s="10"/>
      <c r="AG254" s="10"/>
      <c r="AH254" s="10"/>
    </row>
    <row r="255" spans="1:34" ht="15.75" hidden="1" customHeight="1">
      <c r="A255" s="13"/>
      <c r="B255" s="14"/>
      <c r="C255" s="14"/>
      <c r="D255" s="14" t="e">
        <f ca="1"/>
        <v>#NAME?</v>
      </c>
      <c r="E255" s="15"/>
      <c r="F255" s="16"/>
      <c r="G255" s="14"/>
      <c r="H255" s="17"/>
      <c r="I255" s="17"/>
      <c r="J255" s="17"/>
      <c r="K255" s="21"/>
      <c r="L255" s="17"/>
      <c r="M255" s="17"/>
      <c r="N255" s="14"/>
      <c r="O255" s="14"/>
      <c r="P255" s="14"/>
      <c r="Q255" s="14"/>
      <c r="R255" s="14"/>
      <c r="S255" s="10"/>
      <c r="T255" s="10"/>
      <c r="U255" s="10"/>
      <c r="V255" s="10"/>
      <c r="W255" s="10"/>
      <c r="X255" s="10"/>
      <c r="Y255" s="10"/>
      <c r="Z255" s="10"/>
      <c r="AA255" s="10"/>
      <c r="AB255" s="10"/>
      <c r="AC255" s="10"/>
      <c r="AD255" s="10"/>
      <c r="AE255" s="10"/>
      <c r="AF255" s="10"/>
      <c r="AG255" s="10"/>
      <c r="AH255" s="10"/>
    </row>
    <row r="256" spans="1:34" ht="15.75" hidden="1" customHeight="1">
      <c r="A256" s="13"/>
      <c r="B256" s="14"/>
      <c r="C256" s="14"/>
      <c r="D256" s="14" t="e">
        <f ca="1"/>
        <v>#NAME?</v>
      </c>
      <c r="E256" s="15"/>
      <c r="F256" s="16"/>
      <c r="G256" s="14"/>
      <c r="H256" s="17"/>
      <c r="I256" s="17"/>
      <c r="J256" s="17"/>
      <c r="K256" s="21"/>
      <c r="L256" s="17"/>
      <c r="M256" s="17"/>
      <c r="N256" s="14"/>
      <c r="O256" s="14"/>
      <c r="P256" s="14"/>
      <c r="Q256" s="14"/>
      <c r="R256" s="14"/>
      <c r="S256" s="10"/>
      <c r="T256" s="10"/>
      <c r="U256" s="10"/>
      <c r="V256" s="10"/>
      <c r="W256" s="10"/>
      <c r="X256" s="10"/>
      <c r="Y256" s="10"/>
      <c r="Z256" s="10"/>
      <c r="AA256" s="10"/>
      <c r="AB256" s="10"/>
      <c r="AC256" s="10"/>
      <c r="AD256" s="10"/>
      <c r="AE256" s="10"/>
      <c r="AF256" s="10"/>
      <c r="AG256" s="10"/>
      <c r="AH256" s="10"/>
    </row>
    <row r="257" spans="1:34" ht="15.75" hidden="1" customHeight="1">
      <c r="A257" s="13"/>
      <c r="B257" s="14"/>
      <c r="C257" s="14"/>
      <c r="D257" s="14" t="e">
        <f ca="1"/>
        <v>#NAME?</v>
      </c>
      <c r="E257" s="15"/>
      <c r="F257" s="16"/>
      <c r="G257" s="14"/>
      <c r="H257" s="17"/>
      <c r="I257" s="17"/>
      <c r="J257" s="17"/>
      <c r="K257" s="21"/>
      <c r="L257" s="17"/>
      <c r="M257" s="17"/>
      <c r="N257" s="14"/>
      <c r="O257" s="14"/>
      <c r="P257" s="14"/>
      <c r="Q257" s="14"/>
      <c r="R257" s="14"/>
      <c r="S257" s="10"/>
      <c r="T257" s="10"/>
      <c r="U257" s="10"/>
      <c r="V257" s="10"/>
      <c r="W257" s="10"/>
      <c r="X257" s="10"/>
      <c r="Y257" s="10"/>
      <c r="Z257" s="10"/>
      <c r="AA257" s="10"/>
      <c r="AB257" s="10"/>
      <c r="AC257" s="10"/>
      <c r="AD257" s="10"/>
      <c r="AE257" s="10"/>
      <c r="AF257" s="10"/>
      <c r="AG257" s="10"/>
      <c r="AH257" s="10"/>
    </row>
    <row r="258" spans="1:34" ht="15.75" hidden="1" customHeight="1">
      <c r="A258" s="13"/>
      <c r="B258" s="14"/>
      <c r="C258" s="14"/>
      <c r="D258" s="14" t="e">
        <f ca="1"/>
        <v>#NAME?</v>
      </c>
      <c r="E258" s="15"/>
      <c r="F258" s="16"/>
      <c r="G258" s="14"/>
      <c r="H258" s="17"/>
      <c r="I258" s="17"/>
      <c r="J258" s="17"/>
      <c r="K258" s="21"/>
      <c r="L258" s="17"/>
      <c r="M258" s="17"/>
      <c r="N258" s="14"/>
      <c r="O258" s="14"/>
      <c r="P258" s="14"/>
      <c r="Q258" s="14"/>
      <c r="R258" s="14"/>
      <c r="S258" s="10"/>
      <c r="T258" s="10"/>
      <c r="U258" s="10"/>
      <c r="V258" s="10"/>
      <c r="W258" s="10"/>
      <c r="X258" s="10"/>
      <c r="Y258" s="10"/>
      <c r="Z258" s="10"/>
      <c r="AA258" s="10"/>
      <c r="AB258" s="10"/>
      <c r="AC258" s="10"/>
      <c r="AD258" s="10"/>
      <c r="AE258" s="10"/>
      <c r="AF258" s="10"/>
      <c r="AG258" s="10"/>
      <c r="AH258" s="10"/>
    </row>
    <row r="259" spans="1:34" ht="15.75" hidden="1" customHeight="1">
      <c r="A259" s="13"/>
      <c r="B259" s="14"/>
      <c r="C259" s="14"/>
      <c r="D259" s="14" t="e">
        <f ca="1"/>
        <v>#NAME?</v>
      </c>
      <c r="E259" s="15"/>
      <c r="F259" s="16"/>
      <c r="G259" s="14"/>
      <c r="H259" s="17"/>
      <c r="I259" s="17"/>
      <c r="J259" s="17"/>
      <c r="K259" s="21"/>
      <c r="L259" s="17"/>
      <c r="M259" s="17"/>
      <c r="N259" s="14"/>
      <c r="O259" s="14"/>
      <c r="P259" s="14"/>
      <c r="Q259" s="14"/>
      <c r="R259" s="14"/>
      <c r="S259" s="10"/>
      <c r="T259" s="10"/>
      <c r="U259" s="10"/>
      <c r="V259" s="10"/>
      <c r="W259" s="10"/>
      <c r="X259" s="10"/>
      <c r="Y259" s="10"/>
      <c r="Z259" s="10"/>
      <c r="AA259" s="10"/>
      <c r="AB259" s="10"/>
      <c r="AC259" s="10"/>
      <c r="AD259" s="10"/>
      <c r="AE259" s="10"/>
      <c r="AF259" s="10"/>
      <c r="AG259" s="10"/>
      <c r="AH259" s="10"/>
    </row>
    <row r="260" spans="1:34" ht="15.75" hidden="1" customHeight="1">
      <c r="A260" s="13"/>
      <c r="B260" s="14"/>
      <c r="C260" s="14"/>
      <c r="D260" s="14" t="e">
        <f ca="1"/>
        <v>#NAME?</v>
      </c>
      <c r="E260" s="15"/>
      <c r="F260" s="16"/>
      <c r="G260" s="14"/>
      <c r="H260" s="17"/>
      <c r="I260" s="17"/>
      <c r="J260" s="17"/>
      <c r="K260" s="21"/>
      <c r="L260" s="17"/>
      <c r="M260" s="17"/>
      <c r="N260" s="14"/>
      <c r="O260" s="14"/>
      <c r="P260" s="14"/>
      <c r="Q260" s="14"/>
      <c r="R260" s="14"/>
      <c r="S260" s="10"/>
      <c r="T260" s="10"/>
      <c r="U260" s="10"/>
      <c r="V260" s="10"/>
      <c r="W260" s="10"/>
      <c r="X260" s="10"/>
      <c r="Y260" s="10"/>
      <c r="Z260" s="10"/>
      <c r="AA260" s="10"/>
      <c r="AB260" s="10"/>
      <c r="AC260" s="10"/>
      <c r="AD260" s="10"/>
      <c r="AE260" s="10"/>
      <c r="AF260" s="10"/>
      <c r="AG260" s="10"/>
      <c r="AH260" s="10"/>
    </row>
    <row r="261" spans="1:34" ht="15.75" hidden="1" customHeight="1">
      <c r="A261" s="13"/>
      <c r="B261" s="14"/>
      <c r="C261" s="14"/>
      <c r="D261" s="14" t="e">
        <f ca="1"/>
        <v>#NAME?</v>
      </c>
      <c r="E261" s="15"/>
      <c r="F261" s="16"/>
      <c r="G261" s="14"/>
      <c r="H261" s="17"/>
      <c r="I261" s="17"/>
      <c r="J261" s="17"/>
      <c r="K261" s="21"/>
      <c r="L261" s="17"/>
      <c r="M261" s="17"/>
      <c r="N261" s="14"/>
      <c r="O261" s="14"/>
      <c r="P261" s="14"/>
      <c r="Q261" s="14"/>
      <c r="R261" s="14"/>
      <c r="S261" s="10"/>
      <c r="T261" s="10"/>
      <c r="U261" s="10"/>
      <c r="V261" s="10"/>
      <c r="W261" s="10"/>
      <c r="X261" s="10"/>
      <c r="Y261" s="10"/>
      <c r="Z261" s="10"/>
      <c r="AA261" s="10"/>
      <c r="AB261" s="10"/>
      <c r="AC261" s="10"/>
      <c r="AD261" s="10"/>
      <c r="AE261" s="10"/>
      <c r="AF261" s="10"/>
      <c r="AG261" s="10"/>
      <c r="AH261" s="10"/>
    </row>
    <row r="262" spans="1:34" ht="15.75" hidden="1" customHeight="1">
      <c r="A262" s="13"/>
      <c r="B262" s="14"/>
      <c r="C262" s="14"/>
      <c r="D262" s="14" t="e">
        <f ca="1"/>
        <v>#NAME?</v>
      </c>
      <c r="E262" s="15"/>
      <c r="F262" s="16"/>
      <c r="G262" s="14"/>
      <c r="H262" s="17"/>
      <c r="I262" s="17"/>
      <c r="J262" s="17"/>
      <c r="K262" s="21"/>
      <c r="L262" s="17"/>
      <c r="M262" s="17"/>
      <c r="N262" s="14"/>
      <c r="O262" s="14"/>
      <c r="P262" s="14"/>
      <c r="Q262" s="14"/>
      <c r="R262" s="14"/>
      <c r="S262" s="10"/>
      <c r="T262" s="10"/>
      <c r="U262" s="10"/>
      <c r="V262" s="10"/>
      <c r="W262" s="10"/>
      <c r="X262" s="10"/>
      <c r="Y262" s="10"/>
      <c r="Z262" s="10"/>
      <c r="AA262" s="10"/>
      <c r="AB262" s="10"/>
      <c r="AC262" s="10"/>
      <c r="AD262" s="10"/>
      <c r="AE262" s="10"/>
      <c r="AF262" s="10"/>
      <c r="AG262" s="10"/>
      <c r="AH262" s="10"/>
    </row>
    <row r="263" spans="1:34" ht="15.75" hidden="1" customHeight="1">
      <c r="A263" s="13"/>
      <c r="B263" s="14"/>
      <c r="C263" s="14"/>
      <c r="D263" s="14" t="e">
        <f ca="1"/>
        <v>#NAME?</v>
      </c>
      <c r="E263" s="15"/>
      <c r="F263" s="16"/>
      <c r="G263" s="14"/>
      <c r="H263" s="17"/>
      <c r="I263" s="17"/>
      <c r="J263" s="17"/>
      <c r="K263" s="21"/>
      <c r="L263" s="17"/>
      <c r="M263" s="17"/>
      <c r="N263" s="14"/>
      <c r="O263" s="14"/>
      <c r="P263" s="14"/>
      <c r="Q263" s="14"/>
      <c r="R263" s="14"/>
      <c r="S263" s="10"/>
      <c r="T263" s="10"/>
      <c r="U263" s="10"/>
      <c r="V263" s="10"/>
      <c r="W263" s="10"/>
      <c r="X263" s="10"/>
      <c r="Y263" s="10"/>
      <c r="Z263" s="10"/>
      <c r="AA263" s="10"/>
      <c r="AB263" s="10"/>
      <c r="AC263" s="10"/>
      <c r="AD263" s="10"/>
      <c r="AE263" s="10"/>
      <c r="AF263" s="10"/>
      <c r="AG263" s="10"/>
      <c r="AH263" s="10"/>
    </row>
    <row r="264" spans="1:34" ht="15.75" hidden="1" customHeight="1">
      <c r="A264" s="13"/>
      <c r="B264" s="14"/>
      <c r="C264" s="14"/>
      <c r="D264" s="14" t="e">
        <f ca="1"/>
        <v>#NAME?</v>
      </c>
      <c r="E264" s="15"/>
      <c r="F264" s="14"/>
      <c r="G264" s="14"/>
      <c r="H264" s="17"/>
      <c r="I264" s="17"/>
      <c r="J264" s="17"/>
      <c r="K264" s="21"/>
      <c r="L264" s="17"/>
      <c r="M264" s="17"/>
      <c r="N264" s="14"/>
      <c r="O264" s="14"/>
      <c r="P264" s="14"/>
      <c r="Q264" s="14"/>
      <c r="R264" s="14"/>
      <c r="S264" s="10"/>
      <c r="T264" s="10"/>
      <c r="U264" s="10"/>
      <c r="V264" s="10"/>
      <c r="W264" s="10"/>
      <c r="X264" s="10"/>
      <c r="Y264" s="10"/>
      <c r="Z264" s="10"/>
      <c r="AA264" s="10"/>
      <c r="AB264" s="10"/>
      <c r="AC264" s="10"/>
      <c r="AD264" s="10"/>
      <c r="AE264" s="10"/>
      <c r="AF264" s="10"/>
      <c r="AG264" s="10"/>
      <c r="AH264" s="10"/>
    </row>
    <row r="265" spans="1:34" ht="15.75" hidden="1" customHeight="1">
      <c r="A265" s="13"/>
      <c r="B265" s="14"/>
      <c r="C265" s="14"/>
      <c r="D265" s="14" t="e">
        <f ca="1"/>
        <v>#NAME?</v>
      </c>
      <c r="E265" s="15"/>
      <c r="F265" s="14"/>
      <c r="G265" s="14"/>
      <c r="H265" s="17"/>
      <c r="I265" s="17"/>
      <c r="J265" s="17"/>
      <c r="K265" s="21"/>
      <c r="L265" s="17"/>
      <c r="M265" s="17"/>
      <c r="N265" s="14"/>
      <c r="O265" s="14"/>
      <c r="P265" s="14"/>
      <c r="Q265" s="14"/>
      <c r="R265" s="14"/>
      <c r="S265" s="10"/>
      <c r="T265" s="10"/>
      <c r="U265" s="10"/>
      <c r="V265" s="10"/>
      <c r="W265" s="10"/>
      <c r="X265" s="10"/>
      <c r="Y265" s="10"/>
      <c r="Z265" s="10"/>
      <c r="AA265" s="10"/>
      <c r="AB265" s="10"/>
      <c r="AC265" s="10"/>
      <c r="AD265" s="10"/>
      <c r="AE265" s="10"/>
      <c r="AF265" s="10"/>
      <c r="AG265" s="10"/>
      <c r="AH265" s="10"/>
    </row>
    <row r="266" spans="1:34" ht="15.75" hidden="1" customHeight="1">
      <c r="A266" s="13"/>
      <c r="B266" s="14"/>
      <c r="C266" s="14"/>
      <c r="D266" s="14" t="e">
        <f ca="1"/>
        <v>#NAME?</v>
      </c>
      <c r="E266" s="15"/>
      <c r="F266" s="14"/>
      <c r="G266" s="14"/>
      <c r="H266" s="17"/>
      <c r="I266" s="17"/>
      <c r="J266" s="17"/>
      <c r="K266" s="21"/>
      <c r="L266" s="17"/>
      <c r="M266" s="17"/>
      <c r="N266" s="14"/>
      <c r="O266" s="14"/>
      <c r="P266" s="14"/>
      <c r="Q266" s="14"/>
      <c r="R266" s="14"/>
      <c r="S266" s="10"/>
      <c r="T266" s="10"/>
      <c r="U266" s="10"/>
      <c r="V266" s="10"/>
      <c r="W266" s="10"/>
      <c r="X266" s="10"/>
      <c r="Y266" s="10"/>
      <c r="Z266" s="10"/>
      <c r="AA266" s="10"/>
      <c r="AB266" s="10"/>
      <c r="AC266" s="10"/>
      <c r="AD266" s="10"/>
      <c r="AE266" s="10"/>
      <c r="AF266" s="10"/>
      <c r="AG266" s="10"/>
      <c r="AH266" s="10"/>
    </row>
    <row r="267" spans="1:34" ht="15.75" hidden="1" customHeight="1">
      <c r="A267" s="13"/>
      <c r="B267" s="14"/>
      <c r="C267" s="14"/>
      <c r="D267" s="14" t="e">
        <f ca="1"/>
        <v>#NAME?</v>
      </c>
      <c r="E267" s="15"/>
      <c r="F267" s="14"/>
      <c r="G267" s="14"/>
      <c r="H267" s="17"/>
      <c r="I267" s="17"/>
      <c r="J267" s="17"/>
      <c r="K267" s="21"/>
      <c r="L267" s="17"/>
      <c r="M267" s="17"/>
      <c r="N267" s="14"/>
      <c r="O267" s="14"/>
      <c r="P267" s="14"/>
      <c r="Q267" s="14"/>
      <c r="R267" s="14"/>
      <c r="S267" s="10"/>
      <c r="T267" s="10"/>
      <c r="U267" s="10"/>
      <c r="V267" s="10"/>
      <c r="W267" s="10"/>
      <c r="X267" s="10"/>
      <c r="Y267" s="10"/>
      <c r="Z267" s="10"/>
      <c r="AA267" s="10"/>
      <c r="AB267" s="10"/>
      <c r="AC267" s="10"/>
      <c r="AD267" s="10"/>
      <c r="AE267" s="10"/>
      <c r="AF267" s="10"/>
      <c r="AG267" s="10"/>
      <c r="AH267" s="10"/>
    </row>
    <row r="268" spans="1:34" ht="15.75" hidden="1" customHeight="1">
      <c r="A268" s="13"/>
      <c r="B268" s="14"/>
      <c r="C268" s="14"/>
      <c r="D268" s="14" t="e">
        <f ca="1"/>
        <v>#NAME?</v>
      </c>
      <c r="E268" s="15"/>
      <c r="F268" s="14"/>
      <c r="G268" s="14"/>
      <c r="H268" s="17"/>
      <c r="I268" s="17"/>
      <c r="J268" s="17"/>
      <c r="K268" s="21"/>
      <c r="L268" s="17"/>
      <c r="M268" s="17"/>
      <c r="N268" s="14"/>
      <c r="O268" s="14"/>
      <c r="P268" s="14"/>
      <c r="Q268" s="14"/>
      <c r="R268" s="14"/>
      <c r="S268" s="10"/>
      <c r="T268" s="10"/>
      <c r="U268" s="10"/>
      <c r="V268" s="10"/>
      <c r="W268" s="10"/>
      <c r="X268" s="10"/>
      <c r="Y268" s="10"/>
      <c r="Z268" s="10"/>
      <c r="AA268" s="10"/>
      <c r="AB268" s="10"/>
      <c r="AC268" s="10"/>
      <c r="AD268" s="10"/>
      <c r="AE268" s="10"/>
      <c r="AF268" s="10"/>
      <c r="AG268" s="10"/>
      <c r="AH268" s="10"/>
    </row>
    <row r="269" spans="1:34" ht="15.75" hidden="1" customHeight="1">
      <c r="A269" s="13"/>
      <c r="B269" s="14"/>
      <c r="C269" s="14"/>
      <c r="D269" s="14" t="e">
        <f ca="1"/>
        <v>#NAME?</v>
      </c>
      <c r="E269" s="15"/>
      <c r="F269" s="14"/>
      <c r="G269" s="14"/>
      <c r="H269" s="17"/>
      <c r="I269" s="17"/>
      <c r="J269" s="17"/>
      <c r="K269" s="21"/>
      <c r="L269" s="17"/>
      <c r="M269" s="17"/>
      <c r="N269" s="14"/>
      <c r="O269" s="14"/>
      <c r="P269" s="14"/>
      <c r="Q269" s="14"/>
      <c r="R269" s="14"/>
      <c r="S269" s="10"/>
      <c r="T269" s="10"/>
      <c r="U269" s="10"/>
      <c r="V269" s="10"/>
      <c r="W269" s="10"/>
      <c r="X269" s="10"/>
      <c r="Y269" s="10"/>
      <c r="Z269" s="10"/>
      <c r="AA269" s="10"/>
      <c r="AB269" s="10"/>
      <c r="AC269" s="10"/>
      <c r="AD269" s="10"/>
      <c r="AE269" s="10"/>
      <c r="AF269" s="10"/>
      <c r="AG269" s="10"/>
      <c r="AH269" s="10"/>
    </row>
    <row r="270" spans="1:34" ht="15.75" hidden="1" customHeight="1">
      <c r="A270" s="13"/>
      <c r="B270" s="14"/>
      <c r="C270" s="14"/>
      <c r="D270" s="14" t="e">
        <f ca="1"/>
        <v>#NAME?</v>
      </c>
      <c r="E270" s="15"/>
      <c r="F270" s="14"/>
      <c r="G270" s="14"/>
      <c r="H270" s="17"/>
      <c r="I270" s="17"/>
      <c r="J270" s="17"/>
      <c r="K270" s="21"/>
      <c r="L270" s="17"/>
      <c r="M270" s="17"/>
      <c r="N270" s="14"/>
      <c r="O270" s="14"/>
      <c r="P270" s="14"/>
      <c r="Q270" s="14"/>
      <c r="R270" s="14"/>
      <c r="S270" s="10"/>
      <c r="T270" s="10"/>
      <c r="U270" s="10"/>
      <c r="V270" s="10"/>
      <c r="W270" s="10"/>
      <c r="X270" s="10"/>
      <c r="Y270" s="10"/>
      <c r="Z270" s="10"/>
      <c r="AA270" s="10"/>
      <c r="AB270" s="10"/>
      <c r="AC270" s="10"/>
      <c r="AD270" s="10"/>
      <c r="AE270" s="10"/>
      <c r="AF270" s="10"/>
      <c r="AG270" s="10"/>
      <c r="AH270" s="10"/>
    </row>
    <row r="271" spans="1:34" ht="15.75" hidden="1" customHeight="1">
      <c r="A271" s="13"/>
      <c r="B271" s="14"/>
      <c r="C271" s="14"/>
      <c r="D271" s="14" t="e">
        <f ca="1"/>
        <v>#NAME?</v>
      </c>
      <c r="E271" s="15"/>
      <c r="F271" s="14"/>
      <c r="G271" s="14"/>
      <c r="H271" s="17"/>
      <c r="I271" s="17"/>
      <c r="J271" s="17"/>
      <c r="K271" s="21"/>
      <c r="L271" s="17"/>
      <c r="M271" s="17"/>
      <c r="N271" s="14"/>
      <c r="O271" s="14"/>
      <c r="P271" s="14"/>
      <c r="Q271" s="14"/>
      <c r="R271" s="14"/>
      <c r="S271" s="10"/>
      <c r="T271" s="10"/>
      <c r="U271" s="10"/>
      <c r="V271" s="10"/>
      <c r="W271" s="10"/>
      <c r="X271" s="10"/>
      <c r="Y271" s="10"/>
      <c r="Z271" s="10"/>
      <c r="AA271" s="10"/>
      <c r="AB271" s="10"/>
      <c r="AC271" s="10"/>
      <c r="AD271" s="10"/>
      <c r="AE271" s="10"/>
      <c r="AF271" s="10"/>
      <c r="AG271" s="10"/>
      <c r="AH271" s="10"/>
    </row>
    <row r="272" spans="1:34" ht="15.75" hidden="1" customHeight="1">
      <c r="A272" s="13"/>
      <c r="B272" s="14"/>
      <c r="C272" s="14"/>
      <c r="D272" s="14" t="e">
        <f ca="1"/>
        <v>#NAME?</v>
      </c>
      <c r="E272" s="15"/>
      <c r="F272" s="14"/>
      <c r="G272" s="14"/>
      <c r="H272" s="17"/>
      <c r="I272" s="17"/>
      <c r="J272" s="17"/>
      <c r="K272" s="21"/>
      <c r="L272" s="17"/>
      <c r="M272" s="17"/>
      <c r="N272" s="14"/>
      <c r="O272" s="14"/>
      <c r="P272" s="14"/>
      <c r="Q272" s="14"/>
      <c r="R272" s="14"/>
      <c r="S272" s="10"/>
      <c r="T272" s="10"/>
      <c r="U272" s="10"/>
      <c r="V272" s="10"/>
      <c r="W272" s="10"/>
      <c r="X272" s="10"/>
      <c r="Y272" s="10"/>
      <c r="Z272" s="10"/>
      <c r="AA272" s="10"/>
      <c r="AB272" s="10"/>
      <c r="AC272" s="10"/>
      <c r="AD272" s="10"/>
      <c r="AE272" s="10"/>
      <c r="AF272" s="10"/>
      <c r="AG272" s="10"/>
      <c r="AH272" s="10"/>
    </row>
    <row r="273" spans="1:34" ht="15.75" hidden="1" customHeight="1">
      <c r="A273" s="13"/>
      <c r="B273" s="14"/>
      <c r="C273" s="14"/>
      <c r="D273" s="14" t="e">
        <f ca="1"/>
        <v>#NAME?</v>
      </c>
      <c r="E273" s="15"/>
      <c r="F273" s="14"/>
      <c r="G273" s="14"/>
      <c r="H273" s="17"/>
      <c r="I273" s="17"/>
      <c r="J273" s="17"/>
      <c r="K273" s="21"/>
      <c r="L273" s="17"/>
      <c r="M273" s="17"/>
      <c r="N273" s="14"/>
      <c r="O273" s="14"/>
      <c r="P273" s="14"/>
      <c r="Q273" s="14"/>
      <c r="R273" s="14"/>
      <c r="S273" s="10"/>
      <c r="T273" s="10"/>
      <c r="U273" s="10"/>
      <c r="V273" s="10"/>
      <c r="W273" s="10"/>
      <c r="X273" s="10"/>
      <c r="Y273" s="10"/>
      <c r="Z273" s="10"/>
      <c r="AA273" s="10"/>
      <c r="AB273" s="10"/>
      <c r="AC273" s="10"/>
      <c r="AD273" s="10"/>
      <c r="AE273" s="10"/>
      <c r="AF273" s="10"/>
      <c r="AG273" s="10"/>
      <c r="AH273" s="10"/>
    </row>
    <row r="274" spans="1:34" ht="15.75" hidden="1" customHeight="1">
      <c r="A274" s="13"/>
      <c r="B274" s="14"/>
      <c r="C274" s="14"/>
      <c r="D274" s="14" t="e">
        <f ca="1"/>
        <v>#NAME?</v>
      </c>
      <c r="E274" s="15"/>
      <c r="F274" s="14"/>
      <c r="G274" s="14"/>
      <c r="H274" s="17"/>
      <c r="I274" s="17"/>
      <c r="J274" s="17"/>
      <c r="K274" s="21"/>
      <c r="L274" s="17"/>
      <c r="M274" s="17"/>
      <c r="N274" s="14"/>
      <c r="O274" s="14"/>
      <c r="P274" s="14"/>
      <c r="Q274" s="14"/>
      <c r="R274" s="14"/>
      <c r="S274" s="10"/>
      <c r="T274" s="10"/>
      <c r="U274" s="10"/>
      <c r="V274" s="10"/>
      <c r="W274" s="10"/>
      <c r="X274" s="10"/>
      <c r="Y274" s="10"/>
      <c r="Z274" s="10"/>
      <c r="AA274" s="10"/>
      <c r="AB274" s="10"/>
      <c r="AC274" s="10"/>
      <c r="AD274" s="10"/>
      <c r="AE274" s="10"/>
      <c r="AF274" s="10"/>
      <c r="AG274" s="10"/>
      <c r="AH274" s="10"/>
    </row>
    <row r="275" spans="1:34" ht="15.75" hidden="1" customHeight="1">
      <c r="A275" s="13"/>
      <c r="B275" s="14"/>
      <c r="C275" s="14"/>
      <c r="D275" s="14" t="e">
        <f ca="1"/>
        <v>#NAME?</v>
      </c>
      <c r="E275" s="15"/>
      <c r="F275" s="14"/>
      <c r="G275" s="14"/>
      <c r="H275" s="17"/>
      <c r="I275" s="17"/>
      <c r="J275" s="17"/>
      <c r="K275" s="21"/>
      <c r="L275" s="17"/>
      <c r="M275" s="17"/>
      <c r="N275" s="14"/>
      <c r="O275" s="14"/>
      <c r="P275" s="14"/>
      <c r="Q275" s="14"/>
      <c r="R275" s="14"/>
      <c r="S275" s="10"/>
      <c r="T275" s="10"/>
      <c r="U275" s="10"/>
      <c r="V275" s="10"/>
      <c r="W275" s="10"/>
      <c r="X275" s="10"/>
      <c r="Y275" s="10"/>
      <c r="Z275" s="10"/>
      <c r="AA275" s="10"/>
      <c r="AB275" s="10"/>
      <c r="AC275" s="10"/>
      <c r="AD275" s="10"/>
      <c r="AE275" s="10"/>
      <c r="AF275" s="10"/>
      <c r="AG275" s="10"/>
      <c r="AH275" s="10"/>
    </row>
    <row r="276" spans="1:34" ht="15.75" hidden="1" customHeight="1">
      <c r="A276" s="13"/>
      <c r="B276" s="14"/>
      <c r="C276" s="14"/>
      <c r="D276" s="14" t="e">
        <f ca="1"/>
        <v>#NAME?</v>
      </c>
      <c r="E276" s="15"/>
      <c r="F276" s="14"/>
      <c r="G276" s="14"/>
      <c r="H276" s="17"/>
      <c r="I276" s="17"/>
      <c r="J276" s="17"/>
      <c r="K276" s="21"/>
      <c r="L276" s="17"/>
      <c r="M276" s="17"/>
      <c r="N276" s="14"/>
      <c r="O276" s="14"/>
      <c r="P276" s="14"/>
      <c r="Q276" s="14"/>
      <c r="R276" s="14"/>
      <c r="S276" s="10"/>
      <c r="T276" s="10"/>
      <c r="U276" s="10"/>
      <c r="V276" s="10"/>
      <c r="W276" s="10"/>
      <c r="X276" s="10"/>
      <c r="Y276" s="10"/>
      <c r="Z276" s="10"/>
      <c r="AA276" s="10"/>
      <c r="AB276" s="10"/>
      <c r="AC276" s="10"/>
      <c r="AD276" s="10"/>
      <c r="AE276" s="10"/>
      <c r="AF276" s="10"/>
      <c r="AG276" s="10"/>
      <c r="AH276" s="10"/>
    </row>
    <row r="277" spans="1:34" ht="15.75" hidden="1" customHeight="1">
      <c r="A277" s="13"/>
      <c r="B277" s="14"/>
      <c r="C277" s="14"/>
      <c r="D277" s="14" t="e">
        <f ca="1"/>
        <v>#NAME?</v>
      </c>
      <c r="E277" s="15"/>
      <c r="F277" s="14"/>
      <c r="G277" s="14"/>
      <c r="H277" s="17"/>
      <c r="I277" s="17"/>
      <c r="J277" s="17"/>
      <c r="K277" s="21"/>
      <c r="L277" s="17"/>
      <c r="M277" s="17"/>
      <c r="N277" s="14"/>
      <c r="O277" s="14"/>
      <c r="P277" s="14"/>
      <c r="Q277" s="14"/>
      <c r="R277" s="14"/>
      <c r="S277" s="10"/>
      <c r="T277" s="10"/>
      <c r="U277" s="10"/>
      <c r="V277" s="10"/>
      <c r="W277" s="10"/>
      <c r="X277" s="10"/>
      <c r="Y277" s="10"/>
      <c r="Z277" s="10"/>
      <c r="AA277" s="10"/>
      <c r="AB277" s="10"/>
      <c r="AC277" s="10"/>
      <c r="AD277" s="10"/>
      <c r="AE277" s="10"/>
      <c r="AF277" s="10"/>
      <c r="AG277" s="10"/>
      <c r="AH277" s="10"/>
    </row>
    <row r="278" spans="1:34" ht="15.75" hidden="1" customHeight="1">
      <c r="A278" s="13"/>
      <c r="B278" s="14"/>
      <c r="C278" s="14"/>
      <c r="D278" s="14" t="e">
        <f ca="1"/>
        <v>#NAME?</v>
      </c>
      <c r="E278" s="15"/>
      <c r="F278" s="14"/>
      <c r="G278" s="14"/>
      <c r="H278" s="17"/>
      <c r="I278" s="17"/>
      <c r="J278" s="17"/>
      <c r="K278" s="21"/>
      <c r="L278" s="17"/>
      <c r="M278" s="17"/>
      <c r="N278" s="14"/>
      <c r="O278" s="14"/>
      <c r="P278" s="14"/>
      <c r="Q278" s="14"/>
      <c r="R278" s="14"/>
      <c r="S278" s="10"/>
      <c r="T278" s="10"/>
      <c r="U278" s="10"/>
      <c r="V278" s="10"/>
      <c r="W278" s="10"/>
      <c r="X278" s="10"/>
      <c r="Y278" s="10"/>
      <c r="Z278" s="10"/>
      <c r="AA278" s="10"/>
      <c r="AB278" s="10"/>
      <c r="AC278" s="10"/>
      <c r="AD278" s="10"/>
      <c r="AE278" s="10"/>
      <c r="AF278" s="10"/>
      <c r="AG278" s="10"/>
      <c r="AH278" s="10"/>
    </row>
    <row r="279" spans="1:34" ht="15.75" hidden="1" customHeight="1">
      <c r="A279" s="13"/>
      <c r="B279" s="14"/>
      <c r="C279" s="14"/>
      <c r="D279" s="14" t="e">
        <f ca="1"/>
        <v>#NAME?</v>
      </c>
      <c r="E279" s="15"/>
      <c r="F279" s="14"/>
      <c r="G279" s="14"/>
      <c r="H279" s="17"/>
      <c r="I279" s="17"/>
      <c r="J279" s="17"/>
      <c r="K279" s="21"/>
      <c r="L279" s="17"/>
      <c r="M279" s="17"/>
      <c r="N279" s="14"/>
      <c r="O279" s="14"/>
      <c r="P279" s="14"/>
      <c r="Q279" s="14"/>
      <c r="R279" s="14"/>
      <c r="S279" s="10"/>
      <c r="T279" s="10"/>
      <c r="U279" s="10"/>
      <c r="V279" s="10"/>
      <c r="W279" s="10"/>
      <c r="X279" s="10"/>
      <c r="Y279" s="10"/>
      <c r="Z279" s="10"/>
      <c r="AA279" s="10"/>
      <c r="AB279" s="10"/>
      <c r="AC279" s="10"/>
      <c r="AD279" s="10"/>
      <c r="AE279" s="10"/>
      <c r="AF279" s="10"/>
      <c r="AG279" s="10"/>
      <c r="AH279" s="10"/>
    </row>
    <row r="280" spans="1:34" ht="15.75" hidden="1" customHeight="1">
      <c r="A280" s="13"/>
      <c r="B280" s="14"/>
      <c r="C280" s="14"/>
      <c r="D280" s="14" t="e">
        <f ca="1"/>
        <v>#NAME?</v>
      </c>
      <c r="E280" s="15"/>
      <c r="F280" s="14"/>
      <c r="G280" s="14"/>
      <c r="H280" s="17"/>
      <c r="I280" s="17"/>
      <c r="J280" s="17"/>
      <c r="K280" s="21"/>
      <c r="L280" s="17"/>
      <c r="M280" s="17"/>
      <c r="N280" s="14"/>
      <c r="O280" s="14"/>
      <c r="P280" s="14"/>
      <c r="Q280" s="14"/>
      <c r="R280" s="14"/>
      <c r="S280" s="10"/>
      <c r="T280" s="10"/>
      <c r="U280" s="10"/>
      <c r="V280" s="10"/>
      <c r="W280" s="10"/>
      <c r="X280" s="10"/>
      <c r="Y280" s="10"/>
      <c r="Z280" s="10"/>
      <c r="AA280" s="10"/>
      <c r="AB280" s="10"/>
      <c r="AC280" s="10"/>
      <c r="AD280" s="10"/>
      <c r="AE280" s="10"/>
      <c r="AF280" s="10"/>
      <c r="AG280" s="10"/>
      <c r="AH280" s="10"/>
    </row>
    <row r="281" spans="1:34" ht="15.75" hidden="1" customHeight="1">
      <c r="A281" s="13"/>
      <c r="B281" s="14"/>
      <c r="C281" s="14"/>
      <c r="D281" s="14" t="e">
        <f ca="1"/>
        <v>#NAME?</v>
      </c>
      <c r="E281" s="15"/>
      <c r="F281" s="14"/>
      <c r="G281" s="14"/>
      <c r="H281" s="17"/>
      <c r="I281" s="17"/>
      <c r="J281" s="17"/>
      <c r="K281" s="21"/>
      <c r="L281" s="17"/>
      <c r="M281" s="17"/>
      <c r="N281" s="14"/>
      <c r="O281" s="14"/>
      <c r="P281" s="14"/>
      <c r="Q281" s="14"/>
      <c r="R281" s="14"/>
      <c r="S281" s="10"/>
      <c r="T281" s="10"/>
      <c r="U281" s="10"/>
      <c r="V281" s="10"/>
      <c r="W281" s="10"/>
      <c r="X281" s="10"/>
      <c r="Y281" s="10"/>
      <c r="Z281" s="10"/>
      <c r="AA281" s="10"/>
      <c r="AB281" s="10"/>
      <c r="AC281" s="10"/>
      <c r="AD281" s="10"/>
      <c r="AE281" s="10"/>
      <c r="AF281" s="10"/>
      <c r="AG281" s="10"/>
      <c r="AH281" s="10"/>
    </row>
    <row r="282" spans="1:34" ht="15.75" hidden="1" customHeight="1">
      <c r="A282" s="13"/>
      <c r="B282" s="14"/>
      <c r="C282" s="14"/>
      <c r="D282" s="14" t="e">
        <f ca="1"/>
        <v>#NAME?</v>
      </c>
      <c r="E282" s="15"/>
      <c r="F282" s="14"/>
      <c r="G282" s="14"/>
      <c r="H282" s="17"/>
      <c r="I282" s="17"/>
      <c r="J282" s="17"/>
      <c r="K282" s="21"/>
      <c r="L282" s="17"/>
      <c r="M282" s="17"/>
      <c r="N282" s="14"/>
      <c r="O282" s="14"/>
      <c r="P282" s="14"/>
      <c r="Q282" s="14"/>
      <c r="R282" s="14"/>
      <c r="S282" s="10"/>
      <c r="T282" s="10"/>
      <c r="U282" s="10"/>
      <c r="V282" s="10"/>
      <c r="W282" s="10"/>
      <c r="X282" s="10"/>
      <c r="Y282" s="10"/>
      <c r="Z282" s="10"/>
      <c r="AA282" s="10"/>
      <c r="AB282" s="10"/>
      <c r="AC282" s="10"/>
      <c r="AD282" s="10"/>
      <c r="AE282" s="10"/>
      <c r="AF282" s="10"/>
      <c r="AG282" s="10"/>
      <c r="AH282" s="10"/>
    </row>
    <row r="283" spans="1:34" ht="15.75" hidden="1" customHeight="1">
      <c r="A283" s="13"/>
      <c r="B283" s="14"/>
      <c r="C283" s="14"/>
      <c r="D283" s="14" t="e">
        <f ca="1"/>
        <v>#NAME?</v>
      </c>
      <c r="E283" s="15"/>
      <c r="F283" s="14"/>
      <c r="G283" s="14"/>
      <c r="H283" s="17"/>
      <c r="I283" s="17"/>
      <c r="J283" s="17"/>
      <c r="K283" s="21"/>
      <c r="L283" s="17"/>
      <c r="M283" s="17"/>
      <c r="N283" s="14"/>
      <c r="O283" s="14"/>
      <c r="P283" s="14"/>
      <c r="Q283" s="14"/>
      <c r="R283" s="14"/>
      <c r="S283" s="10"/>
      <c r="T283" s="10"/>
      <c r="U283" s="10"/>
      <c r="V283" s="10"/>
      <c r="W283" s="10"/>
      <c r="X283" s="10"/>
      <c r="Y283" s="10"/>
      <c r="Z283" s="10"/>
      <c r="AA283" s="10"/>
      <c r="AB283" s="10"/>
      <c r="AC283" s="10"/>
      <c r="AD283" s="10"/>
      <c r="AE283" s="10"/>
      <c r="AF283" s="10"/>
      <c r="AG283" s="10"/>
      <c r="AH283" s="10"/>
    </row>
    <row r="284" spans="1:34" ht="15.75" hidden="1" customHeight="1">
      <c r="A284" s="13"/>
      <c r="B284" s="14"/>
      <c r="C284" s="14"/>
      <c r="D284" s="14" t="e">
        <f ca="1"/>
        <v>#NAME?</v>
      </c>
      <c r="E284" s="15"/>
      <c r="F284" s="14"/>
      <c r="G284" s="14"/>
      <c r="H284" s="17"/>
      <c r="I284" s="17"/>
      <c r="J284" s="17"/>
      <c r="K284" s="21"/>
      <c r="L284" s="17"/>
      <c r="M284" s="17"/>
      <c r="N284" s="14"/>
      <c r="O284" s="14"/>
      <c r="P284" s="14"/>
      <c r="Q284" s="14"/>
      <c r="R284" s="14"/>
      <c r="S284" s="10"/>
      <c r="T284" s="10"/>
      <c r="U284" s="10"/>
      <c r="V284" s="10"/>
      <c r="W284" s="10"/>
      <c r="X284" s="10"/>
      <c r="Y284" s="10"/>
      <c r="Z284" s="10"/>
      <c r="AA284" s="10"/>
      <c r="AB284" s="10"/>
      <c r="AC284" s="10"/>
      <c r="AD284" s="10"/>
      <c r="AE284" s="10"/>
      <c r="AF284" s="10"/>
      <c r="AG284" s="10"/>
      <c r="AH284" s="10"/>
    </row>
    <row r="285" spans="1:34" ht="15.75" hidden="1" customHeight="1">
      <c r="A285" s="13"/>
      <c r="B285" s="14"/>
      <c r="C285" s="14"/>
      <c r="D285" s="14" t="e">
        <f ca="1"/>
        <v>#NAME?</v>
      </c>
      <c r="E285" s="15"/>
      <c r="F285" s="14"/>
      <c r="G285" s="14"/>
      <c r="H285" s="17"/>
      <c r="I285" s="17"/>
      <c r="J285" s="17"/>
      <c r="K285" s="21"/>
      <c r="L285" s="17"/>
      <c r="M285" s="17"/>
      <c r="N285" s="14"/>
      <c r="O285" s="14"/>
      <c r="P285" s="14"/>
      <c r="Q285" s="14"/>
      <c r="R285" s="14"/>
      <c r="S285" s="10"/>
      <c r="T285" s="10"/>
      <c r="U285" s="10"/>
      <c r="V285" s="10"/>
      <c r="W285" s="10"/>
      <c r="X285" s="10"/>
      <c r="Y285" s="10"/>
      <c r="Z285" s="10"/>
      <c r="AA285" s="10"/>
      <c r="AB285" s="10"/>
      <c r="AC285" s="10"/>
      <c r="AD285" s="10"/>
      <c r="AE285" s="10"/>
      <c r="AF285" s="10"/>
      <c r="AG285" s="10"/>
      <c r="AH285" s="10"/>
    </row>
    <row r="286" spans="1:34" ht="15.75" hidden="1" customHeight="1">
      <c r="A286" s="13"/>
      <c r="B286" s="14"/>
      <c r="C286" s="14"/>
      <c r="D286" s="14" t="e">
        <f ca="1"/>
        <v>#NAME?</v>
      </c>
      <c r="E286" s="15"/>
      <c r="F286" s="14"/>
      <c r="G286" s="14"/>
      <c r="H286" s="17"/>
      <c r="I286" s="17"/>
      <c r="J286" s="17"/>
      <c r="K286" s="21"/>
      <c r="L286" s="17"/>
      <c r="M286" s="17"/>
      <c r="N286" s="14"/>
      <c r="O286" s="14"/>
      <c r="P286" s="14"/>
      <c r="Q286" s="14"/>
      <c r="R286" s="14"/>
      <c r="S286" s="10"/>
      <c r="T286" s="10"/>
      <c r="U286" s="10"/>
      <c r="V286" s="10"/>
      <c r="W286" s="10"/>
      <c r="X286" s="10"/>
      <c r="Y286" s="10"/>
      <c r="Z286" s="10"/>
      <c r="AA286" s="10"/>
      <c r="AB286" s="10"/>
      <c r="AC286" s="10"/>
      <c r="AD286" s="10"/>
      <c r="AE286" s="10"/>
      <c r="AF286" s="10"/>
      <c r="AG286" s="10"/>
      <c r="AH286" s="10"/>
    </row>
    <row r="287" spans="1:34" ht="15.75" hidden="1" customHeight="1">
      <c r="A287" s="13"/>
      <c r="B287" s="14"/>
      <c r="C287" s="14"/>
      <c r="D287" s="14" t="e">
        <f ca="1"/>
        <v>#NAME?</v>
      </c>
      <c r="E287" s="15"/>
      <c r="F287" s="14"/>
      <c r="G287" s="14"/>
      <c r="H287" s="17"/>
      <c r="I287" s="17"/>
      <c r="J287" s="17"/>
      <c r="K287" s="21"/>
      <c r="L287" s="17"/>
      <c r="M287" s="17"/>
      <c r="N287" s="14"/>
      <c r="O287" s="14"/>
      <c r="P287" s="14"/>
      <c r="Q287" s="14"/>
      <c r="R287" s="14"/>
      <c r="S287" s="10"/>
      <c r="T287" s="10"/>
      <c r="U287" s="10"/>
      <c r="V287" s="10"/>
      <c r="W287" s="10"/>
      <c r="X287" s="10"/>
      <c r="Y287" s="10"/>
      <c r="Z287" s="10"/>
      <c r="AA287" s="10"/>
      <c r="AB287" s="10"/>
      <c r="AC287" s="10"/>
      <c r="AD287" s="10"/>
      <c r="AE287" s="10"/>
      <c r="AF287" s="10"/>
      <c r="AG287" s="10"/>
      <c r="AH287" s="10"/>
    </row>
    <row r="288" spans="1:34" ht="15.75" hidden="1" customHeight="1">
      <c r="A288" s="13"/>
      <c r="B288" s="14"/>
      <c r="C288" s="14"/>
      <c r="D288" s="14" t="e">
        <f ca="1"/>
        <v>#NAME?</v>
      </c>
      <c r="E288" s="15"/>
      <c r="F288" s="14"/>
      <c r="G288" s="14"/>
      <c r="H288" s="17"/>
      <c r="I288" s="17"/>
      <c r="J288" s="17"/>
      <c r="K288" s="21"/>
      <c r="L288" s="17"/>
      <c r="M288" s="17"/>
      <c r="N288" s="14"/>
      <c r="O288" s="14"/>
      <c r="P288" s="14"/>
      <c r="Q288" s="14"/>
      <c r="R288" s="14"/>
      <c r="S288" s="10"/>
      <c r="T288" s="10"/>
      <c r="U288" s="10"/>
      <c r="V288" s="10"/>
      <c r="W288" s="10"/>
      <c r="X288" s="10"/>
      <c r="Y288" s="10"/>
      <c r="Z288" s="10"/>
      <c r="AA288" s="10"/>
      <c r="AB288" s="10"/>
      <c r="AC288" s="10"/>
      <c r="AD288" s="10"/>
      <c r="AE288" s="10"/>
      <c r="AF288" s="10"/>
      <c r="AG288" s="10"/>
      <c r="AH288" s="10"/>
    </row>
    <row r="289" spans="1:34" ht="15.75" hidden="1" customHeight="1">
      <c r="A289" s="13"/>
      <c r="B289" s="14"/>
      <c r="C289" s="14"/>
      <c r="D289" s="14" t="e">
        <f ca="1"/>
        <v>#NAME?</v>
      </c>
      <c r="E289" s="15"/>
      <c r="F289" s="14"/>
      <c r="G289" s="14"/>
      <c r="H289" s="17"/>
      <c r="I289" s="17"/>
      <c r="J289" s="17"/>
      <c r="K289" s="21"/>
      <c r="L289" s="17"/>
      <c r="M289" s="17"/>
      <c r="N289" s="14"/>
      <c r="O289" s="14"/>
      <c r="P289" s="14"/>
      <c r="Q289" s="14"/>
      <c r="R289" s="14"/>
      <c r="S289" s="10"/>
      <c r="T289" s="10"/>
      <c r="U289" s="10"/>
      <c r="V289" s="10"/>
      <c r="W289" s="10"/>
      <c r="X289" s="10"/>
      <c r="Y289" s="10"/>
      <c r="Z289" s="10"/>
      <c r="AA289" s="10"/>
      <c r="AB289" s="10"/>
      <c r="AC289" s="10"/>
      <c r="AD289" s="10"/>
      <c r="AE289" s="10"/>
      <c r="AF289" s="10"/>
      <c r="AG289" s="10"/>
      <c r="AH289" s="10"/>
    </row>
    <row r="290" spans="1:34" ht="15.75" hidden="1" customHeight="1">
      <c r="A290" s="13"/>
      <c r="B290" s="14"/>
      <c r="C290" s="14"/>
      <c r="D290" s="14" t="e">
        <f ca="1"/>
        <v>#NAME?</v>
      </c>
      <c r="E290" s="15"/>
      <c r="F290" s="14"/>
      <c r="G290" s="14"/>
      <c r="H290" s="17"/>
      <c r="I290" s="17"/>
      <c r="J290" s="17"/>
      <c r="K290" s="21"/>
      <c r="L290" s="17"/>
      <c r="M290" s="17"/>
      <c r="N290" s="14"/>
      <c r="O290" s="14"/>
      <c r="P290" s="14"/>
      <c r="Q290" s="14"/>
      <c r="R290" s="14"/>
      <c r="S290" s="10"/>
      <c r="T290" s="10"/>
      <c r="U290" s="10"/>
      <c r="V290" s="10"/>
      <c r="W290" s="10"/>
      <c r="X290" s="10"/>
      <c r="Y290" s="10"/>
      <c r="Z290" s="10"/>
      <c r="AA290" s="10"/>
      <c r="AB290" s="10"/>
      <c r="AC290" s="10"/>
      <c r="AD290" s="10"/>
      <c r="AE290" s="10"/>
      <c r="AF290" s="10"/>
      <c r="AG290" s="10"/>
      <c r="AH290" s="10"/>
    </row>
    <row r="291" spans="1:34" ht="15.75" hidden="1" customHeight="1">
      <c r="A291" s="13"/>
      <c r="B291" s="14"/>
      <c r="C291" s="14"/>
      <c r="D291" s="14" t="e">
        <f ca="1"/>
        <v>#NAME?</v>
      </c>
      <c r="E291" s="15"/>
      <c r="F291" s="14"/>
      <c r="G291" s="14"/>
      <c r="H291" s="17"/>
      <c r="I291" s="17"/>
      <c r="J291" s="17"/>
      <c r="K291" s="21"/>
      <c r="L291" s="17"/>
      <c r="M291" s="17"/>
      <c r="N291" s="14"/>
      <c r="O291" s="14"/>
      <c r="P291" s="14"/>
      <c r="Q291" s="14"/>
      <c r="R291" s="14"/>
      <c r="S291" s="10"/>
      <c r="T291" s="10"/>
      <c r="U291" s="10"/>
      <c r="V291" s="10"/>
      <c r="W291" s="10"/>
      <c r="X291" s="10"/>
      <c r="Y291" s="10"/>
      <c r="Z291" s="10"/>
      <c r="AA291" s="10"/>
      <c r="AB291" s="10"/>
      <c r="AC291" s="10"/>
      <c r="AD291" s="10"/>
      <c r="AE291" s="10"/>
      <c r="AF291" s="10"/>
      <c r="AG291" s="10"/>
      <c r="AH291" s="10"/>
    </row>
    <row r="292" spans="1:34" ht="15.75" hidden="1" customHeight="1">
      <c r="A292" s="13"/>
      <c r="B292" s="14"/>
      <c r="C292" s="14"/>
      <c r="D292" s="14" t="e">
        <f ca="1"/>
        <v>#NAME?</v>
      </c>
      <c r="E292" s="15"/>
      <c r="F292" s="14"/>
      <c r="G292" s="14"/>
      <c r="H292" s="17"/>
      <c r="I292" s="17"/>
      <c r="J292" s="17"/>
      <c r="K292" s="21"/>
      <c r="L292" s="17"/>
      <c r="M292" s="17"/>
      <c r="N292" s="14"/>
      <c r="O292" s="14"/>
      <c r="P292" s="14"/>
      <c r="Q292" s="14"/>
      <c r="R292" s="14"/>
      <c r="S292" s="10"/>
      <c r="T292" s="10"/>
      <c r="U292" s="10"/>
      <c r="V292" s="10"/>
      <c r="W292" s="10"/>
      <c r="X292" s="10"/>
      <c r="Y292" s="10"/>
      <c r="Z292" s="10"/>
      <c r="AA292" s="10"/>
      <c r="AB292" s="10"/>
      <c r="AC292" s="10"/>
      <c r="AD292" s="10"/>
      <c r="AE292" s="10"/>
      <c r="AF292" s="10"/>
      <c r="AG292" s="10"/>
      <c r="AH292" s="10"/>
    </row>
    <row r="293" spans="1:34" ht="15.75" hidden="1" customHeight="1">
      <c r="A293" s="13"/>
      <c r="B293" s="14"/>
      <c r="C293" s="14"/>
      <c r="D293" s="14" t="e">
        <f ca="1"/>
        <v>#NAME?</v>
      </c>
      <c r="E293" s="15"/>
      <c r="F293" s="14"/>
      <c r="G293" s="14"/>
      <c r="H293" s="17"/>
      <c r="I293" s="17"/>
      <c r="J293" s="17"/>
      <c r="K293" s="21"/>
      <c r="L293" s="17"/>
      <c r="M293" s="17"/>
      <c r="N293" s="14"/>
      <c r="O293" s="14"/>
      <c r="P293" s="14"/>
      <c r="Q293" s="14"/>
      <c r="R293" s="14"/>
      <c r="S293" s="10"/>
      <c r="T293" s="10"/>
      <c r="U293" s="10"/>
      <c r="V293" s="10"/>
      <c r="W293" s="10"/>
      <c r="X293" s="10"/>
      <c r="Y293" s="10"/>
      <c r="Z293" s="10"/>
      <c r="AA293" s="10"/>
      <c r="AB293" s="10"/>
      <c r="AC293" s="10"/>
      <c r="AD293" s="10"/>
      <c r="AE293" s="10"/>
      <c r="AF293" s="10"/>
      <c r="AG293" s="10"/>
      <c r="AH293" s="10"/>
    </row>
    <row r="294" spans="1:34" ht="15.75" hidden="1" customHeight="1">
      <c r="A294" s="13"/>
      <c r="B294" s="14"/>
      <c r="C294" s="14"/>
      <c r="D294" s="14" t="e">
        <f ca="1"/>
        <v>#NAME?</v>
      </c>
      <c r="E294" s="15"/>
      <c r="F294" s="14"/>
      <c r="G294" s="14"/>
      <c r="H294" s="17"/>
      <c r="I294" s="17"/>
      <c r="J294" s="17"/>
      <c r="K294" s="21"/>
      <c r="L294" s="17"/>
      <c r="M294" s="17"/>
      <c r="N294" s="14"/>
      <c r="O294" s="14"/>
      <c r="P294" s="14"/>
      <c r="Q294" s="14"/>
      <c r="R294" s="14"/>
      <c r="S294" s="10"/>
      <c r="T294" s="10"/>
      <c r="U294" s="10"/>
      <c r="V294" s="10"/>
      <c r="W294" s="10"/>
      <c r="X294" s="10"/>
      <c r="Y294" s="10"/>
      <c r="Z294" s="10"/>
      <c r="AA294" s="10"/>
      <c r="AB294" s="10"/>
      <c r="AC294" s="10"/>
      <c r="AD294" s="10"/>
      <c r="AE294" s="10"/>
      <c r="AF294" s="10"/>
      <c r="AG294" s="10"/>
      <c r="AH294" s="10"/>
    </row>
    <row r="295" spans="1:34" ht="15.75" hidden="1" customHeight="1">
      <c r="A295" s="13"/>
      <c r="B295" s="14"/>
      <c r="C295" s="14"/>
      <c r="D295" s="14" t="e">
        <f ca="1"/>
        <v>#NAME?</v>
      </c>
      <c r="E295" s="15"/>
      <c r="F295" s="14"/>
      <c r="G295" s="14"/>
      <c r="H295" s="17"/>
      <c r="I295" s="17"/>
      <c r="J295" s="17"/>
      <c r="K295" s="21"/>
      <c r="L295" s="17"/>
      <c r="M295" s="17"/>
      <c r="N295" s="14"/>
      <c r="O295" s="14"/>
      <c r="P295" s="14"/>
      <c r="Q295" s="14"/>
      <c r="R295" s="14"/>
      <c r="S295" s="10"/>
      <c r="T295" s="10"/>
      <c r="U295" s="10"/>
      <c r="V295" s="10"/>
      <c r="W295" s="10"/>
      <c r="X295" s="10"/>
      <c r="Y295" s="10"/>
      <c r="Z295" s="10"/>
      <c r="AA295" s="10"/>
      <c r="AB295" s="10"/>
      <c r="AC295" s="10"/>
      <c r="AD295" s="10"/>
      <c r="AE295" s="10"/>
      <c r="AF295" s="10"/>
      <c r="AG295" s="10"/>
      <c r="AH295" s="10"/>
    </row>
    <row r="296" spans="1:34" ht="15.75" hidden="1" customHeight="1">
      <c r="A296" s="13"/>
      <c r="B296" s="14"/>
      <c r="C296" s="14"/>
      <c r="D296" s="14" t="e">
        <f ca="1"/>
        <v>#NAME?</v>
      </c>
      <c r="E296" s="15"/>
      <c r="F296" s="14"/>
      <c r="G296" s="14"/>
      <c r="H296" s="17"/>
      <c r="I296" s="17"/>
      <c r="J296" s="17"/>
      <c r="K296" s="21"/>
      <c r="L296" s="17"/>
      <c r="M296" s="17"/>
      <c r="N296" s="14"/>
      <c r="O296" s="14"/>
      <c r="P296" s="14"/>
      <c r="Q296" s="14"/>
      <c r="R296" s="14"/>
      <c r="S296" s="10"/>
      <c r="T296" s="10"/>
      <c r="U296" s="10"/>
      <c r="V296" s="10"/>
      <c r="W296" s="10"/>
      <c r="X296" s="10"/>
      <c r="Y296" s="10"/>
      <c r="Z296" s="10"/>
      <c r="AA296" s="10"/>
      <c r="AB296" s="10"/>
      <c r="AC296" s="10"/>
      <c r="AD296" s="10"/>
      <c r="AE296" s="10"/>
      <c r="AF296" s="10"/>
      <c r="AG296" s="10"/>
      <c r="AH296" s="10"/>
    </row>
    <row r="297" spans="1:34" ht="15.75" hidden="1" customHeight="1">
      <c r="A297" s="13"/>
      <c r="B297" s="14"/>
      <c r="C297" s="14"/>
      <c r="D297" s="14" t="e">
        <f ca="1"/>
        <v>#NAME?</v>
      </c>
      <c r="E297" s="15"/>
      <c r="F297" s="14"/>
      <c r="G297" s="14"/>
      <c r="H297" s="17"/>
      <c r="I297" s="17"/>
      <c r="J297" s="17"/>
      <c r="K297" s="21"/>
      <c r="L297" s="17"/>
      <c r="M297" s="17"/>
      <c r="N297" s="14"/>
      <c r="O297" s="14"/>
      <c r="P297" s="14"/>
      <c r="Q297" s="14"/>
      <c r="R297" s="14"/>
      <c r="S297" s="10"/>
      <c r="T297" s="10"/>
      <c r="U297" s="10"/>
      <c r="V297" s="10"/>
      <c r="W297" s="10"/>
      <c r="X297" s="10"/>
      <c r="Y297" s="10"/>
      <c r="Z297" s="10"/>
      <c r="AA297" s="10"/>
      <c r="AB297" s="10"/>
      <c r="AC297" s="10"/>
      <c r="AD297" s="10"/>
      <c r="AE297" s="10"/>
      <c r="AF297" s="10"/>
      <c r="AG297" s="10"/>
      <c r="AH297" s="10"/>
    </row>
    <row r="298" spans="1:34" ht="15.75" hidden="1" customHeight="1">
      <c r="A298" s="13"/>
      <c r="B298" s="14"/>
      <c r="C298" s="14"/>
      <c r="D298" s="14" t="e">
        <f ca="1"/>
        <v>#NAME?</v>
      </c>
      <c r="E298" s="15"/>
      <c r="F298" s="14"/>
      <c r="G298" s="14"/>
      <c r="H298" s="17"/>
      <c r="I298" s="17"/>
      <c r="J298" s="17"/>
      <c r="K298" s="21"/>
      <c r="L298" s="17"/>
      <c r="M298" s="17"/>
      <c r="N298" s="14"/>
      <c r="O298" s="14"/>
      <c r="P298" s="14"/>
      <c r="Q298" s="14"/>
      <c r="R298" s="14"/>
      <c r="S298" s="10"/>
      <c r="T298" s="10"/>
      <c r="U298" s="10"/>
      <c r="V298" s="10"/>
      <c r="W298" s="10"/>
      <c r="X298" s="10"/>
      <c r="Y298" s="10"/>
      <c r="Z298" s="10"/>
      <c r="AA298" s="10"/>
      <c r="AB298" s="10"/>
      <c r="AC298" s="10"/>
      <c r="AD298" s="10"/>
      <c r="AE298" s="10"/>
      <c r="AF298" s="10"/>
      <c r="AG298" s="10"/>
      <c r="AH298" s="10"/>
    </row>
    <row r="299" spans="1:34" ht="15.75" hidden="1" customHeight="1">
      <c r="A299" s="13"/>
      <c r="B299" s="14"/>
      <c r="C299" s="14"/>
      <c r="D299" s="14" t="e">
        <f ca="1"/>
        <v>#NAME?</v>
      </c>
      <c r="E299" s="15"/>
      <c r="F299" s="14"/>
      <c r="G299" s="14"/>
      <c r="H299" s="17"/>
      <c r="I299" s="17"/>
      <c r="J299" s="17"/>
      <c r="K299" s="21"/>
      <c r="L299" s="17"/>
      <c r="M299" s="17"/>
      <c r="N299" s="14"/>
      <c r="O299" s="14"/>
      <c r="P299" s="14"/>
      <c r="Q299" s="14"/>
      <c r="R299" s="14"/>
      <c r="S299" s="10"/>
      <c r="T299" s="10"/>
      <c r="U299" s="10"/>
      <c r="V299" s="10"/>
      <c r="W299" s="10"/>
      <c r="X299" s="10"/>
      <c r="Y299" s="10"/>
      <c r="Z299" s="10"/>
      <c r="AA299" s="10"/>
      <c r="AB299" s="10"/>
      <c r="AC299" s="10"/>
      <c r="AD299" s="10"/>
      <c r="AE299" s="10"/>
      <c r="AF299" s="10"/>
      <c r="AG299" s="10"/>
      <c r="AH299" s="10"/>
    </row>
    <row r="300" spans="1:34" ht="15.75" hidden="1" customHeight="1">
      <c r="A300" s="13"/>
      <c r="B300" s="14"/>
      <c r="C300" s="14"/>
      <c r="D300" s="14" t="e">
        <f ca="1"/>
        <v>#NAME?</v>
      </c>
      <c r="E300" s="15"/>
      <c r="F300" s="14"/>
      <c r="G300" s="14"/>
      <c r="H300" s="17"/>
      <c r="I300" s="17"/>
      <c r="J300" s="17"/>
      <c r="K300" s="21"/>
      <c r="L300" s="17"/>
      <c r="M300" s="17"/>
      <c r="N300" s="14"/>
      <c r="O300" s="14"/>
      <c r="P300" s="14"/>
      <c r="Q300" s="14"/>
      <c r="R300" s="14"/>
      <c r="S300" s="10"/>
      <c r="T300" s="10"/>
      <c r="U300" s="10"/>
      <c r="V300" s="10"/>
      <c r="W300" s="10"/>
      <c r="X300" s="10"/>
      <c r="Y300" s="10"/>
      <c r="Z300" s="10"/>
      <c r="AA300" s="10"/>
      <c r="AB300" s="10"/>
      <c r="AC300" s="10"/>
      <c r="AD300" s="10"/>
      <c r="AE300" s="10"/>
      <c r="AF300" s="10"/>
      <c r="AG300" s="10"/>
      <c r="AH300" s="10"/>
    </row>
    <row r="301" spans="1:34" ht="15.75" hidden="1" customHeight="1">
      <c r="A301" s="13"/>
      <c r="B301" s="14"/>
      <c r="C301" s="14"/>
      <c r="D301" s="14" t="e">
        <f ca="1"/>
        <v>#NAME?</v>
      </c>
      <c r="E301" s="15"/>
      <c r="F301" s="14"/>
      <c r="G301" s="14"/>
      <c r="H301" s="17"/>
      <c r="I301" s="17"/>
      <c r="J301" s="17"/>
      <c r="K301" s="21"/>
      <c r="L301" s="17"/>
      <c r="M301" s="17"/>
      <c r="N301" s="14"/>
      <c r="O301" s="14"/>
      <c r="P301" s="14"/>
      <c r="Q301" s="14"/>
      <c r="R301" s="14"/>
      <c r="S301" s="10"/>
      <c r="T301" s="10"/>
      <c r="U301" s="10"/>
      <c r="V301" s="10"/>
      <c r="W301" s="10"/>
      <c r="X301" s="10"/>
      <c r="Y301" s="10"/>
      <c r="Z301" s="10"/>
      <c r="AA301" s="10"/>
      <c r="AB301" s="10"/>
      <c r="AC301" s="10"/>
      <c r="AD301" s="10"/>
      <c r="AE301" s="10"/>
      <c r="AF301" s="10"/>
      <c r="AG301" s="10"/>
      <c r="AH301" s="10"/>
    </row>
    <row r="302" spans="1:34" ht="15.75" hidden="1" customHeight="1">
      <c r="A302" s="13"/>
      <c r="B302" s="14"/>
      <c r="C302" s="14"/>
      <c r="D302" s="14" t="e">
        <f ca="1"/>
        <v>#NAME?</v>
      </c>
      <c r="E302" s="15"/>
      <c r="F302" s="14"/>
      <c r="G302" s="14"/>
      <c r="H302" s="17"/>
      <c r="I302" s="17"/>
      <c r="J302" s="17"/>
      <c r="K302" s="21"/>
      <c r="L302" s="17"/>
      <c r="M302" s="17"/>
      <c r="N302" s="14"/>
      <c r="O302" s="14"/>
      <c r="P302" s="14"/>
      <c r="Q302" s="14"/>
      <c r="R302" s="14"/>
      <c r="S302" s="10"/>
      <c r="T302" s="10"/>
      <c r="U302" s="10"/>
      <c r="V302" s="10"/>
      <c r="W302" s="10"/>
      <c r="X302" s="10"/>
      <c r="Y302" s="10"/>
      <c r="Z302" s="10"/>
      <c r="AA302" s="10"/>
      <c r="AB302" s="10"/>
      <c r="AC302" s="10"/>
      <c r="AD302" s="10"/>
      <c r="AE302" s="10"/>
      <c r="AF302" s="10"/>
      <c r="AG302" s="10"/>
      <c r="AH302" s="10"/>
    </row>
    <row r="303" spans="1:34" ht="15.75" hidden="1" customHeight="1">
      <c r="A303" s="13"/>
      <c r="B303" s="14"/>
      <c r="C303" s="14"/>
      <c r="D303" s="14" t="e">
        <f ca="1"/>
        <v>#NAME?</v>
      </c>
      <c r="E303" s="15"/>
      <c r="F303" s="14"/>
      <c r="G303" s="14"/>
      <c r="H303" s="17"/>
      <c r="I303" s="17"/>
      <c r="J303" s="17"/>
      <c r="K303" s="21"/>
      <c r="L303" s="17"/>
      <c r="M303" s="17"/>
      <c r="N303" s="14"/>
      <c r="O303" s="14"/>
      <c r="P303" s="14"/>
      <c r="Q303" s="14"/>
      <c r="R303" s="14"/>
      <c r="S303" s="10"/>
      <c r="T303" s="10"/>
      <c r="U303" s="10"/>
      <c r="V303" s="10"/>
      <c r="W303" s="10"/>
      <c r="X303" s="10"/>
      <c r="Y303" s="10"/>
      <c r="Z303" s="10"/>
      <c r="AA303" s="10"/>
      <c r="AB303" s="10"/>
      <c r="AC303" s="10"/>
      <c r="AD303" s="10"/>
      <c r="AE303" s="10"/>
      <c r="AF303" s="10"/>
      <c r="AG303" s="10"/>
      <c r="AH303" s="10"/>
    </row>
    <row r="304" spans="1:34" ht="15.75" hidden="1" customHeight="1">
      <c r="A304" s="13"/>
      <c r="B304" s="14"/>
      <c r="C304" s="14"/>
      <c r="D304" s="14" t="e">
        <f ca="1"/>
        <v>#NAME?</v>
      </c>
      <c r="E304" s="15"/>
      <c r="F304" s="14"/>
      <c r="G304" s="14"/>
      <c r="H304" s="17"/>
      <c r="I304" s="17"/>
      <c r="J304" s="17"/>
      <c r="K304" s="21"/>
      <c r="L304" s="17"/>
      <c r="M304" s="17"/>
      <c r="N304" s="14"/>
      <c r="O304" s="14"/>
      <c r="P304" s="14"/>
      <c r="Q304" s="14"/>
      <c r="R304" s="14"/>
      <c r="S304" s="10"/>
      <c r="T304" s="10"/>
      <c r="U304" s="10"/>
      <c r="V304" s="10"/>
      <c r="W304" s="10"/>
      <c r="X304" s="10"/>
      <c r="Y304" s="10"/>
      <c r="Z304" s="10"/>
      <c r="AA304" s="10"/>
      <c r="AB304" s="10"/>
      <c r="AC304" s="10"/>
      <c r="AD304" s="10"/>
      <c r="AE304" s="10"/>
      <c r="AF304" s="10"/>
      <c r="AG304" s="10"/>
      <c r="AH304" s="10"/>
    </row>
    <row r="305" spans="1:34" ht="15.75" hidden="1" customHeight="1">
      <c r="A305" s="13"/>
      <c r="B305" s="14"/>
      <c r="C305" s="14"/>
      <c r="D305" s="14" t="e">
        <f ca="1"/>
        <v>#NAME?</v>
      </c>
      <c r="E305" s="15"/>
      <c r="F305" s="14"/>
      <c r="G305" s="14"/>
      <c r="H305" s="17"/>
      <c r="I305" s="17"/>
      <c r="J305" s="17"/>
      <c r="K305" s="21"/>
      <c r="L305" s="17"/>
      <c r="M305" s="17"/>
      <c r="N305" s="14"/>
      <c r="O305" s="14"/>
      <c r="P305" s="14"/>
      <c r="Q305" s="14"/>
      <c r="R305" s="14"/>
      <c r="S305" s="10"/>
      <c r="T305" s="10"/>
      <c r="U305" s="10"/>
      <c r="V305" s="10"/>
      <c r="W305" s="10"/>
      <c r="X305" s="10"/>
      <c r="Y305" s="10"/>
      <c r="Z305" s="10"/>
      <c r="AA305" s="10"/>
      <c r="AB305" s="10"/>
      <c r="AC305" s="10"/>
      <c r="AD305" s="10"/>
      <c r="AE305" s="10"/>
      <c r="AF305" s="10"/>
      <c r="AG305" s="10"/>
      <c r="AH305" s="10"/>
    </row>
    <row r="306" spans="1:34" ht="15.75" hidden="1" customHeight="1">
      <c r="A306" s="13"/>
      <c r="B306" s="14"/>
      <c r="C306" s="14"/>
      <c r="D306" s="14" t="e">
        <f ca="1"/>
        <v>#NAME?</v>
      </c>
      <c r="E306" s="15"/>
      <c r="F306" s="14"/>
      <c r="G306" s="14"/>
      <c r="H306" s="17"/>
      <c r="I306" s="17"/>
      <c r="J306" s="17"/>
      <c r="K306" s="21"/>
      <c r="L306" s="17"/>
      <c r="M306" s="17"/>
      <c r="N306" s="14"/>
      <c r="O306" s="14"/>
      <c r="P306" s="14"/>
      <c r="Q306" s="14"/>
      <c r="R306" s="14"/>
      <c r="S306" s="10"/>
      <c r="T306" s="10"/>
      <c r="U306" s="10"/>
      <c r="V306" s="10"/>
      <c r="W306" s="10"/>
      <c r="X306" s="10"/>
      <c r="Y306" s="10"/>
      <c r="Z306" s="10"/>
      <c r="AA306" s="10"/>
      <c r="AB306" s="10"/>
      <c r="AC306" s="10"/>
      <c r="AD306" s="10"/>
      <c r="AE306" s="10"/>
      <c r="AF306" s="10"/>
      <c r="AG306" s="10"/>
      <c r="AH306" s="10"/>
    </row>
    <row r="307" spans="1:34" ht="15.75" hidden="1" customHeight="1">
      <c r="A307" s="13"/>
      <c r="B307" s="14"/>
      <c r="C307" s="14"/>
      <c r="D307" s="14" t="e">
        <f ca="1"/>
        <v>#NAME?</v>
      </c>
      <c r="E307" s="15"/>
      <c r="F307" s="14"/>
      <c r="G307" s="14"/>
      <c r="H307" s="17"/>
      <c r="I307" s="17"/>
      <c r="J307" s="17"/>
      <c r="K307" s="21"/>
      <c r="L307" s="17"/>
      <c r="M307" s="17"/>
      <c r="N307" s="14"/>
      <c r="O307" s="14"/>
      <c r="P307" s="14"/>
      <c r="Q307" s="14"/>
      <c r="R307" s="14"/>
      <c r="S307" s="10"/>
      <c r="T307" s="10"/>
      <c r="U307" s="10"/>
      <c r="V307" s="10"/>
      <c r="W307" s="10"/>
      <c r="X307" s="10"/>
      <c r="Y307" s="10"/>
      <c r="Z307" s="10"/>
      <c r="AA307" s="10"/>
      <c r="AB307" s="10"/>
      <c r="AC307" s="10"/>
      <c r="AD307" s="10"/>
      <c r="AE307" s="10"/>
      <c r="AF307" s="10"/>
      <c r="AG307" s="10"/>
      <c r="AH307" s="10"/>
    </row>
    <row r="308" spans="1:34" ht="15.75" hidden="1" customHeight="1">
      <c r="A308" s="13"/>
      <c r="B308" s="14"/>
      <c r="C308" s="14"/>
      <c r="D308" s="14" t="e">
        <f ca="1"/>
        <v>#NAME?</v>
      </c>
      <c r="E308" s="15"/>
      <c r="F308" s="14"/>
      <c r="G308" s="14"/>
      <c r="H308" s="17"/>
      <c r="I308" s="17"/>
      <c r="J308" s="17"/>
      <c r="K308" s="21"/>
      <c r="L308" s="17"/>
      <c r="M308" s="17"/>
      <c r="N308" s="14"/>
      <c r="O308" s="14"/>
      <c r="P308" s="14"/>
      <c r="Q308" s="14"/>
      <c r="R308" s="14"/>
      <c r="S308" s="10"/>
      <c r="T308" s="10"/>
      <c r="U308" s="10"/>
      <c r="V308" s="10"/>
      <c r="W308" s="10"/>
      <c r="X308" s="10"/>
      <c r="Y308" s="10"/>
      <c r="Z308" s="10"/>
      <c r="AA308" s="10"/>
      <c r="AB308" s="10"/>
      <c r="AC308" s="10"/>
      <c r="AD308" s="10"/>
      <c r="AE308" s="10"/>
      <c r="AF308" s="10"/>
      <c r="AG308" s="10"/>
      <c r="AH308" s="10"/>
    </row>
    <row r="309" spans="1:34" ht="15.75" hidden="1" customHeight="1">
      <c r="A309" s="13"/>
      <c r="B309" s="14"/>
      <c r="C309" s="14"/>
      <c r="D309" s="14" t="e">
        <f ca="1"/>
        <v>#NAME?</v>
      </c>
      <c r="E309" s="15"/>
      <c r="F309" s="14"/>
      <c r="G309" s="14"/>
      <c r="H309" s="17"/>
      <c r="I309" s="17"/>
      <c r="J309" s="17"/>
      <c r="K309" s="21"/>
      <c r="L309" s="17"/>
      <c r="M309" s="17"/>
      <c r="N309" s="14"/>
      <c r="O309" s="14"/>
      <c r="P309" s="14"/>
      <c r="Q309" s="14"/>
      <c r="R309" s="14"/>
      <c r="S309" s="10"/>
      <c r="T309" s="10"/>
      <c r="U309" s="10"/>
      <c r="V309" s="10"/>
      <c r="W309" s="10"/>
      <c r="X309" s="10"/>
      <c r="Y309" s="10"/>
      <c r="Z309" s="10"/>
      <c r="AA309" s="10"/>
      <c r="AB309" s="10"/>
      <c r="AC309" s="10"/>
      <c r="AD309" s="10"/>
      <c r="AE309" s="10"/>
      <c r="AF309" s="10"/>
      <c r="AG309" s="10"/>
      <c r="AH309" s="10"/>
    </row>
    <row r="310" spans="1:34" ht="15.75" hidden="1" customHeight="1">
      <c r="A310" s="13"/>
      <c r="B310" s="14"/>
      <c r="C310" s="14"/>
      <c r="D310" s="14" t="e">
        <f ca="1"/>
        <v>#NAME?</v>
      </c>
      <c r="E310" s="15"/>
      <c r="F310" s="14"/>
      <c r="G310" s="14"/>
      <c r="H310" s="17"/>
      <c r="I310" s="17"/>
      <c r="J310" s="17"/>
      <c r="K310" s="21"/>
      <c r="L310" s="17"/>
      <c r="M310" s="17"/>
      <c r="N310" s="14"/>
      <c r="O310" s="14"/>
      <c r="P310" s="14"/>
      <c r="Q310" s="14"/>
      <c r="R310" s="14"/>
      <c r="S310" s="10"/>
      <c r="T310" s="10"/>
      <c r="U310" s="10"/>
      <c r="V310" s="10"/>
      <c r="W310" s="10"/>
      <c r="X310" s="10"/>
      <c r="Y310" s="10"/>
      <c r="Z310" s="10"/>
      <c r="AA310" s="10"/>
      <c r="AB310" s="10"/>
      <c r="AC310" s="10"/>
      <c r="AD310" s="10"/>
      <c r="AE310" s="10"/>
      <c r="AF310" s="10"/>
      <c r="AG310" s="10"/>
      <c r="AH310" s="10"/>
    </row>
    <row r="311" spans="1:34" ht="15.75" hidden="1" customHeight="1">
      <c r="A311" s="13"/>
      <c r="B311" s="14"/>
      <c r="C311" s="14"/>
      <c r="D311" s="14" t="e">
        <f ca="1"/>
        <v>#NAME?</v>
      </c>
      <c r="E311" s="15"/>
      <c r="F311" s="14"/>
      <c r="G311" s="14"/>
      <c r="H311" s="17"/>
      <c r="I311" s="17"/>
      <c r="J311" s="17"/>
      <c r="K311" s="21"/>
      <c r="L311" s="17"/>
      <c r="M311" s="17"/>
      <c r="N311" s="14"/>
      <c r="O311" s="14"/>
      <c r="P311" s="14"/>
      <c r="Q311" s="14"/>
      <c r="R311" s="14"/>
      <c r="S311" s="10"/>
      <c r="T311" s="10"/>
      <c r="U311" s="10"/>
      <c r="V311" s="10"/>
      <c r="W311" s="10"/>
      <c r="X311" s="10"/>
      <c r="Y311" s="10"/>
      <c r="Z311" s="10"/>
      <c r="AA311" s="10"/>
      <c r="AB311" s="10"/>
      <c r="AC311" s="10"/>
      <c r="AD311" s="10"/>
      <c r="AE311" s="10"/>
      <c r="AF311" s="10"/>
      <c r="AG311" s="10"/>
      <c r="AH311" s="10"/>
    </row>
    <row r="312" spans="1:34" ht="15.75" hidden="1" customHeight="1">
      <c r="A312" s="13"/>
      <c r="B312" s="14"/>
      <c r="C312" s="14"/>
      <c r="D312" s="14" t="e">
        <f ca="1"/>
        <v>#NAME?</v>
      </c>
      <c r="E312" s="15"/>
      <c r="F312" s="14"/>
      <c r="G312" s="14"/>
      <c r="H312" s="17"/>
      <c r="I312" s="17"/>
      <c r="J312" s="17"/>
      <c r="K312" s="21"/>
      <c r="L312" s="17"/>
      <c r="M312" s="17"/>
      <c r="N312" s="14"/>
      <c r="O312" s="14"/>
      <c r="P312" s="14"/>
      <c r="Q312" s="14"/>
      <c r="R312" s="14"/>
      <c r="S312" s="10"/>
      <c r="T312" s="10"/>
      <c r="U312" s="10"/>
      <c r="V312" s="10"/>
      <c r="W312" s="10"/>
      <c r="X312" s="10"/>
      <c r="Y312" s="10"/>
      <c r="Z312" s="10"/>
      <c r="AA312" s="10"/>
      <c r="AB312" s="10"/>
      <c r="AC312" s="10"/>
      <c r="AD312" s="10"/>
      <c r="AE312" s="10"/>
      <c r="AF312" s="10"/>
      <c r="AG312" s="10"/>
      <c r="AH312" s="10"/>
    </row>
    <row r="313" spans="1:34" ht="15.75" hidden="1" customHeight="1">
      <c r="A313" s="13"/>
      <c r="B313" s="14"/>
      <c r="C313" s="14"/>
      <c r="D313" s="14" t="e">
        <f ca="1"/>
        <v>#NAME?</v>
      </c>
      <c r="E313" s="15"/>
      <c r="F313" s="14"/>
      <c r="G313" s="14"/>
      <c r="H313" s="17"/>
      <c r="I313" s="17"/>
      <c r="J313" s="17"/>
      <c r="K313" s="21"/>
      <c r="L313" s="17"/>
      <c r="M313" s="17"/>
      <c r="N313" s="14"/>
      <c r="O313" s="14"/>
      <c r="P313" s="14"/>
      <c r="Q313" s="14"/>
      <c r="R313" s="14"/>
      <c r="S313" s="10"/>
      <c r="T313" s="10"/>
      <c r="U313" s="10"/>
      <c r="V313" s="10"/>
      <c r="W313" s="10"/>
      <c r="X313" s="10"/>
      <c r="Y313" s="10"/>
      <c r="Z313" s="10"/>
      <c r="AA313" s="10"/>
      <c r="AB313" s="10"/>
      <c r="AC313" s="10"/>
      <c r="AD313" s="10"/>
      <c r="AE313" s="10"/>
      <c r="AF313" s="10"/>
      <c r="AG313" s="10"/>
      <c r="AH313" s="10"/>
    </row>
    <row r="314" spans="1:34" ht="15.75" hidden="1" customHeight="1">
      <c r="A314" s="13"/>
      <c r="B314" s="14"/>
      <c r="C314" s="14"/>
      <c r="D314" s="14" t="e">
        <f ca="1"/>
        <v>#NAME?</v>
      </c>
      <c r="E314" s="15"/>
      <c r="F314" s="14"/>
      <c r="G314" s="14"/>
      <c r="H314" s="17"/>
      <c r="I314" s="17"/>
      <c r="J314" s="17"/>
      <c r="K314" s="21"/>
      <c r="L314" s="17"/>
      <c r="M314" s="17"/>
      <c r="N314" s="14"/>
      <c r="O314" s="14"/>
      <c r="P314" s="14"/>
      <c r="Q314" s="14"/>
      <c r="R314" s="14"/>
      <c r="S314" s="10"/>
      <c r="T314" s="10"/>
      <c r="U314" s="10"/>
      <c r="V314" s="10"/>
      <c r="W314" s="10"/>
      <c r="X314" s="10"/>
      <c r="Y314" s="10"/>
      <c r="Z314" s="10"/>
      <c r="AA314" s="10"/>
      <c r="AB314" s="10"/>
      <c r="AC314" s="10"/>
      <c r="AD314" s="10"/>
      <c r="AE314" s="10"/>
      <c r="AF314" s="10"/>
      <c r="AG314" s="10"/>
      <c r="AH314" s="10"/>
    </row>
    <row r="315" spans="1:34" ht="15.75" hidden="1" customHeight="1">
      <c r="A315" s="13"/>
      <c r="B315" s="14"/>
      <c r="C315" s="14"/>
      <c r="D315" s="14" t="e">
        <f ca="1"/>
        <v>#NAME?</v>
      </c>
      <c r="E315" s="15"/>
      <c r="F315" s="14"/>
      <c r="G315" s="14"/>
      <c r="H315" s="17"/>
      <c r="I315" s="17"/>
      <c r="J315" s="17"/>
      <c r="K315" s="21"/>
      <c r="L315" s="17"/>
      <c r="M315" s="17"/>
      <c r="N315" s="14"/>
      <c r="O315" s="14"/>
      <c r="P315" s="14"/>
      <c r="Q315" s="14"/>
      <c r="R315" s="14"/>
      <c r="S315" s="10"/>
      <c r="T315" s="10"/>
      <c r="U315" s="10"/>
      <c r="V315" s="10"/>
      <c r="W315" s="10"/>
      <c r="X315" s="10"/>
      <c r="Y315" s="10"/>
      <c r="Z315" s="10"/>
      <c r="AA315" s="10"/>
      <c r="AB315" s="10"/>
      <c r="AC315" s="10"/>
      <c r="AD315" s="10"/>
      <c r="AE315" s="10"/>
      <c r="AF315" s="10"/>
      <c r="AG315" s="10"/>
      <c r="AH315" s="10"/>
    </row>
    <row r="316" spans="1:34" ht="15.75" hidden="1" customHeight="1">
      <c r="A316" s="13"/>
      <c r="B316" s="14"/>
      <c r="C316" s="14"/>
      <c r="D316" s="14" t="e">
        <f ca="1"/>
        <v>#NAME?</v>
      </c>
      <c r="E316" s="15"/>
      <c r="F316" s="14"/>
      <c r="G316" s="14"/>
      <c r="H316" s="17"/>
      <c r="I316" s="17"/>
      <c r="J316" s="17"/>
      <c r="K316" s="21"/>
      <c r="L316" s="17"/>
      <c r="M316" s="17"/>
      <c r="N316" s="14"/>
      <c r="O316" s="14"/>
      <c r="P316" s="14"/>
      <c r="Q316" s="14"/>
      <c r="R316" s="14"/>
      <c r="S316" s="10"/>
      <c r="T316" s="10"/>
      <c r="U316" s="10"/>
      <c r="V316" s="10"/>
      <c r="W316" s="10"/>
      <c r="X316" s="10"/>
      <c r="Y316" s="10"/>
      <c r="Z316" s="10"/>
      <c r="AA316" s="10"/>
      <c r="AB316" s="10"/>
      <c r="AC316" s="10"/>
      <c r="AD316" s="10"/>
      <c r="AE316" s="10"/>
      <c r="AF316" s="10"/>
      <c r="AG316" s="10"/>
      <c r="AH316" s="10"/>
    </row>
    <row r="317" spans="1:34" ht="15.75" hidden="1" customHeight="1">
      <c r="A317" s="13"/>
      <c r="B317" s="14"/>
      <c r="C317" s="14"/>
      <c r="D317" s="14" t="e">
        <f ca="1"/>
        <v>#NAME?</v>
      </c>
      <c r="E317" s="15"/>
      <c r="F317" s="14"/>
      <c r="G317" s="14"/>
      <c r="H317" s="17"/>
      <c r="I317" s="17"/>
      <c r="J317" s="17"/>
      <c r="K317" s="21"/>
      <c r="L317" s="17"/>
      <c r="M317" s="17"/>
      <c r="N317" s="14"/>
      <c r="O317" s="14"/>
      <c r="P317" s="14"/>
      <c r="Q317" s="14"/>
      <c r="R317" s="14"/>
      <c r="S317" s="10"/>
      <c r="T317" s="10"/>
      <c r="U317" s="10"/>
      <c r="V317" s="10"/>
      <c r="W317" s="10"/>
      <c r="X317" s="10"/>
      <c r="Y317" s="10"/>
      <c r="Z317" s="10"/>
      <c r="AA317" s="10"/>
      <c r="AB317" s="10"/>
      <c r="AC317" s="10"/>
      <c r="AD317" s="10"/>
      <c r="AE317" s="10"/>
      <c r="AF317" s="10"/>
      <c r="AG317" s="10"/>
      <c r="AH317" s="10"/>
    </row>
    <row r="318" spans="1:34" ht="15.75" hidden="1" customHeight="1">
      <c r="A318" s="13"/>
      <c r="B318" s="14"/>
      <c r="C318" s="14"/>
      <c r="D318" s="14" t="e">
        <f ca="1"/>
        <v>#NAME?</v>
      </c>
      <c r="E318" s="15"/>
      <c r="F318" s="14"/>
      <c r="G318" s="14"/>
      <c r="H318" s="17"/>
      <c r="I318" s="17"/>
      <c r="J318" s="17"/>
      <c r="K318" s="21"/>
      <c r="L318" s="17"/>
      <c r="M318" s="17"/>
      <c r="N318" s="14"/>
      <c r="O318" s="14"/>
      <c r="P318" s="14"/>
      <c r="Q318" s="14"/>
      <c r="R318" s="14"/>
      <c r="S318" s="10"/>
      <c r="T318" s="10"/>
      <c r="U318" s="10"/>
      <c r="V318" s="10"/>
      <c r="W318" s="10"/>
      <c r="X318" s="10"/>
      <c r="Y318" s="10"/>
      <c r="Z318" s="10"/>
      <c r="AA318" s="10"/>
      <c r="AB318" s="10"/>
      <c r="AC318" s="10"/>
      <c r="AD318" s="10"/>
      <c r="AE318" s="10"/>
      <c r="AF318" s="10"/>
      <c r="AG318" s="10"/>
      <c r="AH318" s="10"/>
    </row>
    <row r="319" spans="1:34" ht="15.75" hidden="1" customHeight="1">
      <c r="A319" s="13"/>
      <c r="B319" s="14"/>
      <c r="C319" s="14"/>
      <c r="D319" s="14" t="e">
        <f ca="1"/>
        <v>#NAME?</v>
      </c>
      <c r="E319" s="15"/>
      <c r="F319" s="14"/>
      <c r="G319" s="14"/>
      <c r="H319" s="17"/>
      <c r="I319" s="17"/>
      <c r="J319" s="17"/>
      <c r="K319" s="21"/>
      <c r="L319" s="17"/>
      <c r="M319" s="17"/>
      <c r="N319" s="14"/>
      <c r="O319" s="14"/>
      <c r="P319" s="14"/>
      <c r="Q319" s="14"/>
      <c r="R319" s="14"/>
      <c r="S319" s="10"/>
      <c r="T319" s="10"/>
      <c r="U319" s="10"/>
      <c r="V319" s="10"/>
      <c r="W319" s="10"/>
      <c r="X319" s="10"/>
      <c r="Y319" s="10"/>
      <c r="Z319" s="10"/>
      <c r="AA319" s="10"/>
      <c r="AB319" s="10"/>
      <c r="AC319" s="10"/>
      <c r="AD319" s="10"/>
      <c r="AE319" s="10"/>
      <c r="AF319" s="10"/>
      <c r="AG319" s="10"/>
      <c r="AH319" s="10"/>
    </row>
    <row r="320" spans="1:34" ht="15.75" hidden="1" customHeight="1">
      <c r="A320" s="13"/>
      <c r="B320" s="14"/>
      <c r="C320" s="14"/>
      <c r="D320" s="14" t="e">
        <f ca="1"/>
        <v>#NAME?</v>
      </c>
      <c r="E320" s="15"/>
      <c r="F320" s="14"/>
      <c r="G320" s="14"/>
      <c r="H320" s="17"/>
      <c r="I320" s="17"/>
      <c r="J320" s="17"/>
      <c r="K320" s="21"/>
      <c r="L320" s="17"/>
      <c r="M320" s="17"/>
      <c r="N320" s="14"/>
      <c r="O320" s="14"/>
      <c r="P320" s="14"/>
      <c r="Q320" s="14"/>
      <c r="R320" s="14"/>
      <c r="S320" s="10"/>
      <c r="T320" s="10"/>
      <c r="U320" s="10"/>
      <c r="V320" s="10"/>
      <c r="W320" s="10"/>
      <c r="X320" s="10"/>
      <c r="Y320" s="10"/>
      <c r="Z320" s="10"/>
      <c r="AA320" s="10"/>
      <c r="AB320" s="10"/>
      <c r="AC320" s="10"/>
      <c r="AD320" s="10"/>
      <c r="AE320" s="10"/>
      <c r="AF320" s="10"/>
      <c r="AG320" s="10"/>
      <c r="AH320" s="10"/>
    </row>
    <row r="321" spans="1:34" ht="15.75" hidden="1" customHeight="1">
      <c r="A321" s="13"/>
      <c r="B321" s="14"/>
      <c r="C321" s="14"/>
      <c r="D321" s="14" t="e">
        <f ca="1"/>
        <v>#NAME?</v>
      </c>
      <c r="E321" s="15"/>
      <c r="F321" s="14"/>
      <c r="G321" s="14"/>
      <c r="H321" s="17"/>
      <c r="I321" s="17"/>
      <c r="J321" s="17"/>
      <c r="K321" s="21"/>
      <c r="L321" s="17"/>
      <c r="M321" s="17"/>
      <c r="N321" s="14"/>
      <c r="O321" s="14"/>
      <c r="P321" s="14"/>
      <c r="Q321" s="14"/>
      <c r="R321" s="14"/>
      <c r="S321" s="10"/>
      <c r="T321" s="10"/>
      <c r="U321" s="10"/>
      <c r="V321" s="10"/>
      <c r="W321" s="10"/>
      <c r="X321" s="10"/>
      <c r="Y321" s="10"/>
      <c r="Z321" s="10"/>
      <c r="AA321" s="10"/>
      <c r="AB321" s="10"/>
      <c r="AC321" s="10"/>
      <c r="AD321" s="10"/>
      <c r="AE321" s="10"/>
      <c r="AF321" s="10"/>
      <c r="AG321" s="10"/>
      <c r="AH321" s="10"/>
    </row>
    <row r="322" spans="1:34" ht="15.75" hidden="1" customHeight="1">
      <c r="A322" s="13"/>
      <c r="B322" s="14"/>
      <c r="C322" s="14"/>
      <c r="D322" s="14" t="e">
        <f ca="1"/>
        <v>#NAME?</v>
      </c>
      <c r="E322" s="15"/>
      <c r="F322" s="14"/>
      <c r="G322" s="14"/>
      <c r="H322" s="17"/>
      <c r="I322" s="17"/>
      <c r="J322" s="17"/>
      <c r="K322" s="21"/>
      <c r="L322" s="17"/>
      <c r="M322" s="17"/>
      <c r="N322" s="14"/>
      <c r="O322" s="14"/>
      <c r="P322" s="14"/>
      <c r="Q322" s="14"/>
      <c r="R322" s="14"/>
      <c r="S322" s="10"/>
      <c r="T322" s="10"/>
      <c r="U322" s="10"/>
      <c r="V322" s="10"/>
      <c r="W322" s="10"/>
      <c r="X322" s="10"/>
      <c r="Y322" s="10"/>
      <c r="Z322" s="10"/>
      <c r="AA322" s="10"/>
      <c r="AB322" s="10"/>
      <c r="AC322" s="10"/>
      <c r="AD322" s="10"/>
      <c r="AE322" s="10"/>
      <c r="AF322" s="10"/>
      <c r="AG322" s="10"/>
      <c r="AH322" s="10"/>
    </row>
    <row r="323" spans="1:34" ht="15.75" hidden="1" customHeight="1">
      <c r="A323" s="13"/>
      <c r="B323" s="14"/>
      <c r="C323" s="14"/>
      <c r="D323" s="14" t="e">
        <f ca="1"/>
        <v>#NAME?</v>
      </c>
      <c r="E323" s="15"/>
      <c r="F323" s="14"/>
      <c r="G323" s="14"/>
      <c r="H323" s="17"/>
      <c r="I323" s="17"/>
      <c r="J323" s="17"/>
      <c r="K323" s="21"/>
      <c r="L323" s="17"/>
      <c r="M323" s="17"/>
      <c r="N323" s="14"/>
      <c r="O323" s="14"/>
      <c r="P323" s="14"/>
      <c r="Q323" s="14"/>
      <c r="R323" s="14"/>
      <c r="S323" s="10"/>
      <c r="T323" s="10"/>
      <c r="U323" s="10"/>
      <c r="V323" s="10"/>
      <c r="W323" s="10"/>
      <c r="X323" s="10"/>
      <c r="Y323" s="10"/>
      <c r="Z323" s="10"/>
      <c r="AA323" s="10"/>
      <c r="AB323" s="10"/>
      <c r="AC323" s="10"/>
      <c r="AD323" s="10"/>
      <c r="AE323" s="10"/>
      <c r="AF323" s="10"/>
      <c r="AG323" s="10"/>
      <c r="AH323" s="10"/>
    </row>
    <row r="324" spans="1:34" ht="15.75" hidden="1" customHeight="1">
      <c r="A324" s="13"/>
      <c r="B324" s="14"/>
      <c r="C324" s="14"/>
      <c r="D324" s="14" t="e">
        <f ca="1"/>
        <v>#NAME?</v>
      </c>
      <c r="E324" s="15"/>
      <c r="F324" s="14"/>
      <c r="G324" s="14"/>
      <c r="H324" s="17"/>
      <c r="I324" s="17"/>
      <c r="J324" s="17"/>
      <c r="K324" s="21"/>
      <c r="L324" s="17"/>
      <c r="M324" s="17"/>
      <c r="N324" s="14"/>
      <c r="O324" s="14"/>
      <c r="P324" s="14"/>
      <c r="Q324" s="14"/>
      <c r="R324" s="14"/>
      <c r="S324" s="10"/>
      <c r="T324" s="10"/>
      <c r="U324" s="10"/>
      <c r="V324" s="10"/>
      <c r="W324" s="10"/>
      <c r="X324" s="10"/>
      <c r="Y324" s="10"/>
      <c r="Z324" s="10"/>
      <c r="AA324" s="10"/>
      <c r="AB324" s="10"/>
      <c r="AC324" s="10"/>
      <c r="AD324" s="10"/>
      <c r="AE324" s="10"/>
      <c r="AF324" s="10"/>
      <c r="AG324" s="10"/>
      <c r="AH324" s="10"/>
    </row>
    <row r="325" spans="1:34" ht="15.75" hidden="1" customHeight="1">
      <c r="A325" s="13"/>
      <c r="B325" s="14"/>
      <c r="C325" s="14"/>
      <c r="D325" s="14" t="e">
        <f ca="1"/>
        <v>#NAME?</v>
      </c>
      <c r="E325" s="15"/>
      <c r="F325" s="14"/>
      <c r="G325" s="14"/>
      <c r="H325" s="17"/>
      <c r="I325" s="17"/>
      <c r="J325" s="17"/>
      <c r="K325" s="21"/>
      <c r="L325" s="17"/>
      <c r="M325" s="17"/>
      <c r="N325" s="14"/>
      <c r="O325" s="14"/>
      <c r="P325" s="14"/>
      <c r="Q325" s="14"/>
      <c r="R325" s="14"/>
      <c r="S325" s="10"/>
      <c r="T325" s="10"/>
      <c r="U325" s="10"/>
      <c r="V325" s="10"/>
      <c r="W325" s="10"/>
      <c r="X325" s="10"/>
      <c r="Y325" s="10"/>
      <c r="Z325" s="10"/>
      <c r="AA325" s="10"/>
      <c r="AB325" s="10"/>
      <c r="AC325" s="10"/>
      <c r="AD325" s="10"/>
      <c r="AE325" s="10"/>
      <c r="AF325" s="10"/>
      <c r="AG325" s="10"/>
      <c r="AH325" s="10"/>
    </row>
    <row r="326" spans="1:34" ht="15.75" hidden="1" customHeight="1">
      <c r="A326" s="13"/>
      <c r="B326" s="14"/>
      <c r="C326" s="14"/>
      <c r="D326" s="14" t="e">
        <f ca="1"/>
        <v>#NAME?</v>
      </c>
      <c r="E326" s="15"/>
      <c r="F326" s="14"/>
      <c r="G326" s="14"/>
      <c r="H326" s="17"/>
      <c r="I326" s="17"/>
      <c r="J326" s="17"/>
      <c r="K326" s="21"/>
      <c r="L326" s="17"/>
      <c r="M326" s="17"/>
      <c r="N326" s="14"/>
      <c r="O326" s="14"/>
      <c r="P326" s="14"/>
      <c r="Q326" s="14"/>
      <c r="R326" s="14"/>
      <c r="S326" s="10"/>
      <c r="T326" s="10"/>
      <c r="U326" s="10"/>
      <c r="V326" s="10"/>
      <c r="W326" s="10"/>
      <c r="X326" s="10"/>
      <c r="Y326" s="10"/>
      <c r="Z326" s="10"/>
      <c r="AA326" s="10"/>
      <c r="AB326" s="10"/>
      <c r="AC326" s="10"/>
      <c r="AD326" s="10"/>
      <c r="AE326" s="10"/>
      <c r="AF326" s="10"/>
      <c r="AG326" s="10"/>
      <c r="AH326" s="10"/>
    </row>
    <row r="327" spans="1:34" ht="15.75" hidden="1" customHeight="1">
      <c r="A327" s="13"/>
      <c r="B327" s="14"/>
      <c r="C327" s="14"/>
      <c r="D327" s="14" t="e">
        <f ca="1"/>
        <v>#NAME?</v>
      </c>
      <c r="E327" s="15"/>
      <c r="F327" s="14"/>
      <c r="G327" s="14"/>
      <c r="H327" s="17"/>
      <c r="I327" s="17"/>
      <c r="J327" s="17"/>
      <c r="K327" s="21"/>
      <c r="L327" s="17"/>
      <c r="M327" s="17"/>
      <c r="N327" s="14"/>
      <c r="O327" s="14"/>
      <c r="P327" s="14"/>
      <c r="Q327" s="14"/>
      <c r="R327" s="14"/>
      <c r="S327" s="10"/>
      <c r="T327" s="10"/>
      <c r="U327" s="10"/>
      <c r="V327" s="10"/>
      <c r="W327" s="10"/>
      <c r="X327" s="10"/>
      <c r="Y327" s="10"/>
      <c r="Z327" s="10"/>
      <c r="AA327" s="10"/>
      <c r="AB327" s="10"/>
      <c r="AC327" s="10"/>
      <c r="AD327" s="10"/>
      <c r="AE327" s="10"/>
      <c r="AF327" s="10"/>
      <c r="AG327" s="10"/>
      <c r="AH327" s="10"/>
    </row>
    <row r="328" spans="1:34" ht="15.75" hidden="1" customHeight="1">
      <c r="A328" s="13"/>
      <c r="B328" s="14"/>
      <c r="C328" s="14"/>
      <c r="D328" s="14" t="e">
        <f ca="1"/>
        <v>#NAME?</v>
      </c>
      <c r="E328" s="15"/>
      <c r="F328" s="14"/>
      <c r="G328" s="14"/>
      <c r="H328" s="17"/>
      <c r="I328" s="17"/>
      <c r="J328" s="17"/>
      <c r="K328" s="21"/>
      <c r="L328" s="17"/>
      <c r="M328" s="17"/>
      <c r="N328" s="14"/>
      <c r="O328" s="14"/>
      <c r="P328" s="14"/>
      <c r="Q328" s="14"/>
      <c r="R328" s="14"/>
      <c r="S328" s="10"/>
      <c r="T328" s="10"/>
      <c r="U328" s="10"/>
      <c r="V328" s="10"/>
      <c r="W328" s="10"/>
      <c r="X328" s="10"/>
      <c r="Y328" s="10"/>
      <c r="Z328" s="10"/>
      <c r="AA328" s="10"/>
      <c r="AB328" s="10"/>
      <c r="AC328" s="10"/>
      <c r="AD328" s="10"/>
      <c r="AE328" s="10"/>
      <c r="AF328" s="10"/>
      <c r="AG328" s="10"/>
      <c r="AH328" s="10"/>
    </row>
    <row r="329" spans="1:34" ht="15.75" hidden="1" customHeight="1">
      <c r="A329" s="13"/>
      <c r="B329" s="14"/>
      <c r="C329" s="14"/>
      <c r="D329" s="14" t="e">
        <f ca="1"/>
        <v>#NAME?</v>
      </c>
      <c r="E329" s="15"/>
      <c r="F329" s="14"/>
      <c r="G329" s="14"/>
      <c r="H329" s="17"/>
      <c r="I329" s="17"/>
      <c r="J329" s="17"/>
      <c r="K329" s="21"/>
      <c r="L329" s="17"/>
      <c r="M329" s="17"/>
      <c r="N329" s="14"/>
      <c r="O329" s="14"/>
      <c r="P329" s="14"/>
      <c r="Q329" s="14"/>
      <c r="R329" s="14"/>
      <c r="S329" s="10"/>
      <c r="T329" s="10"/>
      <c r="U329" s="10"/>
      <c r="V329" s="10"/>
      <c r="W329" s="10"/>
      <c r="X329" s="10"/>
      <c r="Y329" s="10"/>
      <c r="Z329" s="10"/>
      <c r="AA329" s="10"/>
      <c r="AB329" s="10"/>
      <c r="AC329" s="10"/>
      <c r="AD329" s="10"/>
      <c r="AE329" s="10"/>
      <c r="AF329" s="10"/>
      <c r="AG329" s="10"/>
      <c r="AH329" s="10"/>
    </row>
    <row r="330" spans="1:34" ht="15.75" hidden="1" customHeight="1">
      <c r="A330" s="13"/>
      <c r="B330" s="14"/>
      <c r="C330" s="14"/>
      <c r="D330" s="14" t="e">
        <f ca="1"/>
        <v>#NAME?</v>
      </c>
      <c r="E330" s="15"/>
      <c r="F330" s="14"/>
      <c r="G330" s="14"/>
      <c r="H330" s="17"/>
      <c r="I330" s="17"/>
      <c r="J330" s="17"/>
      <c r="K330" s="21"/>
      <c r="L330" s="17"/>
      <c r="M330" s="17"/>
      <c r="N330" s="14"/>
      <c r="O330" s="14"/>
      <c r="P330" s="14"/>
      <c r="Q330" s="14"/>
      <c r="R330" s="14"/>
      <c r="S330" s="10"/>
      <c r="T330" s="10"/>
      <c r="U330" s="10"/>
      <c r="V330" s="10"/>
      <c r="W330" s="10"/>
      <c r="X330" s="10"/>
      <c r="Y330" s="10"/>
      <c r="Z330" s="10"/>
      <c r="AA330" s="10"/>
      <c r="AB330" s="10"/>
      <c r="AC330" s="10"/>
      <c r="AD330" s="10"/>
      <c r="AE330" s="10"/>
      <c r="AF330" s="10"/>
      <c r="AG330" s="10"/>
      <c r="AH330" s="10"/>
    </row>
    <row r="331" spans="1:34" ht="15.75" hidden="1" customHeight="1">
      <c r="A331" s="13"/>
      <c r="B331" s="14"/>
      <c r="C331" s="14"/>
      <c r="D331" s="14" t="e">
        <f ca="1"/>
        <v>#NAME?</v>
      </c>
      <c r="E331" s="15"/>
      <c r="F331" s="14"/>
      <c r="G331" s="14"/>
      <c r="H331" s="17"/>
      <c r="I331" s="17"/>
      <c r="J331" s="17"/>
      <c r="K331" s="21"/>
      <c r="L331" s="17"/>
      <c r="M331" s="17"/>
      <c r="N331" s="14"/>
      <c r="O331" s="14"/>
      <c r="P331" s="14"/>
      <c r="Q331" s="14"/>
      <c r="R331" s="14"/>
      <c r="S331" s="10"/>
      <c r="T331" s="10"/>
      <c r="U331" s="10"/>
      <c r="V331" s="10"/>
      <c r="W331" s="10"/>
      <c r="X331" s="10"/>
      <c r="Y331" s="10"/>
      <c r="Z331" s="10"/>
      <c r="AA331" s="10"/>
      <c r="AB331" s="10"/>
      <c r="AC331" s="10"/>
      <c r="AD331" s="10"/>
      <c r="AE331" s="10"/>
      <c r="AF331" s="10"/>
      <c r="AG331" s="10"/>
      <c r="AH331" s="10"/>
    </row>
    <row r="332" spans="1:34" ht="15.75" hidden="1" customHeight="1">
      <c r="A332" s="13"/>
      <c r="B332" s="14"/>
      <c r="C332" s="14"/>
      <c r="D332" s="14" t="e">
        <f ca="1"/>
        <v>#NAME?</v>
      </c>
      <c r="E332" s="15"/>
      <c r="F332" s="14"/>
      <c r="G332" s="14"/>
      <c r="H332" s="17"/>
      <c r="I332" s="17"/>
      <c r="J332" s="17"/>
      <c r="K332" s="21"/>
      <c r="L332" s="17"/>
      <c r="M332" s="17"/>
      <c r="N332" s="14"/>
      <c r="O332" s="14"/>
      <c r="P332" s="14"/>
      <c r="Q332" s="14"/>
      <c r="R332" s="14"/>
      <c r="S332" s="10"/>
      <c r="T332" s="10"/>
      <c r="U332" s="10"/>
      <c r="V332" s="10"/>
      <c r="W332" s="10"/>
      <c r="X332" s="10"/>
      <c r="Y332" s="10"/>
      <c r="Z332" s="10"/>
      <c r="AA332" s="10"/>
      <c r="AB332" s="10"/>
      <c r="AC332" s="10"/>
      <c r="AD332" s="10"/>
      <c r="AE332" s="10"/>
      <c r="AF332" s="10"/>
      <c r="AG332" s="10"/>
      <c r="AH332" s="10"/>
    </row>
    <row r="333" spans="1:34" ht="15.75" hidden="1" customHeight="1">
      <c r="A333" s="13"/>
      <c r="B333" s="14"/>
      <c r="C333" s="14"/>
      <c r="D333" s="14" t="e">
        <f ca="1"/>
        <v>#NAME?</v>
      </c>
      <c r="E333" s="15"/>
      <c r="F333" s="14"/>
      <c r="G333" s="14"/>
      <c r="H333" s="17"/>
      <c r="I333" s="17"/>
      <c r="J333" s="17"/>
      <c r="K333" s="21"/>
      <c r="L333" s="17"/>
      <c r="M333" s="17"/>
      <c r="N333" s="14"/>
      <c r="O333" s="14"/>
      <c r="P333" s="14"/>
      <c r="Q333" s="14"/>
      <c r="R333" s="14"/>
      <c r="S333" s="10"/>
      <c r="T333" s="10"/>
      <c r="U333" s="10"/>
      <c r="V333" s="10"/>
      <c r="W333" s="10"/>
      <c r="X333" s="10"/>
      <c r="Y333" s="10"/>
      <c r="Z333" s="10"/>
      <c r="AA333" s="10"/>
      <c r="AB333" s="10"/>
      <c r="AC333" s="10"/>
      <c r="AD333" s="10"/>
      <c r="AE333" s="10"/>
      <c r="AF333" s="10"/>
      <c r="AG333" s="10"/>
      <c r="AH333" s="10"/>
    </row>
    <row r="334" spans="1:34" ht="15.75" hidden="1" customHeight="1">
      <c r="A334" s="13"/>
      <c r="B334" s="14"/>
      <c r="C334" s="14"/>
      <c r="D334" s="14" t="e">
        <f ca="1"/>
        <v>#NAME?</v>
      </c>
      <c r="E334" s="15"/>
      <c r="F334" s="14"/>
      <c r="G334" s="14"/>
      <c r="H334" s="17"/>
      <c r="I334" s="17"/>
      <c r="J334" s="17"/>
      <c r="K334" s="21"/>
      <c r="L334" s="17"/>
      <c r="M334" s="17"/>
      <c r="N334" s="14"/>
      <c r="O334" s="14"/>
      <c r="P334" s="14"/>
      <c r="Q334" s="14"/>
      <c r="R334" s="14"/>
      <c r="S334" s="10"/>
      <c r="T334" s="10"/>
      <c r="U334" s="10"/>
      <c r="V334" s="10"/>
      <c r="W334" s="10"/>
      <c r="X334" s="10"/>
      <c r="Y334" s="10"/>
      <c r="Z334" s="10"/>
      <c r="AA334" s="10"/>
      <c r="AB334" s="10"/>
      <c r="AC334" s="10"/>
      <c r="AD334" s="10"/>
      <c r="AE334" s="10"/>
      <c r="AF334" s="10"/>
      <c r="AG334" s="10"/>
      <c r="AH334" s="10"/>
    </row>
    <row r="335" spans="1:34" ht="15.75" hidden="1" customHeight="1">
      <c r="A335" s="13"/>
      <c r="B335" s="14"/>
      <c r="C335" s="14"/>
      <c r="D335" s="14" t="e">
        <f ca="1"/>
        <v>#NAME?</v>
      </c>
      <c r="E335" s="15"/>
      <c r="F335" s="14"/>
      <c r="G335" s="14"/>
      <c r="H335" s="17"/>
      <c r="I335" s="17"/>
      <c r="J335" s="17"/>
      <c r="K335" s="21"/>
      <c r="L335" s="17"/>
      <c r="M335" s="17"/>
      <c r="N335" s="14"/>
      <c r="O335" s="14"/>
      <c r="P335" s="14"/>
      <c r="Q335" s="14"/>
      <c r="R335" s="14"/>
      <c r="S335" s="10"/>
      <c r="T335" s="10"/>
      <c r="U335" s="10"/>
      <c r="V335" s="10"/>
      <c r="W335" s="10"/>
      <c r="X335" s="10"/>
      <c r="Y335" s="10"/>
      <c r="Z335" s="10"/>
      <c r="AA335" s="10"/>
      <c r="AB335" s="10"/>
      <c r="AC335" s="10"/>
      <c r="AD335" s="10"/>
      <c r="AE335" s="10"/>
      <c r="AF335" s="10"/>
      <c r="AG335" s="10"/>
      <c r="AH335" s="10"/>
    </row>
    <row r="336" spans="1:34" ht="15.75" hidden="1" customHeight="1">
      <c r="A336" s="13"/>
      <c r="B336" s="14"/>
      <c r="C336" s="14"/>
      <c r="D336" s="14" t="e">
        <f ca="1"/>
        <v>#NAME?</v>
      </c>
      <c r="E336" s="15"/>
      <c r="F336" s="14"/>
      <c r="G336" s="14"/>
      <c r="H336" s="17"/>
      <c r="I336" s="17"/>
      <c r="J336" s="17"/>
      <c r="K336" s="21"/>
      <c r="L336" s="17"/>
      <c r="M336" s="17"/>
      <c r="N336" s="14"/>
      <c r="O336" s="14"/>
      <c r="P336" s="14"/>
      <c r="Q336" s="14"/>
      <c r="R336" s="14"/>
      <c r="S336" s="10"/>
      <c r="T336" s="10"/>
      <c r="U336" s="10"/>
      <c r="V336" s="10"/>
      <c r="W336" s="10"/>
      <c r="X336" s="10"/>
      <c r="Y336" s="10"/>
      <c r="Z336" s="10"/>
      <c r="AA336" s="10"/>
      <c r="AB336" s="10"/>
      <c r="AC336" s="10"/>
      <c r="AD336" s="10"/>
      <c r="AE336" s="10"/>
      <c r="AF336" s="10"/>
      <c r="AG336" s="10"/>
      <c r="AH336" s="10"/>
    </row>
    <row r="337" spans="1:34" ht="15.75" hidden="1" customHeight="1">
      <c r="A337" s="13"/>
      <c r="B337" s="14"/>
      <c r="C337" s="14"/>
      <c r="D337" s="14" t="e">
        <f ca="1"/>
        <v>#NAME?</v>
      </c>
      <c r="E337" s="15"/>
      <c r="F337" s="14"/>
      <c r="G337" s="14"/>
      <c r="H337" s="17"/>
      <c r="I337" s="17"/>
      <c r="J337" s="17"/>
      <c r="K337" s="21"/>
      <c r="L337" s="17"/>
      <c r="M337" s="17"/>
      <c r="N337" s="14"/>
      <c r="O337" s="14"/>
      <c r="P337" s="14"/>
      <c r="Q337" s="14"/>
      <c r="R337" s="14"/>
      <c r="S337" s="10"/>
      <c r="T337" s="10"/>
      <c r="U337" s="10"/>
      <c r="V337" s="10"/>
      <c r="W337" s="10"/>
      <c r="X337" s="10"/>
      <c r="Y337" s="10"/>
      <c r="Z337" s="10"/>
      <c r="AA337" s="10"/>
      <c r="AB337" s="10"/>
      <c r="AC337" s="10"/>
      <c r="AD337" s="10"/>
      <c r="AE337" s="10"/>
      <c r="AF337" s="10"/>
      <c r="AG337" s="10"/>
      <c r="AH337" s="10"/>
    </row>
    <row r="338" spans="1:34" ht="15.75" hidden="1" customHeight="1">
      <c r="A338" s="13"/>
      <c r="B338" s="14"/>
      <c r="C338" s="14"/>
      <c r="D338" s="14" t="e">
        <f ca="1"/>
        <v>#NAME?</v>
      </c>
      <c r="E338" s="15"/>
      <c r="F338" s="14"/>
      <c r="G338" s="14"/>
      <c r="H338" s="17"/>
      <c r="I338" s="17"/>
      <c r="J338" s="17"/>
      <c r="K338" s="21"/>
      <c r="L338" s="17"/>
      <c r="M338" s="17"/>
      <c r="N338" s="14"/>
      <c r="O338" s="14"/>
      <c r="P338" s="14"/>
      <c r="Q338" s="14"/>
      <c r="R338" s="14"/>
      <c r="S338" s="10"/>
      <c r="T338" s="10"/>
      <c r="U338" s="10"/>
      <c r="V338" s="10"/>
      <c r="W338" s="10"/>
      <c r="X338" s="10"/>
      <c r="Y338" s="10"/>
      <c r="Z338" s="10"/>
      <c r="AA338" s="10"/>
      <c r="AB338" s="10"/>
      <c r="AC338" s="10"/>
      <c r="AD338" s="10"/>
      <c r="AE338" s="10"/>
      <c r="AF338" s="10"/>
      <c r="AG338" s="10"/>
      <c r="AH338" s="10"/>
    </row>
    <row r="339" spans="1:34" ht="15.75" hidden="1" customHeight="1">
      <c r="A339" s="13"/>
      <c r="B339" s="14"/>
      <c r="C339" s="14"/>
      <c r="D339" s="14"/>
      <c r="E339" s="15"/>
      <c r="F339" s="14"/>
      <c r="G339" s="14"/>
      <c r="H339" s="17"/>
      <c r="I339" s="17"/>
      <c r="J339" s="17"/>
      <c r="K339" s="21"/>
      <c r="L339" s="17"/>
      <c r="M339" s="17"/>
      <c r="N339" s="14"/>
      <c r="O339" s="14"/>
      <c r="P339" s="14"/>
      <c r="Q339" s="14"/>
      <c r="R339" s="14"/>
      <c r="S339" s="10"/>
      <c r="T339" s="10"/>
      <c r="U339" s="10"/>
      <c r="V339" s="10"/>
      <c r="W339" s="10"/>
      <c r="X339" s="10"/>
      <c r="Y339" s="10"/>
      <c r="Z339" s="10"/>
      <c r="AA339" s="10"/>
      <c r="AB339" s="10"/>
      <c r="AC339" s="10"/>
      <c r="AD339" s="10"/>
      <c r="AE339" s="10"/>
      <c r="AF339" s="10"/>
      <c r="AG339" s="10"/>
      <c r="AH339" s="10"/>
    </row>
    <row r="340" spans="1:34" ht="15.75" hidden="1" customHeight="1">
      <c r="A340" s="13"/>
      <c r="B340" s="14"/>
      <c r="C340" s="14"/>
      <c r="D340" s="14"/>
      <c r="E340" s="15"/>
      <c r="F340" s="14"/>
      <c r="G340" s="14"/>
      <c r="H340" s="17"/>
      <c r="I340" s="17"/>
      <c r="J340" s="17"/>
      <c r="K340" s="21"/>
      <c r="L340" s="17"/>
      <c r="M340" s="17"/>
      <c r="N340" s="14"/>
      <c r="O340" s="14"/>
      <c r="P340" s="14"/>
      <c r="Q340" s="14"/>
      <c r="R340" s="14"/>
      <c r="S340" s="10"/>
      <c r="T340" s="10"/>
      <c r="U340" s="10"/>
      <c r="V340" s="10"/>
      <c r="W340" s="10"/>
      <c r="X340" s="10"/>
      <c r="Y340" s="10"/>
      <c r="Z340" s="10"/>
      <c r="AA340" s="10"/>
      <c r="AB340" s="10"/>
      <c r="AC340" s="10"/>
      <c r="AD340" s="10"/>
      <c r="AE340" s="10"/>
      <c r="AF340" s="10"/>
      <c r="AG340" s="10"/>
      <c r="AH340" s="10"/>
    </row>
    <row r="341" spans="1:34" ht="15.75" hidden="1" customHeight="1">
      <c r="A341" s="13"/>
      <c r="B341" s="14"/>
      <c r="C341" s="14"/>
      <c r="D341" s="14"/>
      <c r="E341" s="15"/>
      <c r="F341" s="14"/>
      <c r="G341" s="14"/>
      <c r="H341" s="17"/>
      <c r="I341" s="17"/>
      <c r="J341" s="17"/>
      <c r="K341" s="21"/>
      <c r="L341" s="17"/>
      <c r="M341" s="17"/>
      <c r="N341" s="14"/>
      <c r="O341" s="14"/>
      <c r="P341" s="14"/>
      <c r="Q341" s="14"/>
      <c r="R341" s="14"/>
      <c r="S341" s="10"/>
      <c r="T341" s="10"/>
      <c r="U341" s="10"/>
      <c r="V341" s="10"/>
      <c r="W341" s="10"/>
      <c r="X341" s="10"/>
      <c r="Y341" s="10"/>
      <c r="Z341" s="10"/>
      <c r="AA341" s="10"/>
      <c r="AB341" s="10"/>
      <c r="AC341" s="10"/>
      <c r="AD341" s="10"/>
      <c r="AE341" s="10"/>
      <c r="AF341" s="10"/>
      <c r="AG341" s="10"/>
      <c r="AH341" s="10"/>
    </row>
    <row r="342" spans="1:34" ht="15.75" hidden="1" customHeight="1">
      <c r="A342" s="13"/>
      <c r="B342" s="14"/>
      <c r="C342" s="14"/>
      <c r="D342" s="14"/>
      <c r="E342" s="15"/>
      <c r="F342" s="14"/>
      <c r="G342" s="14"/>
      <c r="H342" s="17"/>
      <c r="I342" s="17"/>
      <c r="J342" s="17"/>
      <c r="K342" s="21"/>
      <c r="L342" s="17"/>
      <c r="M342" s="17"/>
      <c r="N342" s="14"/>
      <c r="O342" s="14"/>
      <c r="P342" s="14"/>
      <c r="Q342" s="14"/>
      <c r="R342" s="14"/>
      <c r="S342" s="10"/>
      <c r="T342" s="10"/>
      <c r="U342" s="10"/>
      <c r="V342" s="10"/>
      <c r="W342" s="10"/>
      <c r="X342" s="10"/>
      <c r="Y342" s="10"/>
      <c r="Z342" s="10"/>
      <c r="AA342" s="10"/>
      <c r="AB342" s="10"/>
      <c r="AC342" s="10"/>
      <c r="AD342" s="10"/>
      <c r="AE342" s="10"/>
      <c r="AF342" s="10"/>
      <c r="AG342" s="10"/>
      <c r="AH342" s="10"/>
    </row>
    <row r="343" spans="1:34" ht="15.75" customHeight="1">
      <c r="A343" s="13"/>
      <c r="B343" s="14"/>
      <c r="C343" s="14"/>
      <c r="D343" s="14"/>
      <c r="E343" s="15"/>
      <c r="F343" s="14"/>
      <c r="G343" s="14"/>
      <c r="H343" s="17"/>
      <c r="I343" s="17"/>
      <c r="J343" s="17"/>
      <c r="K343" s="21"/>
      <c r="L343" s="17"/>
      <c r="M343" s="17"/>
      <c r="N343" s="14"/>
      <c r="O343" s="14"/>
      <c r="P343" s="14"/>
      <c r="Q343" s="14"/>
      <c r="R343" s="14"/>
      <c r="S343" s="10"/>
      <c r="T343" s="10"/>
      <c r="U343" s="10"/>
      <c r="V343" s="10"/>
      <c r="W343" s="10"/>
      <c r="X343" s="10"/>
      <c r="Y343" s="10"/>
      <c r="Z343" s="10"/>
      <c r="AA343" s="10"/>
      <c r="AB343" s="10"/>
      <c r="AC343" s="10"/>
      <c r="AD343" s="10"/>
      <c r="AE343" s="10"/>
      <c r="AF343" s="10"/>
      <c r="AG343" s="10"/>
      <c r="AH343" s="10"/>
    </row>
    <row r="344" spans="1:34" ht="15.75" customHeight="1">
      <c r="A344" s="13"/>
      <c r="B344" s="14"/>
      <c r="C344" s="14"/>
      <c r="D344" s="14"/>
      <c r="E344" s="15"/>
      <c r="F344" s="14"/>
      <c r="G344" s="14"/>
      <c r="H344" s="17"/>
      <c r="I344" s="17"/>
      <c r="J344" s="17"/>
      <c r="K344" s="21"/>
      <c r="L344" s="17"/>
      <c r="M344" s="17"/>
      <c r="N344" s="14"/>
      <c r="O344" s="14"/>
      <c r="P344" s="14"/>
      <c r="Q344" s="14"/>
      <c r="R344" s="14"/>
      <c r="S344" s="10"/>
      <c r="T344" s="10"/>
      <c r="U344" s="10"/>
      <c r="V344" s="10"/>
      <c r="W344" s="10"/>
      <c r="X344" s="10"/>
      <c r="Y344" s="10"/>
      <c r="Z344" s="10"/>
      <c r="AA344" s="10"/>
      <c r="AB344" s="10"/>
      <c r="AC344" s="10"/>
      <c r="AD344" s="10"/>
      <c r="AE344" s="10"/>
      <c r="AF344" s="10"/>
      <c r="AG344" s="10"/>
      <c r="AH344" s="10"/>
    </row>
    <row r="345" spans="1:34" ht="15.75" customHeight="1">
      <c r="A345" s="13"/>
      <c r="B345" s="14"/>
      <c r="C345" s="14"/>
      <c r="D345" s="14"/>
      <c r="E345" s="15"/>
      <c r="F345" s="14"/>
      <c r="G345" s="14"/>
      <c r="H345" s="17"/>
      <c r="I345" s="17"/>
      <c r="J345" s="17"/>
      <c r="K345" s="21"/>
      <c r="L345" s="17"/>
      <c r="M345" s="17"/>
      <c r="N345" s="14"/>
      <c r="O345" s="14"/>
      <c r="P345" s="14"/>
      <c r="Q345" s="14"/>
      <c r="R345" s="14"/>
      <c r="S345" s="10"/>
      <c r="T345" s="10"/>
      <c r="U345" s="10"/>
      <c r="V345" s="10"/>
      <c r="W345" s="10"/>
      <c r="X345" s="10"/>
      <c r="Y345" s="10"/>
      <c r="Z345" s="10"/>
      <c r="AA345" s="10"/>
      <c r="AB345" s="10"/>
      <c r="AC345" s="10"/>
      <c r="AD345" s="10"/>
      <c r="AE345" s="10"/>
      <c r="AF345" s="10"/>
      <c r="AG345" s="10"/>
      <c r="AH345" s="10"/>
    </row>
    <row r="346" spans="1:34" ht="15.75" customHeight="1">
      <c r="A346" s="13"/>
      <c r="B346" s="14"/>
      <c r="C346" s="14"/>
      <c r="D346" s="14"/>
      <c r="E346" s="15"/>
      <c r="F346" s="14"/>
      <c r="G346" s="14"/>
      <c r="H346" s="17"/>
      <c r="I346" s="17"/>
      <c r="J346" s="17"/>
      <c r="K346" s="21"/>
      <c r="L346" s="17"/>
      <c r="M346" s="17"/>
      <c r="N346" s="14"/>
      <c r="O346" s="14"/>
      <c r="P346" s="14"/>
      <c r="Q346" s="14"/>
      <c r="R346" s="14"/>
      <c r="S346" s="10"/>
      <c r="T346" s="10"/>
      <c r="U346" s="10"/>
      <c r="V346" s="10"/>
      <c r="W346" s="10"/>
      <c r="X346" s="10"/>
      <c r="Y346" s="10"/>
      <c r="Z346" s="10"/>
      <c r="AA346" s="10"/>
      <c r="AB346" s="10"/>
      <c r="AC346" s="10"/>
      <c r="AD346" s="10"/>
      <c r="AE346" s="10"/>
      <c r="AF346" s="10"/>
      <c r="AG346" s="10"/>
      <c r="AH346" s="10"/>
    </row>
    <row r="347" spans="1:34" ht="15.75" customHeight="1">
      <c r="A347" s="13"/>
      <c r="B347" s="14"/>
      <c r="C347" s="14"/>
      <c r="D347" s="14"/>
      <c r="E347" s="15"/>
      <c r="F347" s="14"/>
      <c r="G347" s="14"/>
      <c r="H347" s="17"/>
      <c r="I347" s="17"/>
      <c r="J347" s="17"/>
      <c r="K347" s="21"/>
      <c r="L347" s="17"/>
      <c r="M347" s="17"/>
      <c r="N347" s="14"/>
      <c r="O347" s="14"/>
      <c r="P347" s="14"/>
      <c r="Q347" s="14"/>
      <c r="R347" s="14"/>
      <c r="S347" s="10"/>
      <c r="T347" s="10"/>
      <c r="U347" s="10"/>
      <c r="V347" s="10"/>
      <c r="W347" s="10"/>
      <c r="X347" s="10"/>
      <c r="Y347" s="10"/>
      <c r="Z347" s="10"/>
      <c r="AA347" s="10"/>
      <c r="AB347" s="10"/>
      <c r="AC347" s="10"/>
      <c r="AD347" s="10"/>
      <c r="AE347" s="10"/>
      <c r="AF347" s="10"/>
      <c r="AG347" s="10"/>
      <c r="AH347" s="10"/>
    </row>
    <row r="348" spans="1:34" ht="15.75" customHeight="1">
      <c r="A348" s="13"/>
      <c r="B348" s="14"/>
      <c r="C348" s="14"/>
      <c r="D348" s="14"/>
      <c r="E348" s="15"/>
      <c r="F348" s="14"/>
      <c r="G348" s="14"/>
      <c r="H348" s="17"/>
      <c r="I348" s="17"/>
      <c r="J348" s="17"/>
      <c r="K348" s="21"/>
      <c r="L348" s="17"/>
      <c r="M348" s="17"/>
      <c r="N348" s="14"/>
      <c r="O348" s="14"/>
      <c r="P348" s="14"/>
      <c r="Q348" s="14"/>
      <c r="R348" s="14"/>
      <c r="S348" s="10"/>
      <c r="T348" s="10"/>
      <c r="U348" s="10"/>
      <c r="V348" s="10"/>
      <c r="W348" s="10"/>
      <c r="X348" s="10"/>
      <c r="Y348" s="10"/>
      <c r="Z348" s="10"/>
      <c r="AA348" s="10"/>
      <c r="AB348" s="10"/>
      <c r="AC348" s="10"/>
      <c r="AD348" s="10"/>
      <c r="AE348" s="10"/>
      <c r="AF348" s="10"/>
      <c r="AG348" s="10"/>
      <c r="AH348" s="10"/>
    </row>
    <row r="349" spans="1:34" ht="15.75" customHeight="1">
      <c r="A349" s="13"/>
      <c r="B349" s="14"/>
      <c r="C349" s="14"/>
      <c r="D349" s="14"/>
      <c r="E349" s="15"/>
      <c r="F349" s="14"/>
      <c r="G349" s="14"/>
      <c r="H349" s="17"/>
      <c r="I349" s="17"/>
      <c r="J349" s="17"/>
      <c r="K349" s="21"/>
      <c r="L349" s="17"/>
      <c r="M349" s="17"/>
      <c r="N349" s="14"/>
      <c r="O349" s="14"/>
      <c r="P349" s="14"/>
      <c r="Q349" s="14"/>
      <c r="R349" s="14"/>
      <c r="S349" s="10"/>
      <c r="T349" s="10"/>
      <c r="U349" s="10"/>
      <c r="V349" s="10"/>
      <c r="W349" s="10"/>
      <c r="X349" s="10"/>
      <c r="Y349" s="10"/>
      <c r="Z349" s="10"/>
      <c r="AA349" s="10"/>
      <c r="AB349" s="10"/>
      <c r="AC349" s="10"/>
      <c r="AD349" s="10"/>
      <c r="AE349" s="10"/>
      <c r="AF349" s="10"/>
      <c r="AG349" s="10"/>
      <c r="AH349" s="10"/>
    </row>
    <row r="350" spans="1:34" ht="15.75" customHeight="1">
      <c r="A350" s="13"/>
      <c r="B350" s="14"/>
      <c r="C350" s="14"/>
      <c r="D350" s="14"/>
      <c r="E350" s="15"/>
      <c r="F350" s="14"/>
      <c r="G350" s="14"/>
      <c r="H350" s="17"/>
      <c r="I350" s="17"/>
      <c r="J350" s="17"/>
      <c r="K350" s="21"/>
      <c r="L350" s="17"/>
      <c r="M350" s="17"/>
      <c r="N350" s="14"/>
      <c r="O350" s="14"/>
      <c r="P350" s="14"/>
      <c r="Q350" s="14"/>
      <c r="R350" s="14"/>
      <c r="S350" s="10"/>
      <c r="T350" s="10"/>
      <c r="U350" s="10"/>
      <c r="V350" s="10"/>
      <c r="W350" s="10"/>
      <c r="X350" s="10"/>
      <c r="Y350" s="10"/>
      <c r="Z350" s="10"/>
      <c r="AA350" s="10"/>
      <c r="AB350" s="10"/>
      <c r="AC350" s="10"/>
      <c r="AD350" s="10"/>
      <c r="AE350" s="10"/>
      <c r="AF350" s="10"/>
      <c r="AG350" s="10"/>
      <c r="AH350" s="10"/>
    </row>
    <row r="351" spans="1:34" ht="15.75" customHeight="1">
      <c r="A351" s="13"/>
      <c r="B351" s="14"/>
      <c r="C351" s="14"/>
      <c r="D351" s="14"/>
      <c r="E351" s="15"/>
      <c r="F351" s="14"/>
      <c r="G351" s="14"/>
      <c r="H351" s="17"/>
      <c r="I351" s="17"/>
      <c r="J351" s="17"/>
      <c r="K351" s="21"/>
      <c r="L351" s="17"/>
      <c r="M351" s="17"/>
      <c r="N351" s="14"/>
      <c r="O351" s="14"/>
      <c r="P351" s="14"/>
      <c r="Q351" s="14"/>
      <c r="R351" s="14"/>
      <c r="S351" s="10"/>
      <c r="T351" s="10"/>
      <c r="U351" s="10"/>
      <c r="V351" s="10"/>
      <c r="W351" s="10"/>
      <c r="X351" s="10"/>
      <c r="Y351" s="10"/>
      <c r="Z351" s="10"/>
      <c r="AA351" s="10"/>
      <c r="AB351" s="10"/>
      <c r="AC351" s="10"/>
      <c r="AD351" s="10"/>
      <c r="AE351" s="10"/>
      <c r="AF351" s="10"/>
      <c r="AG351" s="10"/>
      <c r="AH351" s="10"/>
    </row>
    <row r="352" spans="1:34" ht="15.75" customHeight="1">
      <c r="A352" s="13"/>
      <c r="B352" s="14"/>
      <c r="C352" s="14"/>
      <c r="D352" s="14"/>
      <c r="E352" s="15"/>
      <c r="F352" s="14"/>
      <c r="G352" s="14"/>
      <c r="H352" s="17"/>
      <c r="I352" s="17"/>
      <c r="J352" s="17"/>
      <c r="K352" s="21"/>
      <c r="L352" s="17"/>
      <c r="M352" s="17"/>
      <c r="N352" s="14"/>
      <c r="O352" s="14"/>
      <c r="P352" s="14"/>
      <c r="Q352" s="14"/>
      <c r="R352" s="14"/>
      <c r="S352" s="10"/>
      <c r="T352" s="10"/>
      <c r="U352" s="10"/>
      <c r="V352" s="10"/>
      <c r="W352" s="10"/>
      <c r="X352" s="10"/>
      <c r="Y352" s="10"/>
      <c r="Z352" s="10"/>
      <c r="AA352" s="10"/>
      <c r="AB352" s="10"/>
      <c r="AC352" s="10"/>
      <c r="AD352" s="10"/>
      <c r="AE352" s="10"/>
      <c r="AF352" s="10"/>
      <c r="AG352" s="10"/>
      <c r="AH352" s="10"/>
    </row>
    <row r="353" spans="1:34" ht="15.75" customHeight="1">
      <c r="A353" s="13"/>
      <c r="B353" s="14"/>
      <c r="C353" s="14"/>
      <c r="D353" s="14"/>
      <c r="E353" s="15"/>
      <c r="F353" s="14"/>
      <c r="G353" s="14"/>
      <c r="H353" s="17"/>
      <c r="I353" s="17"/>
      <c r="J353" s="17"/>
      <c r="K353" s="21"/>
      <c r="L353" s="17"/>
      <c r="M353" s="17"/>
      <c r="N353" s="14"/>
      <c r="O353" s="14"/>
      <c r="P353" s="14"/>
      <c r="Q353" s="14"/>
      <c r="R353" s="14"/>
      <c r="S353" s="10"/>
      <c r="T353" s="10"/>
      <c r="U353" s="10"/>
      <c r="V353" s="10"/>
      <c r="W353" s="10"/>
      <c r="X353" s="10"/>
      <c r="Y353" s="10"/>
      <c r="Z353" s="10"/>
      <c r="AA353" s="10"/>
      <c r="AB353" s="10"/>
      <c r="AC353" s="10"/>
      <c r="AD353" s="10"/>
      <c r="AE353" s="10"/>
      <c r="AF353" s="10"/>
      <c r="AG353" s="10"/>
      <c r="AH353" s="10"/>
    </row>
    <row r="354" spans="1:34" ht="15.75" customHeight="1">
      <c r="A354" s="13"/>
      <c r="B354" s="14"/>
      <c r="C354" s="14"/>
      <c r="D354" s="14"/>
      <c r="E354" s="15"/>
      <c r="F354" s="14"/>
      <c r="G354" s="14"/>
      <c r="H354" s="17"/>
      <c r="I354" s="17"/>
      <c r="J354" s="17"/>
      <c r="K354" s="21"/>
      <c r="L354" s="17"/>
      <c r="M354" s="17"/>
      <c r="N354" s="14"/>
      <c r="O354" s="14"/>
      <c r="P354" s="14"/>
      <c r="Q354" s="14"/>
      <c r="R354" s="14"/>
      <c r="S354" s="10"/>
      <c r="T354" s="10"/>
      <c r="U354" s="10"/>
      <c r="V354" s="10"/>
      <c r="W354" s="10"/>
      <c r="X354" s="10"/>
      <c r="Y354" s="10"/>
      <c r="Z354" s="10"/>
      <c r="AA354" s="10"/>
      <c r="AB354" s="10"/>
      <c r="AC354" s="10"/>
      <c r="AD354" s="10"/>
      <c r="AE354" s="10"/>
      <c r="AF354" s="10"/>
      <c r="AG354" s="10"/>
      <c r="AH354" s="10"/>
    </row>
    <row r="355" spans="1:34" ht="15.75" customHeight="1">
      <c r="A355" s="13"/>
      <c r="B355" s="14"/>
      <c r="C355" s="14"/>
      <c r="D355" s="14"/>
      <c r="E355" s="15"/>
      <c r="F355" s="14"/>
      <c r="G355" s="14"/>
      <c r="H355" s="17"/>
      <c r="I355" s="17"/>
      <c r="J355" s="17"/>
      <c r="K355" s="21"/>
      <c r="L355" s="17"/>
      <c r="M355" s="17"/>
      <c r="N355" s="14"/>
      <c r="O355" s="14"/>
      <c r="P355" s="14"/>
      <c r="Q355" s="14"/>
      <c r="R355" s="14"/>
      <c r="S355" s="10"/>
      <c r="T355" s="10"/>
      <c r="U355" s="10"/>
      <c r="V355" s="10"/>
      <c r="W355" s="10"/>
      <c r="X355" s="10"/>
      <c r="Y355" s="10"/>
      <c r="Z355" s="10"/>
      <c r="AA355" s="10"/>
      <c r="AB355" s="10"/>
      <c r="AC355" s="10"/>
      <c r="AD355" s="10"/>
      <c r="AE355" s="10"/>
      <c r="AF355" s="10"/>
      <c r="AG355" s="10"/>
      <c r="AH355" s="10"/>
    </row>
    <row r="356" spans="1:34" ht="15.75" customHeight="1">
      <c r="A356" s="13"/>
      <c r="B356" s="14"/>
      <c r="C356" s="14"/>
      <c r="D356" s="14"/>
      <c r="E356" s="15"/>
      <c r="F356" s="14"/>
      <c r="G356" s="14"/>
      <c r="H356" s="17"/>
      <c r="I356" s="17"/>
      <c r="J356" s="17"/>
      <c r="K356" s="21"/>
      <c r="L356" s="17"/>
      <c r="M356" s="17"/>
      <c r="N356" s="14"/>
      <c r="O356" s="14"/>
      <c r="P356" s="14"/>
      <c r="Q356" s="14"/>
      <c r="R356" s="14"/>
      <c r="S356" s="10"/>
      <c r="T356" s="10"/>
      <c r="U356" s="10"/>
      <c r="V356" s="10"/>
      <c r="W356" s="10"/>
      <c r="X356" s="10"/>
      <c r="Y356" s="10"/>
      <c r="Z356" s="10"/>
      <c r="AA356" s="10"/>
      <c r="AB356" s="10"/>
      <c r="AC356" s="10"/>
      <c r="AD356" s="10"/>
      <c r="AE356" s="10"/>
      <c r="AF356" s="10"/>
      <c r="AG356" s="10"/>
      <c r="AH356" s="10"/>
    </row>
    <row r="357" spans="1:34" ht="15.75" customHeight="1">
      <c r="A357" s="13"/>
      <c r="B357" s="14"/>
      <c r="C357" s="14"/>
      <c r="D357" s="14"/>
      <c r="E357" s="15"/>
      <c r="F357" s="14"/>
      <c r="G357" s="14"/>
      <c r="H357" s="17"/>
      <c r="I357" s="17"/>
      <c r="J357" s="17"/>
      <c r="K357" s="21"/>
      <c r="L357" s="17"/>
      <c r="M357" s="17"/>
      <c r="N357" s="14"/>
      <c r="O357" s="14"/>
      <c r="P357" s="14"/>
      <c r="Q357" s="14"/>
      <c r="R357" s="14"/>
      <c r="S357" s="10"/>
      <c r="T357" s="10"/>
      <c r="U357" s="10"/>
      <c r="V357" s="10"/>
      <c r="W357" s="10"/>
      <c r="X357" s="10"/>
      <c r="Y357" s="10"/>
      <c r="Z357" s="10"/>
      <c r="AA357" s="10"/>
      <c r="AB357" s="10"/>
      <c r="AC357" s="10"/>
      <c r="AD357" s="10"/>
      <c r="AE357" s="10"/>
      <c r="AF357" s="10"/>
      <c r="AG357" s="10"/>
      <c r="AH357" s="10"/>
    </row>
    <row r="358" spans="1:34" ht="15.75" customHeight="1">
      <c r="A358" s="13"/>
      <c r="B358" s="14"/>
      <c r="C358" s="14"/>
      <c r="D358" s="14"/>
      <c r="E358" s="15"/>
      <c r="F358" s="14"/>
      <c r="G358" s="14"/>
      <c r="H358" s="17"/>
      <c r="I358" s="17"/>
      <c r="J358" s="17"/>
      <c r="K358" s="21"/>
      <c r="L358" s="17"/>
      <c r="M358" s="17"/>
      <c r="N358" s="14"/>
      <c r="O358" s="14"/>
      <c r="P358" s="14"/>
      <c r="Q358" s="14"/>
      <c r="R358" s="14"/>
      <c r="S358" s="10"/>
      <c r="T358" s="10"/>
      <c r="U358" s="10"/>
      <c r="V358" s="10"/>
      <c r="W358" s="10"/>
      <c r="X358" s="10"/>
      <c r="Y358" s="10"/>
      <c r="Z358" s="10"/>
      <c r="AA358" s="10"/>
      <c r="AB358" s="10"/>
      <c r="AC358" s="10"/>
      <c r="AD358" s="10"/>
      <c r="AE358" s="10"/>
      <c r="AF358" s="10"/>
      <c r="AG358" s="10"/>
      <c r="AH358" s="10"/>
    </row>
    <row r="359" spans="1:34" ht="15.75" customHeight="1">
      <c r="A359" s="13"/>
      <c r="B359" s="14"/>
      <c r="C359" s="14"/>
      <c r="D359" s="14"/>
      <c r="E359" s="15"/>
      <c r="F359" s="14"/>
      <c r="G359" s="14"/>
      <c r="H359" s="17"/>
      <c r="I359" s="17"/>
      <c r="J359" s="17"/>
      <c r="K359" s="21"/>
      <c r="L359" s="17"/>
      <c r="M359" s="17"/>
      <c r="N359" s="14"/>
      <c r="O359" s="14"/>
      <c r="P359" s="14"/>
      <c r="Q359" s="14"/>
      <c r="R359" s="14"/>
      <c r="S359" s="10"/>
      <c r="T359" s="10"/>
      <c r="U359" s="10"/>
      <c r="V359" s="10"/>
      <c r="W359" s="10"/>
      <c r="X359" s="10"/>
      <c r="Y359" s="10"/>
      <c r="Z359" s="10"/>
      <c r="AA359" s="10"/>
      <c r="AB359" s="10"/>
      <c r="AC359" s="10"/>
      <c r="AD359" s="10"/>
      <c r="AE359" s="10"/>
      <c r="AF359" s="10"/>
      <c r="AG359" s="10"/>
      <c r="AH359" s="10"/>
    </row>
    <row r="360" spans="1:34" ht="15.75" customHeight="1">
      <c r="A360" s="13"/>
      <c r="B360" s="14"/>
      <c r="C360" s="14"/>
      <c r="D360" s="14"/>
      <c r="E360" s="15"/>
      <c r="F360" s="14"/>
      <c r="G360" s="14"/>
      <c r="H360" s="17"/>
      <c r="I360" s="17"/>
      <c r="J360" s="17"/>
      <c r="K360" s="21"/>
      <c r="L360" s="17"/>
      <c r="M360" s="17"/>
      <c r="N360" s="14"/>
      <c r="O360" s="14"/>
      <c r="P360" s="14"/>
      <c r="Q360" s="14"/>
      <c r="R360" s="14"/>
      <c r="S360" s="10"/>
      <c r="T360" s="10"/>
      <c r="U360" s="10"/>
      <c r="V360" s="10"/>
      <c r="W360" s="10"/>
      <c r="X360" s="10"/>
      <c r="Y360" s="10"/>
      <c r="Z360" s="10"/>
      <c r="AA360" s="10"/>
      <c r="AB360" s="10"/>
      <c r="AC360" s="10"/>
      <c r="AD360" s="10"/>
      <c r="AE360" s="10"/>
      <c r="AF360" s="10"/>
      <c r="AG360" s="10"/>
      <c r="AH360" s="10"/>
    </row>
    <row r="361" spans="1:34" ht="15.75" customHeight="1">
      <c r="A361" s="13"/>
      <c r="B361" s="14"/>
      <c r="C361" s="14"/>
      <c r="D361" s="14"/>
      <c r="E361" s="15"/>
      <c r="F361" s="14"/>
      <c r="G361" s="14"/>
      <c r="H361" s="17"/>
      <c r="I361" s="17"/>
      <c r="J361" s="17"/>
      <c r="K361" s="21"/>
      <c r="L361" s="17"/>
      <c r="M361" s="17"/>
      <c r="N361" s="14"/>
      <c r="O361" s="14"/>
      <c r="P361" s="14"/>
      <c r="Q361" s="14"/>
      <c r="R361" s="14"/>
      <c r="S361" s="10"/>
      <c r="T361" s="10"/>
      <c r="U361" s="10"/>
      <c r="V361" s="10"/>
      <c r="W361" s="10"/>
      <c r="X361" s="10"/>
      <c r="Y361" s="10"/>
      <c r="Z361" s="10"/>
      <c r="AA361" s="10"/>
      <c r="AB361" s="10"/>
      <c r="AC361" s="10"/>
      <c r="AD361" s="10"/>
      <c r="AE361" s="10"/>
      <c r="AF361" s="10"/>
      <c r="AG361" s="10"/>
      <c r="AH361" s="10"/>
    </row>
    <row r="362" spans="1:34" ht="15.75" customHeight="1">
      <c r="A362" s="13"/>
      <c r="B362" s="14"/>
      <c r="C362" s="14"/>
      <c r="D362" s="14"/>
      <c r="E362" s="15"/>
      <c r="F362" s="14"/>
      <c r="G362" s="14"/>
      <c r="H362" s="17"/>
      <c r="I362" s="17"/>
      <c r="J362" s="17"/>
      <c r="K362" s="21"/>
      <c r="L362" s="17"/>
      <c r="M362" s="17"/>
      <c r="N362" s="14"/>
      <c r="O362" s="14"/>
      <c r="P362" s="14"/>
      <c r="Q362" s="14"/>
      <c r="R362" s="14"/>
      <c r="S362" s="10"/>
      <c r="T362" s="10"/>
      <c r="U362" s="10"/>
      <c r="V362" s="10"/>
      <c r="W362" s="10"/>
      <c r="X362" s="10"/>
      <c r="Y362" s="10"/>
      <c r="Z362" s="10"/>
      <c r="AA362" s="10"/>
      <c r="AB362" s="10"/>
      <c r="AC362" s="10"/>
      <c r="AD362" s="10"/>
      <c r="AE362" s="10"/>
      <c r="AF362" s="10"/>
      <c r="AG362" s="10"/>
      <c r="AH362" s="10"/>
    </row>
    <row r="363" spans="1:34" ht="15.75" customHeight="1">
      <c r="A363" s="13"/>
      <c r="B363" s="14"/>
      <c r="C363" s="14"/>
      <c r="D363" s="14"/>
      <c r="E363" s="15"/>
      <c r="F363" s="14"/>
      <c r="G363" s="14"/>
      <c r="H363" s="17"/>
      <c r="I363" s="17"/>
      <c r="J363" s="17"/>
      <c r="K363" s="21"/>
      <c r="L363" s="17"/>
      <c r="M363" s="17"/>
      <c r="N363" s="14"/>
      <c r="O363" s="14"/>
      <c r="P363" s="14"/>
      <c r="Q363" s="14"/>
      <c r="R363" s="14"/>
      <c r="S363" s="10"/>
      <c r="T363" s="10"/>
      <c r="U363" s="10"/>
      <c r="V363" s="10"/>
      <c r="W363" s="10"/>
      <c r="X363" s="10"/>
      <c r="Y363" s="10"/>
      <c r="Z363" s="10"/>
      <c r="AA363" s="10"/>
      <c r="AB363" s="10"/>
      <c r="AC363" s="10"/>
      <c r="AD363" s="10"/>
      <c r="AE363" s="10"/>
      <c r="AF363" s="10"/>
      <c r="AG363" s="10"/>
      <c r="AH363" s="10"/>
    </row>
    <row r="364" spans="1:34" ht="15.75" customHeight="1">
      <c r="A364" s="13"/>
      <c r="B364" s="14"/>
      <c r="C364" s="14"/>
      <c r="D364" s="14"/>
      <c r="E364" s="15"/>
      <c r="F364" s="14"/>
      <c r="G364" s="14"/>
      <c r="H364" s="17"/>
      <c r="I364" s="17"/>
      <c r="J364" s="17"/>
      <c r="K364" s="21"/>
      <c r="L364" s="17"/>
      <c r="M364" s="17"/>
      <c r="N364" s="14"/>
      <c r="O364" s="14"/>
      <c r="P364" s="14"/>
      <c r="Q364" s="14"/>
      <c r="R364" s="14"/>
      <c r="S364" s="10"/>
      <c r="T364" s="10"/>
      <c r="U364" s="10"/>
      <c r="V364" s="10"/>
      <c r="W364" s="10"/>
      <c r="X364" s="10"/>
      <c r="Y364" s="10"/>
      <c r="Z364" s="10"/>
      <c r="AA364" s="10"/>
      <c r="AB364" s="10"/>
      <c r="AC364" s="10"/>
      <c r="AD364" s="10"/>
      <c r="AE364" s="10"/>
      <c r="AF364" s="10"/>
      <c r="AG364" s="10"/>
      <c r="AH364" s="10"/>
    </row>
    <row r="365" spans="1:34" ht="15.75" customHeight="1">
      <c r="A365" s="13"/>
      <c r="B365" s="14"/>
      <c r="C365" s="14"/>
      <c r="D365" s="14"/>
      <c r="E365" s="15"/>
      <c r="F365" s="14"/>
      <c r="G365" s="14"/>
      <c r="H365" s="17"/>
      <c r="I365" s="17"/>
      <c r="J365" s="17"/>
      <c r="K365" s="21"/>
      <c r="L365" s="17"/>
      <c r="M365" s="17"/>
      <c r="N365" s="14"/>
      <c r="O365" s="14"/>
      <c r="P365" s="14"/>
      <c r="Q365" s="14"/>
      <c r="R365" s="14"/>
      <c r="S365" s="10"/>
      <c r="T365" s="10"/>
      <c r="U365" s="10"/>
      <c r="V365" s="10"/>
      <c r="W365" s="10"/>
      <c r="X365" s="10"/>
      <c r="Y365" s="10"/>
      <c r="Z365" s="10"/>
      <c r="AA365" s="10"/>
      <c r="AB365" s="10"/>
      <c r="AC365" s="10"/>
      <c r="AD365" s="10"/>
      <c r="AE365" s="10"/>
      <c r="AF365" s="10"/>
      <c r="AG365" s="10"/>
      <c r="AH365" s="10"/>
    </row>
    <row r="366" spans="1:34" ht="15.75" customHeight="1">
      <c r="A366" s="13"/>
      <c r="B366" s="14"/>
      <c r="C366" s="14"/>
      <c r="D366" s="14"/>
      <c r="E366" s="15"/>
      <c r="F366" s="14"/>
      <c r="G366" s="14"/>
      <c r="H366" s="17"/>
      <c r="I366" s="17"/>
      <c r="J366" s="17"/>
      <c r="K366" s="21"/>
      <c r="L366" s="17"/>
      <c r="M366" s="17"/>
      <c r="N366" s="14"/>
      <c r="O366" s="14"/>
      <c r="P366" s="14"/>
      <c r="Q366" s="14"/>
      <c r="R366" s="14"/>
      <c r="S366" s="10"/>
      <c r="T366" s="10"/>
      <c r="U366" s="10"/>
      <c r="V366" s="10"/>
      <c r="W366" s="10"/>
      <c r="X366" s="10"/>
      <c r="Y366" s="10"/>
      <c r="Z366" s="10"/>
      <c r="AA366" s="10"/>
      <c r="AB366" s="10"/>
      <c r="AC366" s="10"/>
      <c r="AD366" s="10"/>
      <c r="AE366" s="10"/>
      <c r="AF366" s="10"/>
      <c r="AG366" s="10"/>
      <c r="AH366" s="10"/>
    </row>
    <row r="367" spans="1:34" ht="15.75" customHeight="1">
      <c r="A367" s="13"/>
      <c r="B367" s="14"/>
      <c r="C367" s="14"/>
      <c r="D367" s="14"/>
      <c r="E367" s="15"/>
      <c r="F367" s="14"/>
      <c r="G367" s="14"/>
      <c r="H367" s="17"/>
      <c r="I367" s="17"/>
      <c r="J367" s="17"/>
      <c r="K367" s="21"/>
      <c r="L367" s="17"/>
      <c r="M367" s="17"/>
      <c r="N367" s="14"/>
      <c r="O367" s="14"/>
      <c r="P367" s="14"/>
      <c r="Q367" s="14"/>
      <c r="R367" s="14"/>
      <c r="S367" s="10"/>
      <c r="T367" s="10"/>
      <c r="U367" s="10"/>
      <c r="V367" s="10"/>
      <c r="W367" s="10"/>
      <c r="X367" s="10"/>
      <c r="Y367" s="10"/>
      <c r="Z367" s="10"/>
      <c r="AA367" s="10"/>
      <c r="AB367" s="10"/>
      <c r="AC367" s="10"/>
      <c r="AD367" s="10"/>
      <c r="AE367" s="10"/>
      <c r="AF367" s="10"/>
      <c r="AG367" s="10"/>
      <c r="AH367" s="10"/>
    </row>
    <row r="368" spans="1:34" ht="15.75" customHeight="1">
      <c r="A368" s="13"/>
      <c r="B368" s="14"/>
      <c r="C368" s="14"/>
      <c r="D368" s="14"/>
      <c r="E368" s="15"/>
      <c r="F368" s="14"/>
      <c r="G368" s="14"/>
      <c r="H368" s="17"/>
      <c r="I368" s="17"/>
      <c r="J368" s="17"/>
      <c r="K368" s="21"/>
      <c r="L368" s="17"/>
      <c r="M368" s="17"/>
      <c r="N368" s="14"/>
      <c r="O368" s="14"/>
      <c r="P368" s="14"/>
      <c r="Q368" s="14"/>
      <c r="R368" s="14"/>
      <c r="S368" s="10"/>
      <c r="T368" s="10"/>
      <c r="U368" s="10"/>
      <c r="V368" s="10"/>
      <c r="W368" s="10"/>
      <c r="X368" s="10"/>
      <c r="Y368" s="10"/>
      <c r="Z368" s="10"/>
      <c r="AA368" s="10"/>
      <c r="AB368" s="10"/>
      <c r="AC368" s="10"/>
      <c r="AD368" s="10"/>
      <c r="AE368" s="10"/>
      <c r="AF368" s="10"/>
      <c r="AG368" s="10"/>
      <c r="AH368" s="10"/>
    </row>
    <row r="369" spans="1:34" ht="15.75" customHeight="1">
      <c r="A369" s="13"/>
      <c r="B369" s="14"/>
      <c r="C369" s="14"/>
      <c r="D369" s="14"/>
      <c r="E369" s="15"/>
      <c r="F369" s="14"/>
      <c r="G369" s="14"/>
      <c r="H369" s="17"/>
      <c r="I369" s="17"/>
      <c r="J369" s="17"/>
      <c r="K369" s="21"/>
      <c r="L369" s="17"/>
      <c r="M369" s="17"/>
      <c r="N369" s="14"/>
      <c r="O369" s="14"/>
      <c r="P369" s="14"/>
      <c r="Q369" s="14"/>
      <c r="R369" s="14"/>
      <c r="S369" s="10"/>
      <c r="T369" s="10"/>
      <c r="U369" s="10"/>
      <c r="V369" s="10"/>
      <c r="W369" s="10"/>
      <c r="X369" s="10"/>
      <c r="Y369" s="10"/>
      <c r="Z369" s="10"/>
      <c r="AA369" s="10"/>
      <c r="AB369" s="10"/>
      <c r="AC369" s="10"/>
      <c r="AD369" s="10"/>
      <c r="AE369" s="10"/>
      <c r="AF369" s="10"/>
      <c r="AG369" s="10"/>
      <c r="AH369" s="10"/>
    </row>
    <row r="370" spans="1:34" ht="15.75" customHeight="1">
      <c r="A370" s="13"/>
      <c r="B370" s="14"/>
      <c r="C370" s="14"/>
      <c r="D370" s="14"/>
      <c r="E370" s="15"/>
      <c r="F370" s="14"/>
      <c r="G370" s="14"/>
      <c r="H370" s="17"/>
      <c r="I370" s="17"/>
      <c r="J370" s="17"/>
      <c r="K370" s="21"/>
      <c r="L370" s="17"/>
      <c r="M370" s="17"/>
      <c r="N370" s="14"/>
      <c r="O370" s="14"/>
      <c r="P370" s="14"/>
      <c r="Q370" s="14"/>
      <c r="R370" s="14"/>
      <c r="S370" s="10"/>
      <c r="T370" s="10"/>
      <c r="U370" s="10"/>
      <c r="V370" s="10"/>
      <c r="W370" s="10"/>
      <c r="X370" s="10"/>
      <c r="Y370" s="10"/>
      <c r="Z370" s="10"/>
      <c r="AA370" s="10"/>
      <c r="AB370" s="10"/>
      <c r="AC370" s="10"/>
      <c r="AD370" s="10"/>
      <c r="AE370" s="10"/>
      <c r="AF370" s="10"/>
      <c r="AG370" s="10"/>
      <c r="AH370" s="10"/>
    </row>
    <row r="371" spans="1:34" ht="15.75" customHeight="1">
      <c r="A371" s="13"/>
      <c r="B371" s="14"/>
      <c r="C371" s="14"/>
      <c r="D371" s="14"/>
      <c r="E371" s="15"/>
      <c r="F371" s="14"/>
      <c r="G371" s="14"/>
      <c r="H371" s="17"/>
      <c r="I371" s="17"/>
      <c r="J371" s="17"/>
      <c r="K371" s="21"/>
      <c r="L371" s="17"/>
      <c r="M371" s="17"/>
      <c r="N371" s="14"/>
      <c r="O371" s="14"/>
      <c r="P371" s="14"/>
      <c r="Q371" s="14"/>
      <c r="R371" s="14"/>
      <c r="S371" s="10"/>
      <c r="T371" s="10"/>
      <c r="U371" s="10"/>
      <c r="V371" s="10"/>
      <c r="W371" s="10"/>
      <c r="X371" s="10"/>
      <c r="Y371" s="10"/>
      <c r="Z371" s="10"/>
      <c r="AA371" s="10"/>
      <c r="AB371" s="10"/>
      <c r="AC371" s="10"/>
      <c r="AD371" s="10"/>
      <c r="AE371" s="10"/>
      <c r="AF371" s="10"/>
      <c r="AG371" s="10"/>
      <c r="AH371" s="10"/>
    </row>
    <row r="372" spans="1:34" ht="15.75" customHeight="1">
      <c r="A372" s="13"/>
      <c r="B372" s="14"/>
      <c r="C372" s="14"/>
      <c r="D372" s="14"/>
      <c r="E372" s="15"/>
      <c r="F372" s="14"/>
      <c r="G372" s="14"/>
      <c r="H372" s="17"/>
      <c r="I372" s="17"/>
      <c r="J372" s="17"/>
      <c r="K372" s="21"/>
      <c r="L372" s="17"/>
      <c r="M372" s="17"/>
      <c r="N372" s="14"/>
      <c r="O372" s="14"/>
      <c r="P372" s="14"/>
      <c r="Q372" s="14"/>
      <c r="R372" s="14"/>
      <c r="S372" s="10"/>
      <c r="T372" s="10"/>
      <c r="U372" s="10"/>
      <c r="V372" s="10"/>
      <c r="W372" s="10"/>
      <c r="X372" s="10"/>
      <c r="Y372" s="10"/>
      <c r="Z372" s="10"/>
      <c r="AA372" s="10"/>
      <c r="AB372" s="10"/>
      <c r="AC372" s="10"/>
      <c r="AD372" s="10"/>
      <c r="AE372" s="10"/>
      <c r="AF372" s="10"/>
      <c r="AG372" s="10"/>
      <c r="AH372" s="10"/>
    </row>
    <row r="373" spans="1:34" ht="15.75" customHeight="1">
      <c r="A373" s="13"/>
      <c r="B373" s="14"/>
      <c r="C373" s="14"/>
      <c r="D373" s="14"/>
      <c r="E373" s="15"/>
      <c r="F373" s="14"/>
      <c r="G373" s="14"/>
      <c r="H373" s="17"/>
      <c r="I373" s="17"/>
      <c r="J373" s="17"/>
      <c r="K373" s="21"/>
      <c r="L373" s="17"/>
      <c r="M373" s="17"/>
      <c r="N373" s="14"/>
      <c r="O373" s="14"/>
      <c r="P373" s="14"/>
      <c r="Q373" s="14"/>
      <c r="R373" s="14"/>
      <c r="S373" s="10"/>
      <c r="T373" s="10"/>
      <c r="U373" s="10"/>
      <c r="V373" s="10"/>
      <c r="W373" s="10"/>
      <c r="X373" s="10"/>
      <c r="Y373" s="10"/>
      <c r="Z373" s="10"/>
      <c r="AA373" s="10"/>
      <c r="AB373" s="10"/>
      <c r="AC373" s="10"/>
      <c r="AD373" s="10"/>
      <c r="AE373" s="10"/>
      <c r="AF373" s="10"/>
      <c r="AG373" s="10"/>
      <c r="AH373" s="10"/>
    </row>
    <row r="374" spans="1:34" ht="15.75" customHeight="1">
      <c r="A374" s="13"/>
      <c r="B374" s="14"/>
      <c r="C374" s="14"/>
      <c r="D374" s="14"/>
      <c r="E374" s="15"/>
      <c r="F374" s="14"/>
      <c r="G374" s="14"/>
      <c r="H374" s="17"/>
      <c r="I374" s="17"/>
      <c r="J374" s="17"/>
      <c r="K374" s="21"/>
      <c r="L374" s="17"/>
      <c r="M374" s="17"/>
      <c r="N374" s="14"/>
      <c r="O374" s="14"/>
      <c r="P374" s="14"/>
      <c r="Q374" s="14"/>
      <c r="R374" s="14"/>
      <c r="S374" s="10"/>
      <c r="T374" s="10"/>
      <c r="U374" s="10"/>
      <c r="V374" s="10"/>
      <c r="W374" s="10"/>
      <c r="X374" s="10"/>
      <c r="Y374" s="10"/>
      <c r="Z374" s="10"/>
      <c r="AA374" s="10"/>
      <c r="AB374" s="10"/>
      <c r="AC374" s="10"/>
      <c r="AD374" s="10"/>
      <c r="AE374" s="10"/>
      <c r="AF374" s="10"/>
      <c r="AG374" s="10"/>
      <c r="AH374" s="10"/>
    </row>
    <row r="375" spans="1:34" ht="15.75" customHeight="1">
      <c r="A375" s="13"/>
      <c r="B375" s="14"/>
      <c r="C375" s="14"/>
      <c r="D375" s="14"/>
      <c r="E375" s="15"/>
      <c r="F375" s="14"/>
      <c r="G375" s="14"/>
      <c r="H375" s="17"/>
      <c r="I375" s="17"/>
      <c r="J375" s="17"/>
      <c r="K375" s="21"/>
      <c r="L375" s="17"/>
      <c r="M375" s="17"/>
      <c r="N375" s="14"/>
      <c r="O375" s="14"/>
      <c r="P375" s="14"/>
      <c r="Q375" s="14"/>
      <c r="R375" s="14"/>
      <c r="S375" s="10"/>
      <c r="T375" s="10"/>
      <c r="U375" s="10"/>
      <c r="V375" s="10"/>
      <c r="W375" s="10"/>
      <c r="X375" s="10"/>
      <c r="Y375" s="10"/>
      <c r="Z375" s="10"/>
      <c r="AA375" s="10"/>
      <c r="AB375" s="10"/>
      <c r="AC375" s="10"/>
      <c r="AD375" s="10"/>
      <c r="AE375" s="10"/>
      <c r="AF375" s="10"/>
      <c r="AG375" s="10"/>
      <c r="AH375" s="10"/>
    </row>
    <row r="376" spans="1:34" ht="15.75" customHeight="1">
      <c r="A376" s="13"/>
      <c r="B376" s="14"/>
      <c r="C376" s="14"/>
      <c r="D376" s="14"/>
      <c r="E376" s="15"/>
      <c r="F376" s="14"/>
      <c r="G376" s="14"/>
      <c r="H376" s="17"/>
      <c r="I376" s="17"/>
      <c r="J376" s="17"/>
      <c r="K376" s="21"/>
      <c r="L376" s="17"/>
      <c r="M376" s="17"/>
      <c r="N376" s="14"/>
      <c r="O376" s="14"/>
      <c r="P376" s="14"/>
      <c r="Q376" s="14"/>
      <c r="R376" s="14"/>
      <c r="S376" s="10"/>
      <c r="T376" s="10"/>
      <c r="U376" s="10"/>
      <c r="V376" s="10"/>
      <c r="W376" s="10"/>
      <c r="X376" s="10"/>
      <c r="Y376" s="10"/>
      <c r="Z376" s="10"/>
      <c r="AA376" s="10"/>
      <c r="AB376" s="10"/>
      <c r="AC376" s="10"/>
      <c r="AD376" s="10"/>
      <c r="AE376" s="10"/>
      <c r="AF376" s="10"/>
      <c r="AG376" s="10"/>
      <c r="AH376" s="10"/>
    </row>
    <row r="377" spans="1:34" ht="15.75" customHeight="1">
      <c r="A377" s="13"/>
      <c r="B377" s="14"/>
      <c r="C377" s="14"/>
      <c r="D377" s="14"/>
      <c r="E377" s="15"/>
      <c r="F377" s="14"/>
      <c r="G377" s="14"/>
      <c r="H377" s="17"/>
      <c r="I377" s="17"/>
      <c r="J377" s="17"/>
      <c r="K377" s="21"/>
      <c r="L377" s="17"/>
      <c r="M377" s="17"/>
      <c r="N377" s="14"/>
      <c r="O377" s="14"/>
      <c r="P377" s="14"/>
      <c r="Q377" s="14"/>
      <c r="R377" s="14"/>
      <c r="S377" s="10"/>
      <c r="T377" s="10"/>
      <c r="U377" s="10"/>
      <c r="V377" s="10"/>
      <c r="W377" s="10"/>
      <c r="X377" s="10"/>
      <c r="Y377" s="10"/>
      <c r="Z377" s="10"/>
      <c r="AA377" s="10"/>
      <c r="AB377" s="10"/>
      <c r="AC377" s="10"/>
      <c r="AD377" s="10"/>
      <c r="AE377" s="10"/>
      <c r="AF377" s="10"/>
      <c r="AG377" s="10"/>
      <c r="AH377" s="10"/>
    </row>
    <row r="378" spans="1:34" ht="15.75" customHeight="1">
      <c r="A378" s="13"/>
      <c r="B378" s="14"/>
      <c r="C378" s="14"/>
      <c r="D378" s="14"/>
      <c r="E378" s="15"/>
      <c r="F378" s="14"/>
      <c r="G378" s="14"/>
      <c r="H378" s="17"/>
      <c r="I378" s="17"/>
      <c r="J378" s="17"/>
      <c r="K378" s="21"/>
      <c r="L378" s="17"/>
      <c r="M378" s="17"/>
      <c r="N378" s="14"/>
      <c r="O378" s="14"/>
      <c r="P378" s="14"/>
      <c r="Q378" s="14"/>
      <c r="R378" s="14"/>
      <c r="S378" s="10"/>
      <c r="T378" s="10"/>
      <c r="U378" s="10"/>
      <c r="V378" s="10"/>
      <c r="W378" s="10"/>
      <c r="X378" s="10"/>
      <c r="Y378" s="10"/>
      <c r="Z378" s="10"/>
      <c r="AA378" s="10"/>
      <c r="AB378" s="10"/>
      <c r="AC378" s="10"/>
      <c r="AD378" s="10"/>
      <c r="AE378" s="10"/>
      <c r="AF378" s="10"/>
      <c r="AG378" s="10"/>
      <c r="AH378" s="10"/>
    </row>
    <row r="379" spans="1:34" ht="15.75" customHeight="1">
      <c r="A379" s="13"/>
      <c r="B379" s="14"/>
      <c r="C379" s="14"/>
      <c r="D379" s="14"/>
      <c r="E379" s="15"/>
      <c r="F379" s="14"/>
      <c r="G379" s="14"/>
      <c r="H379" s="17"/>
      <c r="I379" s="17"/>
      <c r="J379" s="17"/>
      <c r="K379" s="21"/>
      <c r="L379" s="17"/>
      <c r="M379" s="17"/>
      <c r="N379" s="14"/>
      <c r="O379" s="14"/>
      <c r="P379" s="14"/>
      <c r="Q379" s="14"/>
      <c r="R379" s="14"/>
      <c r="S379" s="10"/>
      <c r="T379" s="10"/>
      <c r="U379" s="10"/>
      <c r="V379" s="10"/>
      <c r="W379" s="10"/>
      <c r="X379" s="10"/>
      <c r="Y379" s="10"/>
      <c r="Z379" s="10"/>
      <c r="AA379" s="10"/>
      <c r="AB379" s="10"/>
      <c r="AC379" s="10"/>
      <c r="AD379" s="10"/>
      <c r="AE379" s="10"/>
      <c r="AF379" s="10"/>
      <c r="AG379" s="10"/>
      <c r="AH379" s="10"/>
    </row>
    <row r="380" spans="1:34" ht="15.75" customHeight="1">
      <c r="A380" s="13"/>
      <c r="B380" s="14"/>
      <c r="C380" s="14"/>
      <c r="D380" s="14"/>
      <c r="E380" s="15"/>
      <c r="F380" s="14"/>
      <c r="G380" s="14"/>
      <c r="H380" s="17"/>
      <c r="I380" s="17"/>
      <c r="J380" s="17"/>
      <c r="K380" s="21"/>
      <c r="L380" s="17"/>
      <c r="M380" s="17"/>
      <c r="N380" s="14"/>
      <c r="O380" s="14"/>
      <c r="P380" s="14"/>
      <c r="Q380" s="14"/>
      <c r="R380" s="14"/>
      <c r="S380" s="10"/>
      <c r="T380" s="10"/>
      <c r="U380" s="10"/>
      <c r="V380" s="10"/>
      <c r="W380" s="10"/>
      <c r="X380" s="10"/>
      <c r="Y380" s="10"/>
      <c r="Z380" s="10"/>
      <c r="AA380" s="10"/>
      <c r="AB380" s="10"/>
      <c r="AC380" s="10"/>
      <c r="AD380" s="10"/>
      <c r="AE380" s="10"/>
      <c r="AF380" s="10"/>
      <c r="AG380" s="10"/>
      <c r="AH380" s="10"/>
    </row>
    <row r="381" spans="1:34" ht="15.75" customHeight="1">
      <c r="A381" s="13"/>
      <c r="B381" s="14"/>
      <c r="C381" s="14"/>
      <c r="D381" s="14"/>
      <c r="E381" s="15"/>
      <c r="F381" s="14"/>
      <c r="G381" s="14"/>
      <c r="H381" s="17"/>
      <c r="I381" s="17"/>
      <c r="J381" s="17"/>
      <c r="K381" s="21"/>
      <c r="L381" s="17"/>
      <c r="M381" s="17"/>
      <c r="N381" s="14"/>
      <c r="O381" s="14"/>
      <c r="P381" s="14"/>
      <c r="Q381" s="14"/>
      <c r="R381" s="14"/>
      <c r="S381" s="10"/>
      <c r="T381" s="10"/>
      <c r="U381" s="10"/>
      <c r="V381" s="10"/>
      <c r="W381" s="10"/>
      <c r="X381" s="10"/>
      <c r="Y381" s="10"/>
      <c r="Z381" s="10"/>
      <c r="AA381" s="10"/>
      <c r="AB381" s="10"/>
      <c r="AC381" s="10"/>
      <c r="AD381" s="10"/>
      <c r="AE381" s="10"/>
      <c r="AF381" s="10"/>
      <c r="AG381" s="10"/>
      <c r="AH381" s="10"/>
    </row>
    <row r="382" spans="1:34" ht="15.75" customHeight="1">
      <c r="A382" s="13"/>
      <c r="B382" s="14"/>
      <c r="C382" s="14"/>
      <c r="D382" s="14"/>
      <c r="E382" s="15"/>
      <c r="F382" s="14"/>
      <c r="G382" s="14"/>
      <c r="H382" s="17"/>
      <c r="I382" s="17"/>
      <c r="J382" s="17"/>
      <c r="K382" s="21"/>
      <c r="L382" s="17"/>
      <c r="M382" s="17"/>
      <c r="N382" s="14"/>
      <c r="O382" s="14"/>
      <c r="P382" s="14"/>
      <c r="Q382" s="14"/>
      <c r="R382" s="14"/>
      <c r="S382" s="10"/>
      <c r="T382" s="10"/>
      <c r="U382" s="10"/>
      <c r="V382" s="10"/>
      <c r="W382" s="10"/>
      <c r="X382" s="10"/>
      <c r="Y382" s="10"/>
      <c r="Z382" s="10"/>
      <c r="AA382" s="10"/>
      <c r="AB382" s="10"/>
      <c r="AC382" s="10"/>
      <c r="AD382" s="10"/>
      <c r="AE382" s="10"/>
      <c r="AF382" s="10"/>
      <c r="AG382" s="10"/>
      <c r="AH382" s="10"/>
    </row>
    <row r="383" spans="1:34" ht="15.75" customHeight="1">
      <c r="A383" s="13"/>
      <c r="B383" s="14"/>
      <c r="C383" s="14"/>
      <c r="D383" s="14"/>
      <c r="E383" s="15"/>
      <c r="F383" s="14"/>
      <c r="G383" s="14"/>
      <c r="H383" s="17"/>
      <c r="I383" s="17"/>
      <c r="J383" s="17"/>
      <c r="K383" s="21"/>
      <c r="L383" s="17"/>
      <c r="M383" s="17"/>
      <c r="N383" s="14"/>
      <c r="O383" s="14"/>
      <c r="P383" s="14"/>
      <c r="Q383" s="14"/>
      <c r="R383" s="14"/>
      <c r="S383" s="10"/>
      <c r="T383" s="10"/>
      <c r="U383" s="10"/>
      <c r="V383" s="10"/>
      <c r="W383" s="10"/>
      <c r="X383" s="10"/>
      <c r="Y383" s="10"/>
      <c r="Z383" s="10"/>
      <c r="AA383" s="10"/>
      <c r="AB383" s="10"/>
      <c r="AC383" s="10"/>
      <c r="AD383" s="10"/>
      <c r="AE383" s="10"/>
      <c r="AF383" s="10"/>
      <c r="AG383" s="10"/>
      <c r="AH383" s="10"/>
    </row>
    <row r="384" spans="1:34" ht="15.75" customHeight="1">
      <c r="A384" s="13"/>
      <c r="B384" s="14"/>
      <c r="C384" s="14"/>
      <c r="D384" s="14"/>
      <c r="E384" s="15"/>
      <c r="F384" s="14"/>
      <c r="G384" s="14"/>
      <c r="H384" s="17"/>
      <c r="I384" s="17"/>
      <c r="J384" s="17"/>
      <c r="K384" s="21"/>
      <c r="L384" s="17"/>
      <c r="M384" s="17"/>
      <c r="N384" s="14"/>
      <c r="O384" s="14"/>
      <c r="P384" s="14"/>
      <c r="Q384" s="14"/>
      <c r="R384" s="14"/>
      <c r="S384" s="10"/>
      <c r="T384" s="10"/>
      <c r="U384" s="10"/>
      <c r="V384" s="10"/>
      <c r="W384" s="10"/>
      <c r="X384" s="10"/>
      <c r="Y384" s="10"/>
      <c r="Z384" s="10"/>
      <c r="AA384" s="10"/>
      <c r="AB384" s="10"/>
      <c r="AC384" s="10"/>
      <c r="AD384" s="10"/>
      <c r="AE384" s="10"/>
      <c r="AF384" s="10"/>
      <c r="AG384" s="10"/>
      <c r="AH384" s="10"/>
    </row>
    <row r="385" spans="1:34" ht="15.75" customHeight="1">
      <c r="A385" s="13"/>
      <c r="B385" s="14"/>
      <c r="C385" s="14"/>
      <c r="D385" s="14"/>
      <c r="E385" s="15"/>
      <c r="F385" s="14"/>
      <c r="G385" s="14"/>
      <c r="H385" s="17"/>
      <c r="I385" s="17"/>
      <c r="J385" s="17"/>
      <c r="K385" s="21"/>
      <c r="L385" s="17"/>
      <c r="M385" s="17"/>
      <c r="N385" s="14"/>
      <c r="O385" s="14"/>
      <c r="P385" s="14"/>
      <c r="Q385" s="14"/>
      <c r="R385" s="14"/>
      <c r="S385" s="10"/>
      <c r="T385" s="10"/>
      <c r="U385" s="10"/>
      <c r="V385" s="10"/>
      <c r="W385" s="10"/>
      <c r="X385" s="10"/>
      <c r="Y385" s="10"/>
      <c r="Z385" s="10"/>
      <c r="AA385" s="10"/>
      <c r="AB385" s="10"/>
      <c r="AC385" s="10"/>
      <c r="AD385" s="10"/>
      <c r="AE385" s="10"/>
      <c r="AF385" s="10"/>
      <c r="AG385" s="10"/>
      <c r="AH385" s="10"/>
    </row>
    <row r="386" spans="1:34" ht="15.75" customHeight="1">
      <c r="A386" s="13"/>
      <c r="B386" s="14"/>
      <c r="C386" s="14"/>
      <c r="D386" s="14"/>
      <c r="E386" s="15"/>
      <c r="F386" s="14"/>
      <c r="G386" s="14"/>
      <c r="H386" s="17"/>
      <c r="I386" s="17"/>
      <c r="J386" s="17"/>
      <c r="K386" s="21"/>
      <c r="L386" s="17"/>
      <c r="M386" s="17"/>
      <c r="N386" s="14"/>
      <c r="O386" s="14"/>
      <c r="P386" s="14"/>
      <c r="Q386" s="14"/>
      <c r="R386" s="14"/>
      <c r="S386" s="10"/>
      <c r="T386" s="10"/>
      <c r="U386" s="10"/>
      <c r="V386" s="10"/>
      <c r="W386" s="10"/>
      <c r="X386" s="10"/>
      <c r="Y386" s="10"/>
      <c r="Z386" s="10"/>
      <c r="AA386" s="10"/>
      <c r="AB386" s="10"/>
      <c r="AC386" s="10"/>
      <c r="AD386" s="10"/>
      <c r="AE386" s="10"/>
      <c r="AF386" s="10"/>
      <c r="AG386" s="10"/>
      <c r="AH386" s="10"/>
    </row>
    <row r="387" spans="1:34" ht="15.75" customHeight="1">
      <c r="A387" s="13"/>
      <c r="B387" s="14"/>
      <c r="C387" s="14"/>
      <c r="D387" s="14"/>
      <c r="E387" s="15"/>
      <c r="F387" s="14"/>
      <c r="G387" s="14"/>
      <c r="H387" s="17"/>
      <c r="I387" s="17"/>
      <c r="J387" s="17"/>
      <c r="K387" s="21"/>
      <c r="L387" s="17"/>
      <c r="M387" s="17"/>
      <c r="N387" s="14"/>
      <c r="O387" s="14"/>
      <c r="P387" s="14"/>
      <c r="Q387" s="14"/>
      <c r="R387" s="14"/>
      <c r="S387" s="10"/>
      <c r="T387" s="10"/>
      <c r="U387" s="10"/>
      <c r="V387" s="10"/>
      <c r="W387" s="10"/>
      <c r="X387" s="10"/>
      <c r="Y387" s="10"/>
      <c r="Z387" s="10"/>
      <c r="AA387" s="10"/>
      <c r="AB387" s="10"/>
      <c r="AC387" s="10"/>
      <c r="AD387" s="10"/>
      <c r="AE387" s="10"/>
      <c r="AF387" s="10"/>
      <c r="AG387" s="10"/>
      <c r="AH387" s="10"/>
    </row>
    <row r="388" spans="1:34" ht="15.75" customHeight="1">
      <c r="A388" s="13"/>
      <c r="B388" s="14"/>
      <c r="C388" s="14"/>
      <c r="D388" s="14"/>
      <c r="E388" s="15"/>
      <c r="F388" s="14"/>
      <c r="G388" s="14"/>
      <c r="H388" s="17"/>
      <c r="I388" s="17"/>
      <c r="J388" s="17"/>
      <c r="K388" s="21"/>
      <c r="L388" s="17"/>
      <c r="M388" s="17"/>
      <c r="N388" s="14"/>
      <c r="O388" s="14"/>
      <c r="P388" s="14"/>
      <c r="Q388" s="14"/>
      <c r="R388" s="14"/>
      <c r="S388" s="10"/>
      <c r="T388" s="10"/>
      <c r="U388" s="10"/>
      <c r="V388" s="10"/>
      <c r="W388" s="10"/>
      <c r="X388" s="10"/>
      <c r="Y388" s="10"/>
      <c r="Z388" s="10"/>
      <c r="AA388" s="10"/>
      <c r="AB388" s="10"/>
      <c r="AC388" s="10"/>
      <c r="AD388" s="10"/>
      <c r="AE388" s="10"/>
      <c r="AF388" s="10"/>
      <c r="AG388" s="10"/>
      <c r="AH388" s="10"/>
    </row>
    <row r="389" spans="1:34" ht="15.75" customHeight="1">
      <c r="A389" s="13"/>
      <c r="B389" s="14"/>
      <c r="C389" s="14"/>
      <c r="D389" s="14"/>
      <c r="E389" s="15"/>
      <c r="F389" s="14"/>
      <c r="G389" s="14"/>
      <c r="H389" s="17"/>
      <c r="I389" s="17"/>
      <c r="J389" s="17"/>
      <c r="K389" s="21"/>
      <c r="L389" s="17"/>
      <c r="M389" s="17"/>
      <c r="N389" s="14"/>
      <c r="O389" s="14"/>
      <c r="P389" s="14"/>
      <c r="Q389" s="14"/>
      <c r="R389" s="14"/>
      <c r="S389" s="10"/>
      <c r="T389" s="10"/>
      <c r="U389" s="10"/>
      <c r="V389" s="10"/>
      <c r="W389" s="10"/>
      <c r="X389" s="10"/>
      <c r="Y389" s="10"/>
      <c r="Z389" s="10"/>
      <c r="AA389" s="10"/>
      <c r="AB389" s="10"/>
      <c r="AC389" s="10"/>
      <c r="AD389" s="10"/>
      <c r="AE389" s="10"/>
      <c r="AF389" s="10"/>
      <c r="AG389" s="10"/>
      <c r="AH389" s="10"/>
    </row>
    <row r="390" spans="1:34" ht="15.75" customHeight="1">
      <c r="A390" s="13"/>
      <c r="B390" s="14"/>
      <c r="C390" s="14"/>
      <c r="D390" s="14"/>
      <c r="E390" s="15"/>
      <c r="F390" s="14"/>
      <c r="G390" s="14"/>
      <c r="H390" s="17"/>
      <c r="I390" s="17"/>
      <c r="J390" s="17"/>
      <c r="K390" s="21"/>
      <c r="L390" s="17"/>
      <c r="M390" s="17"/>
      <c r="N390" s="14"/>
      <c r="O390" s="14"/>
      <c r="P390" s="14"/>
      <c r="Q390" s="14"/>
      <c r="R390" s="14"/>
      <c r="S390" s="10"/>
      <c r="T390" s="10"/>
      <c r="U390" s="10"/>
      <c r="V390" s="10"/>
      <c r="W390" s="10"/>
      <c r="X390" s="10"/>
      <c r="Y390" s="10"/>
      <c r="Z390" s="10"/>
      <c r="AA390" s="10"/>
      <c r="AB390" s="10"/>
      <c r="AC390" s="10"/>
      <c r="AD390" s="10"/>
      <c r="AE390" s="10"/>
      <c r="AF390" s="10"/>
      <c r="AG390" s="10"/>
      <c r="AH390" s="10"/>
    </row>
    <row r="391" spans="1:34" ht="15.75" customHeight="1">
      <c r="A391" s="13"/>
      <c r="B391" s="14"/>
      <c r="C391" s="14"/>
      <c r="D391" s="14"/>
      <c r="E391" s="15"/>
      <c r="F391" s="14"/>
      <c r="G391" s="14"/>
      <c r="H391" s="17"/>
      <c r="I391" s="17"/>
      <c r="J391" s="17"/>
      <c r="K391" s="21"/>
      <c r="L391" s="17"/>
      <c r="M391" s="17"/>
      <c r="N391" s="14"/>
      <c r="O391" s="14"/>
      <c r="P391" s="14"/>
      <c r="Q391" s="14"/>
      <c r="R391" s="14"/>
      <c r="S391" s="10"/>
      <c r="T391" s="10"/>
      <c r="U391" s="10"/>
      <c r="V391" s="10"/>
      <c r="W391" s="10"/>
      <c r="X391" s="10"/>
      <c r="Y391" s="10"/>
      <c r="Z391" s="10"/>
      <c r="AA391" s="10"/>
      <c r="AB391" s="10"/>
      <c r="AC391" s="10"/>
      <c r="AD391" s="10"/>
      <c r="AE391" s="10"/>
      <c r="AF391" s="10"/>
      <c r="AG391" s="10"/>
      <c r="AH391" s="10"/>
    </row>
    <row r="392" spans="1:34" ht="15.75" customHeight="1">
      <c r="A392" s="13"/>
      <c r="B392" s="14"/>
      <c r="C392" s="14"/>
      <c r="D392" s="14"/>
      <c r="E392" s="15"/>
      <c r="F392" s="14"/>
      <c r="G392" s="14"/>
      <c r="H392" s="17"/>
      <c r="I392" s="17"/>
      <c r="J392" s="17"/>
      <c r="K392" s="21"/>
      <c r="L392" s="17"/>
      <c r="M392" s="17"/>
      <c r="N392" s="14"/>
      <c r="O392" s="14"/>
      <c r="P392" s="14"/>
      <c r="Q392" s="14"/>
      <c r="R392" s="14"/>
      <c r="S392" s="10"/>
      <c r="T392" s="10"/>
      <c r="U392" s="10"/>
      <c r="V392" s="10"/>
      <c r="W392" s="10"/>
      <c r="X392" s="10"/>
      <c r="Y392" s="10"/>
      <c r="Z392" s="10"/>
      <c r="AA392" s="10"/>
      <c r="AB392" s="10"/>
      <c r="AC392" s="10"/>
      <c r="AD392" s="10"/>
      <c r="AE392" s="10"/>
      <c r="AF392" s="10"/>
      <c r="AG392" s="10"/>
      <c r="AH392" s="10"/>
    </row>
    <row r="393" spans="1:34" ht="15.75" customHeight="1">
      <c r="A393" s="13"/>
      <c r="B393" s="14"/>
      <c r="C393" s="14"/>
      <c r="D393" s="14"/>
      <c r="E393" s="15"/>
      <c r="F393" s="14"/>
      <c r="G393" s="14"/>
      <c r="H393" s="17"/>
      <c r="I393" s="17"/>
      <c r="J393" s="17"/>
      <c r="K393" s="21"/>
      <c r="L393" s="17"/>
      <c r="M393" s="17"/>
      <c r="N393" s="14"/>
      <c r="O393" s="14"/>
      <c r="P393" s="14"/>
      <c r="Q393" s="14"/>
      <c r="R393" s="14"/>
      <c r="S393" s="10"/>
      <c r="T393" s="10"/>
      <c r="U393" s="10"/>
      <c r="V393" s="10"/>
      <c r="W393" s="10"/>
      <c r="X393" s="10"/>
      <c r="Y393" s="10"/>
      <c r="Z393" s="10"/>
      <c r="AA393" s="10"/>
      <c r="AB393" s="10"/>
      <c r="AC393" s="10"/>
      <c r="AD393" s="10"/>
      <c r="AE393" s="10"/>
      <c r="AF393" s="10"/>
      <c r="AG393" s="10"/>
      <c r="AH393" s="10"/>
    </row>
    <row r="394" spans="1:34" ht="15.75" customHeight="1">
      <c r="A394" s="13"/>
      <c r="B394" s="14"/>
      <c r="C394" s="14"/>
      <c r="D394" s="14"/>
      <c r="E394" s="15"/>
      <c r="F394" s="14"/>
      <c r="G394" s="14"/>
      <c r="H394" s="17"/>
      <c r="I394" s="17"/>
      <c r="J394" s="17"/>
      <c r="K394" s="21"/>
      <c r="L394" s="17"/>
      <c r="M394" s="17"/>
      <c r="N394" s="14"/>
      <c r="O394" s="14"/>
      <c r="P394" s="14"/>
      <c r="Q394" s="14"/>
      <c r="R394" s="14"/>
      <c r="S394" s="10"/>
      <c r="T394" s="10"/>
      <c r="U394" s="10"/>
      <c r="V394" s="10"/>
      <c r="W394" s="10"/>
      <c r="X394" s="10"/>
      <c r="Y394" s="10"/>
      <c r="Z394" s="10"/>
      <c r="AA394" s="10"/>
      <c r="AB394" s="10"/>
      <c r="AC394" s="10"/>
      <c r="AD394" s="10"/>
      <c r="AE394" s="10"/>
      <c r="AF394" s="10"/>
      <c r="AG394" s="10"/>
      <c r="AH394" s="10"/>
    </row>
    <row r="395" spans="1:34" ht="15.75" customHeight="1">
      <c r="A395" s="13"/>
      <c r="B395" s="14"/>
      <c r="C395" s="14"/>
      <c r="D395" s="14"/>
      <c r="E395" s="15"/>
      <c r="F395" s="14"/>
      <c r="G395" s="14"/>
      <c r="H395" s="17"/>
      <c r="I395" s="17"/>
      <c r="J395" s="17"/>
      <c r="K395" s="21"/>
      <c r="L395" s="17"/>
      <c r="M395" s="17"/>
      <c r="N395" s="14"/>
      <c r="O395" s="14"/>
      <c r="P395" s="14"/>
      <c r="Q395" s="14"/>
      <c r="R395" s="14"/>
      <c r="S395" s="10"/>
      <c r="T395" s="10"/>
      <c r="U395" s="10"/>
      <c r="V395" s="10"/>
      <c r="W395" s="10"/>
      <c r="X395" s="10"/>
      <c r="Y395" s="10"/>
      <c r="Z395" s="10"/>
      <c r="AA395" s="10"/>
      <c r="AB395" s="10"/>
      <c r="AC395" s="10"/>
      <c r="AD395" s="10"/>
      <c r="AE395" s="10"/>
      <c r="AF395" s="10"/>
      <c r="AG395" s="10"/>
      <c r="AH395" s="10"/>
    </row>
    <row r="396" spans="1:34" ht="15.75" customHeight="1">
      <c r="A396" s="13"/>
      <c r="B396" s="14"/>
      <c r="C396" s="14"/>
      <c r="D396" s="14"/>
      <c r="E396" s="15"/>
      <c r="F396" s="14"/>
      <c r="G396" s="14"/>
      <c r="H396" s="17"/>
      <c r="I396" s="17"/>
      <c r="J396" s="17"/>
      <c r="K396" s="21"/>
      <c r="L396" s="17"/>
      <c r="M396" s="17"/>
      <c r="N396" s="14"/>
      <c r="O396" s="14"/>
      <c r="P396" s="14"/>
      <c r="Q396" s="14"/>
      <c r="R396" s="14"/>
      <c r="S396" s="10"/>
      <c r="T396" s="10"/>
      <c r="U396" s="10"/>
      <c r="V396" s="10"/>
      <c r="W396" s="10"/>
      <c r="X396" s="10"/>
      <c r="Y396" s="10"/>
      <c r="Z396" s="10"/>
      <c r="AA396" s="10"/>
      <c r="AB396" s="10"/>
      <c r="AC396" s="10"/>
      <c r="AD396" s="10"/>
      <c r="AE396" s="10"/>
      <c r="AF396" s="10"/>
      <c r="AG396" s="10"/>
      <c r="AH396" s="10"/>
    </row>
    <row r="397" spans="1:34" ht="15.75" customHeight="1">
      <c r="A397" s="13"/>
      <c r="B397" s="14"/>
      <c r="C397" s="14"/>
      <c r="D397" s="14"/>
      <c r="E397" s="15"/>
      <c r="F397" s="14"/>
      <c r="G397" s="14"/>
      <c r="H397" s="17"/>
      <c r="I397" s="17"/>
      <c r="J397" s="17"/>
      <c r="K397" s="21"/>
      <c r="L397" s="17"/>
      <c r="M397" s="17"/>
      <c r="N397" s="14"/>
      <c r="O397" s="14"/>
      <c r="P397" s="14"/>
      <c r="Q397" s="14"/>
      <c r="R397" s="14"/>
      <c r="S397" s="10"/>
      <c r="T397" s="10"/>
      <c r="U397" s="10"/>
      <c r="V397" s="10"/>
      <c r="W397" s="10"/>
      <c r="X397" s="10"/>
      <c r="Y397" s="10"/>
      <c r="Z397" s="10"/>
      <c r="AA397" s="10"/>
      <c r="AB397" s="10"/>
      <c r="AC397" s="10"/>
      <c r="AD397" s="10"/>
      <c r="AE397" s="10"/>
      <c r="AF397" s="10"/>
      <c r="AG397" s="10"/>
      <c r="AH397" s="10"/>
    </row>
    <row r="398" spans="1:34" ht="15.75" customHeight="1">
      <c r="A398" s="13"/>
      <c r="B398" s="14"/>
      <c r="C398" s="14"/>
      <c r="D398" s="14"/>
      <c r="E398" s="15"/>
      <c r="F398" s="14"/>
      <c r="G398" s="14"/>
      <c r="H398" s="17"/>
      <c r="I398" s="17"/>
      <c r="J398" s="17"/>
      <c r="K398" s="21"/>
      <c r="L398" s="17"/>
      <c r="M398" s="17"/>
      <c r="N398" s="14"/>
      <c r="O398" s="14"/>
      <c r="P398" s="14"/>
      <c r="Q398" s="14"/>
      <c r="R398" s="14"/>
      <c r="S398" s="10"/>
      <c r="T398" s="10"/>
      <c r="U398" s="10"/>
      <c r="V398" s="10"/>
      <c r="W398" s="10"/>
      <c r="X398" s="10"/>
      <c r="Y398" s="10"/>
      <c r="Z398" s="10"/>
      <c r="AA398" s="10"/>
      <c r="AB398" s="10"/>
      <c r="AC398" s="10"/>
      <c r="AD398" s="10"/>
      <c r="AE398" s="10"/>
      <c r="AF398" s="10"/>
      <c r="AG398" s="10"/>
      <c r="AH398" s="10"/>
    </row>
    <row r="399" spans="1:34" ht="15.75" customHeight="1">
      <c r="A399" s="13"/>
      <c r="B399" s="14"/>
      <c r="C399" s="14"/>
      <c r="D399" s="14"/>
      <c r="E399" s="15"/>
      <c r="F399" s="14"/>
      <c r="G399" s="14"/>
      <c r="H399" s="17"/>
      <c r="I399" s="17"/>
      <c r="J399" s="17"/>
      <c r="K399" s="21"/>
      <c r="L399" s="17"/>
      <c r="M399" s="17"/>
      <c r="N399" s="14"/>
      <c r="O399" s="14"/>
      <c r="P399" s="14"/>
      <c r="Q399" s="14"/>
      <c r="R399" s="14"/>
      <c r="S399" s="10"/>
      <c r="T399" s="10"/>
      <c r="U399" s="10"/>
      <c r="V399" s="10"/>
      <c r="W399" s="10"/>
      <c r="X399" s="10"/>
      <c r="Y399" s="10"/>
      <c r="Z399" s="10"/>
      <c r="AA399" s="10"/>
      <c r="AB399" s="10"/>
      <c r="AC399" s="10"/>
      <c r="AD399" s="10"/>
      <c r="AE399" s="10"/>
      <c r="AF399" s="10"/>
      <c r="AG399" s="10"/>
      <c r="AH399" s="10"/>
    </row>
    <row r="400" spans="1:34" ht="15.75" customHeight="1">
      <c r="A400" s="13"/>
      <c r="B400" s="14"/>
      <c r="C400" s="14"/>
      <c r="D400" s="14"/>
      <c r="E400" s="15"/>
      <c r="F400" s="14"/>
      <c r="G400" s="14"/>
      <c r="H400" s="17"/>
      <c r="I400" s="17"/>
      <c r="J400" s="17"/>
      <c r="K400" s="21"/>
      <c r="L400" s="17"/>
      <c r="M400" s="17"/>
      <c r="N400" s="14"/>
      <c r="O400" s="14"/>
      <c r="P400" s="14"/>
      <c r="Q400" s="14"/>
      <c r="R400" s="14"/>
      <c r="S400" s="10"/>
      <c r="T400" s="10"/>
      <c r="U400" s="10"/>
      <c r="V400" s="10"/>
      <c r="W400" s="10"/>
      <c r="X400" s="10"/>
      <c r="Y400" s="10"/>
      <c r="Z400" s="10"/>
      <c r="AA400" s="10"/>
      <c r="AB400" s="10"/>
      <c r="AC400" s="10"/>
      <c r="AD400" s="10"/>
      <c r="AE400" s="10"/>
      <c r="AF400" s="10"/>
      <c r="AG400" s="10"/>
      <c r="AH400" s="10"/>
    </row>
    <row r="401" spans="1:34" ht="15.75" customHeight="1">
      <c r="A401" s="13"/>
      <c r="B401" s="14"/>
      <c r="C401" s="14"/>
      <c r="D401" s="14"/>
      <c r="E401" s="15"/>
      <c r="F401" s="14"/>
      <c r="G401" s="14"/>
      <c r="H401" s="17"/>
      <c r="I401" s="17"/>
      <c r="J401" s="17"/>
      <c r="K401" s="21"/>
      <c r="L401" s="17"/>
      <c r="M401" s="17"/>
      <c r="N401" s="14"/>
      <c r="O401" s="14"/>
      <c r="P401" s="14"/>
      <c r="Q401" s="14"/>
      <c r="R401" s="14"/>
      <c r="S401" s="10"/>
      <c r="T401" s="10"/>
      <c r="U401" s="10"/>
      <c r="V401" s="10"/>
      <c r="W401" s="10"/>
      <c r="X401" s="10"/>
      <c r="Y401" s="10"/>
      <c r="Z401" s="10"/>
      <c r="AA401" s="10"/>
      <c r="AB401" s="10"/>
      <c r="AC401" s="10"/>
      <c r="AD401" s="10"/>
      <c r="AE401" s="10"/>
      <c r="AF401" s="10"/>
      <c r="AG401" s="10"/>
      <c r="AH401" s="10"/>
    </row>
    <row r="402" spans="1:34" ht="15.75" customHeight="1">
      <c r="A402" s="13"/>
      <c r="B402" s="14"/>
      <c r="C402" s="14"/>
      <c r="D402" s="14"/>
      <c r="E402" s="15"/>
      <c r="F402" s="14"/>
      <c r="G402" s="14"/>
      <c r="H402" s="17"/>
      <c r="I402" s="17"/>
      <c r="J402" s="17"/>
      <c r="K402" s="21"/>
      <c r="L402" s="17"/>
      <c r="M402" s="17"/>
      <c r="N402" s="14"/>
      <c r="O402" s="14"/>
      <c r="P402" s="14"/>
      <c r="Q402" s="14"/>
      <c r="R402" s="14"/>
      <c r="S402" s="10"/>
      <c r="T402" s="10"/>
      <c r="U402" s="10"/>
      <c r="V402" s="10"/>
      <c r="W402" s="10"/>
      <c r="X402" s="10"/>
      <c r="Y402" s="10"/>
      <c r="Z402" s="10"/>
      <c r="AA402" s="10"/>
      <c r="AB402" s="10"/>
      <c r="AC402" s="10"/>
      <c r="AD402" s="10"/>
      <c r="AE402" s="10"/>
      <c r="AF402" s="10"/>
      <c r="AG402" s="10"/>
      <c r="AH402" s="10"/>
    </row>
    <row r="403" spans="1:34" ht="15.75" customHeight="1">
      <c r="A403" s="13"/>
      <c r="B403" s="14"/>
      <c r="C403" s="14"/>
      <c r="D403" s="14"/>
      <c r="E403" s="15"/>
      <c r="F403" s="14"/>
      <c r="G403" s="14"/>
      <c r="H403" s="17"/>
      <c r="I403" s="17"/>
      <c r="J403" s="17"/>
      <c r="K403" s="21"/>
      <c r="L403" s="17"/>
      <c r="M403" s="17"/>
      <c r="N403" s="14"/>
      <c r="O403" s="14"/>
      <c r="P403" s="14"/>
      <c r="Q403" s="14"/>
      <c r="R403" s="14"/>
      <c r="S403" s="10"/>
      <c r="T403" s="10"/>
      <c r="U403" s="10"/>
      <c r="V403" s="10"/>
      <c r="W403" s="10"/>
      <c r="X403" s="10"/>
      <c r="Y403" s="10"/>
      <c r="Z403" s="10"/>
      <c r="AA403" s="10"/>
      <c r="AB403" s="10"/>
      <c r="AC403" s="10"/>
      <c r="AD403" s="10"/>
      <c r="AE403" s="10"/>
      <c r="AF403" s="10"/>
      <c r="AG403" s="10"/>
      <c r="AH403" s="10"/>
    </row>
    <row r="404" spans="1:34" ht="15.75" customHeight="1">
      <c r="A404" s="13"/>
      <c r="B404" s="14"/>
      <c r="C404" s="14"/>
      <c r="D404" s="14"/>
      <c r="E404" s="15"/>
      <c r="F404" s="14"/>
      <c r="G404" s="14"/>
      <c r="H404" s="17"/>
      <c r="I404" s="17"/>
      <c r="J404" s="17"/>
      <c r="K404" s="21"/>
      <c r="L404" s="17"/>
      <c r="M404" s="17"/>
      <c r="N404" s="14"/>
      <c r="O404" s="14"/>
      <c r="P404" s="14"/>
      <c r="Q404" s="14"/>
      <c r="R404" s="14"/>
      <c r="S404" s="10"/>
      <c r="T404" s="10"/>
      <c r="U404" s="10"/>
      <c r="V404" s="10"/>
      <c r="W404" s="10"/>
      <c r="X404" s="10"/>
      <c r="Y404" s="10"/>
      <c r="Z404" s="10"/>
      <c r="AA404" s="10"/>
      <c r="AB404" s="10"/>
      <c r="AC404" s="10"/>
      <c r="AD404" s="10"/>
      <c r="AE404" s="10"/>
      <c r="AF404" s="10"/>
      <c r="AG404" s="10"/>
      <c r="AH404" s="10"/>
    </row>
    <row r="405" spans="1:34" ht="15.75" customHeight="1">
      <c r="A405" s="13"/>
      <c r="B405" s="14"/>
      <c r="C405" s="14"/>
      <c r="D405" s="14"/>
      <c r="E405" s="15"/>
      <c r="F405" s="14"/>
      <c r="G405" s="14"/>
      <c r="H405" s="17"/>
      <c r="I405" s="17"/>
      <c r="J405" s="17"/>
      <c r="K405" s="21"/>
      <c r="L405" s="17"/>
      <c r="M405" s="17"/>
      <c r="N405" s="14"/>
      <c r="O405" s="14"/>
      <c r="P405" s="14"/>
      <c r="Q405" s="14"/>
      <c r="R405" s="14"/>
      <c r="S405" s="10"/>
      <c r="T405" s="10"/>
      <c r="U405" s="10"/>
      <c r="V405" s="10"/>
      <c r="W405" s="10"/>
      <c r="X405" s="10"/>
      <c r="Y405" s="10"/>
      <c r="Z405" s="10"/>
      <c r="AA405" s="10"/>
      <c r="AB405" s="10"/>
      <c r="AC405" s="10"/>
      <c r="AD405" s="10"/>
      <c r="AE405" s="10"/>
      <c r="AF405" s="10"/>
      <c r="AG405" s="10"/>
      <c r="AH405" s="10"/>
    </row>
    <row r="406" spans="1:34" ht="15.75" customHeight="1">
      <c r="A406" s="13"/>
      <c r="B406" s="14"/>
      <c r="C406" s="14"/>
      <c r="D406" s="14"/>
      <c r="E406" s="15"/>
      <c r="F406" s="14"/>
      <c r="G406" s="14"/>
      <c r="H406" s="17"/>
      <c r="I406" s="17"/>
      <c r="J406" s="17"/>
      <c r="K406" s="21"/>
      <c r="L406" s="17"/>
      <c r="M406" s="17"/>
      <c r="N406" s="14"/>
      <c r="O406" s="14"/>
      <c r="P406" s="14"/>
      <c r="Q406" s="14"/>
      <c r="R406" s="14"/>
      <c r="S406" s="10"/>
      <c r="T406" s="10"/>
      <c r="U406" s="10"/>
      <c r="V406" s="10"/>
      <c r="W406" s="10"/>
      <c r="X406" s="10"/>
      <c r="Y406" s="10"/>
      <c r="Z406" s="10"/>
      <c r="AA406" s="10"/>
      <c r="AB406" s="10"/>
      <c r="AC406" s="10"/>
      <c r="AD406" s="10"/>
      <c r="AE406" s="10"/>
      <c r="AF406" s="10"/>
      <c r="AG406" s="10"/>
      <c r="AH406" s="10"/>
    </row>
    <row r="407" spans="1:34" ht="15.75" customHeight="1">
      <c r="A407" s="13"/>
      <c r="B407" s="14"/>
      <c r="C407" s="14"/>
      <c r="D407" s="14"/>
      <c r="E407" s="15"/>
      <c r="F407" s="14"/>
      <c r="G407" s="14"/>
      <c r="H407" s="17"/>
      <c r="I407" s="17"/>
      <c r="J407" s="17"/>
      <c r="K407" s="21"/>
      <c r="L407" s="17"/>
      <c r="M407" s="17"/>
      <c r="N407" s="14"/>
      <c r="O407" s="14"/>
      <c r="P407" s="14"/>
      <c r="Q407" s="14"/>
      <c r="R407" s="14"/>
      <c r="S407" s="10"/>
      <c r="T407" s="10"/>
      <c r="U407" s="10"/>
      <c r="V407" s="10"/>
      <c r="W407" s="10"/>
      <c r="X407" s="10"/>
      <c r="Y407" s="10"/>
      <c r="Z407" s="10"/>
      <c r="AA407" s="10"/>
      <c r="AB407" s="10"/>
      <c r="AC407" s="10"/>
      <c r="AD407" s="10"/>
      <c r="AE407" s="10"/>
      <c r="AF407" s="10"/>
      <c r="AG407" s="10"/>
      <c r="AH407" s="10"/>
    </row>
    <row r="408" spans="1:34" ht="15.75" customHeight="1">
      <c r="A408" s="13"/>
      <c r="B408" s="14"/>
      <c r="C408" s="14"/>
      <c r="D408" s="14"/>
      <c r="E408" s="15"/>
      <c r="F408" s="14"/>
      <c r="G408" s="14"/>
      <c r="H408" s="17"/>
      <c r="I408" s="17"/>
      <c r="J408" s="17"/>
      <c r="K408" s="21"/>
      <c r="L408" s="17"/>
      <c r="M408" s="17"/>
      <c r="N408" s="14"/>
      <c r="O408" s="14"/>
      <c r="P408" s="14"/>
      <c r="Q408" s="14"/>
      <c r="R408" s="14"/>
      <c r="S408" s="10"/>
      <c r="T408" s="10"/>
      <c r="U408" s="10"/>
      <c r="V408" s="10"/>
      <c r="W408" s="10"/>
      <c r="X408" s="10"/>
      <c r="Y408" s="10"/>
      <c r="Z408" s="10"/>
      <c r="AA408" s="10"/>
      <c r="AB408" s="10"/>
      <c r="AC408" s="10"/>
      <c r="AD408" s="10"/>
      <c r="AE408" s="10"/>
      <c r="AF408" s="10"/>
      <c r="AG408" s="10"/>
      <c r="AH408" s="10"/>
    </row>
    <row r="409" spans="1:34" ht="15.75" customHeight="1">
      <c r="A409" s="13"/>
      <c r="B409" s="14"/>
      <c r="C409" s="14"/>
      <c r="D409" s="14"/>
      <c r="E409" s="15"/>
      <c r="F409" s="14"/>
      <c r="G409" s="14"/>
      <c r="H409" s="17"/>
      <c r="I409" s="17"/>
      <c r="J409" s="17"/>
      <c r="K409" s="21"/>
      <c r="L409" s="17"/>
      <c r="M409" s="17"/>
      <c r="N409" s="14"/>
      <c r="O409" s="14"/>
      <c r="P409" s="14"/>
      <c r="Q409" s="14"/>
      <c r="R409" s="14"/>
      <c r="S409" s="10"/>
      <c r="T409" s="10"/>
      <c r="U409" s="10"/>
      <c r="V409" s="10"/>
      <c r="W409" s="10"/>
      <c r="X409" s="10"/>
      <c r="Y409" s="10"/>
      <c r="Z409" s="10"/>
      <c r="AA409" s="10"/>
      <c r="AB409" s="10"/>
      <c r="AC409" s="10"/>
      <c r="AD409" s="10"/>
      <c r="AE409" s="10"/>
      <c r="AF409" s="10"/>
      <c r="AG409" s="10"/>
      <c r="AH409" s="10"/>
    </row>
    <row r="410" spans="1:34" ht="15.75" customHeight="1">
      <c r="A410" s="13"/>
      <c r="B410" s="14"/>
      <c r="C410" s="14"/>
      <c r="D410" s="14"/>
      <c r="E410" s="15"/>
      <c r="F410" s="14"/>
      <c r="G410" s="14"/>
      <c r="H410" s="17"/>
      <c r="I410" s="17"/>
      <c r="J410" s="17"/>
      <c r="K410" s="21"/>
      <c r="L410" s="17"/>
      <c r="M410" s="17"/>
      <c r="N410" s="14"/>
      <c r="O410" s="14"/>
      <c r="P410" s="14"/>
      <c r="Q410" s="14"/>
      <c r="R410" s="14"/>
      <c r="S410" s="10"/>
      <c r="T410" s="10"/>
      <c r="U410" s="10"/>
      <c r="V410" s="10"/>
      <c r="W410" s="10"/>
      <c r="X410" s="10"/>
      <c r="Y410" s="10"/>
      <c r="Z410" s="10"/>
      <c r="AA410" s="10"/>
      <c r="AB410" s="10"/>
      <c r="AC410" s="10"/>
      <c r="AD410" s="10"/>
      <c r="AE410" s="10"/>
      <c r="AF410" s="10"/>
      <c r="AG410" s="10"/>
      <c r="AH410" s="10"/>
    </row>
    <row r="411" spans="1:34" ht="15.75" customHeight="1">
      <c r="A411" s="13"/>
      <c r="B411" s="14"/>
      <c r="C411" s="14"/>
      <c r="D411" s="14"/>
      <c r="E411" s="15"/>
      <c r="F411" s="14"/>
      <c r="G411" s="14"/>
      <c r="H411" s="17"/>
      <c r="I411" s="17"/>
      <c r="J411" s="17"/>
      <c r="K411" s="21"/>
      <c r="L411" s="17"/>
      <c r="M411" s="17"/>
      <c r="N411" s="14"/>
      <c r="O411" s="14"/>
      <c r="P411" s="14"/>
      <c r="Q411" s="14"/>
      <c r="R411" s="14"/>
      <c r="S411" s="10"/>
      <c r="T411" s="10"/>
      <c r="U411" s="10"/>
      <c r="V411" s="10"/>
      <c r="W411" s="10"/>
      <c r="X411" s="10"/>
      <c r="Y411" s="10"/>
      <c r="Z411" s="10"/>
      <c r="AA411" s="10"/>
      <c r="AB411" s="10"/>
      <c r="AC411" s="10"/>
      <c r="AD411" s="10"/>
      <c r="AE411" s="10"/>
      <c r="AF411" s="10"/>
      <c r="AG411" s="10"/>
      <c r="AH411" s="10"/>
    </row>
    <row r="412" spans="1:34" ht="15.75" customHeight="1">
      <c r="A412" s="13"/>
      <c r="B412" s="14"/>
      <c r="C412" s="14"/>
      <c r="D412" s="14"/>
      <c r="E412" s="15"/>
      <c r="F412" s="14"/>
      <c r="G412" s="14"/>
      <c r="H412" s="17"/>
      <c r="I412" s="17"/>
      <c r="J412" s="17"/>
      <c r="K412" s="21"/>
      <c r="L412" s="17"/>
      <c r="M412" s="17"/>
      <c r="N412" s="14"/>
      <c r="O412" s="14"/>
      <c r="P412" s="14"/>
      <c r="Q412" s="14"/>
      <c r="R412" s="14"/>
      <c r="S412" s="10"/>
      <c r="T412" s="10"/>
      <c r="U412" s="10"/>
      <c r="V412" s="10"/>
      <c r="W412" s="10"/>
      <c r="X412" s="10"/>
      <c r="Y412" s="10"/>
      <c r="Z412" s="10"/>
      <c r="AA412" s="10"/>
      <c r="AB412" s="10"/>
      <c r="AC412" s="10"/>
      <c r="AD412" s="10"/>
      <c r="AE412" s="10"/>
      <c r="AF412" s="10"/>
      <c r="AG412" s="10"/>
      <c r="AH412" s="10"/>
    </row>
    <row r="413" spans="1:34" ht="15.75" customHeight="1">
      <c r="A413" s="13"/>
      <c r="B413" s="14"/>
      <c r="C413" s="14"/>
      <c r="D413" s="14"/>
      <c r="E413" s="15"/>
      <c r="F413" s="14"/>
      <c r="G413" s="14"/>
      <c r="H413" s="17"/>
      <c r="I413" s="17"/>
      <c r="J413" s="17"/>
      <c r="K413" s="21"/>
      <c r="L413" s="17"/>
      <c r="M413" s="17"/>
      <c r="N413" s="14"/>
      <c r="O413" s="14"/>
      <c r="P413" s="14"/>
      <c r="Q413" s="14"/>
      <c r="R413" s="14"/>
      <c r="S413" s="10"/>
      <c r="T413" s="10"/>
      <c r="U413" s="10"/>
      <c r="V413" s="10"/>
      <c r="W413" s="10"/>
      <c r="X413" s="10"/>
      <c r="Y413" s="10"/>
      <c r="Z413" s="10"/>
      <c r="AA413" s="10"/>
      <c r="AB413" s="10"/>
      <c r="AC413" s="10"/>
      <c r="AD413" s="10"/>
      <c r="AE413" s="10"/>
      <c r="AF413" s="10"/>
      <c r="AG413" s="10"/>
      <c r="AH413" s="10"/>
    </row>
    <row r="414" spans="1:34" ht="15.75" customHeight="1">
      <c r="A414" s="13"/>
      <c r="B414" s="14"/>
      <c r="C414" s="14"/>
      <c r="D414" s="14"/>
      <c r="E414" s="15"/>
      <c r="F414" s="14"/>
      <c r="G414" s="14"/>
      <c r="H414" s="17"/>
      <c r="I414" s="17"/>
      <c r="J414" s="17"/>
      <c r="K414" s="21"/>
      <c r="L414" s="17"/>
      <c r="M414" s="17"/>
      <c r="N414" s="14"/>
      <c r="O414" s="14"/>
      <c r="P414" s="14"/>
      <c r="Q414" s="14"/>
      <c r="R414" s="14"/>
      <c r="S414" s="10"/>
      <c r="T414" s="10"/>
      <c r="U414" s="10"/>
      <c r="V414" s="10"/>
      <c r="W414" s="10"/>
      <c r="X414" s="10"/>
      <c r="Y414" s="10"/>
      <c r="Z414" s="10"/>
      <c r="AA414" s="10"/>
      <c r="AB414" s="10"/>
      <c r="AC414" s="10"/>
      <c r="AD414" s="10"/>
      <c r="AE414" s="10"/>
      <c r="AF414" s="10"/>
      <c r="AG414" s="10"/>
      <c r="AH414" s="10"/>
    </row>
    <row r="415" spans="1:34" ht="15.75" customHeight="1">
      <c r="A415" s="13"/>
      <c r="B415" s="14"/>
      <c r="C415" s="14"/>
      <c r="D415" s="14"/>
      <c r="E415" s="15"/>
      <c r="F415" s="14"/>
      <c r="G415" s="14"/>
      <c r="H415" s="17"/>
      <c r="I415" s="17"/>
      <c r="J415" s="17"/>
      <c r="K415" s="21"/>
      <c r="L415" s="17"/>
      <c r="M415" s="17"/>
      <c r="N415" s="14"/>
      <c r="O415" s="14"/>
      <c r="P415" s="14"/>
      <c r="Q415" s="14"/>
      <c r="R415" s="14"/>
      <c r="S415" s="10"/>
      <c r="T415" s="10"/>
      <c r="U415" s="10"/>
      <c r="V415" s="10"/>
      <c r="W415" s="10"/>
      <c r="X415" s="10"/>
      <c r="Y415" s="10"/>
      <c r="Z415" s="10"/>
      <c r="AA415" s="10"/>
      <c r="AB415" s="10"/>
      <c r="AC415" s="10"/>
      <c r="AD415" s="10"/>
      <c r="AE415" s="10"/>
      <c r="AF415" s="10"/>
      <c r="AG415" s="10"/>
      <c r="AH415" s="10"/>
    </row>
    <row r="416" spans="1:34" ht="15.75" customHeight="1">
      <c r="A416" s="13"/>
      <c r="B416" s="14"/>
      <c r="C416" s="14"/>
      <c r="D416" s="14"/>
      <c r="E416" s="15"/>
      <c r="F416" s="14"/>
      <c r="G416" s="14"/>
      <c r="H416" s="17"/>
      <c r="I416" s="17"/>
      <c r="J416" s="17"/>
      <c r="K416" s="21"/>
      <c r="L416" s="17"/>
      <c r="M416" s="17"/>
      <c r="N416" s="14"/>
      <c r="O416" s="14"/>
      <c r="P416" s="14"/>
      <c r="Q416" s="14"/>
      <c r="R416" s="14"/>
      <c r="S416" s="10"/>
      <c r="T416" s="10"/>
      <c r="U416" s="10"/>
      <c r="V416" s="10"/>
      <c r="W416" s="10"/>
      <c r="X416" s="10"/>
      <c r="Y416" s="10"/>
      <c r="Z416" s="10"/>
      <c r="AA416" s="10"/>
      <c r="AB416" s="10"/>
      <c r="AC416" s="10"/>
      <c r="AD416" s="10"/>
      <c r="AE416" s="10"/>
      <c r="AF416" s="10"/>
      <c r="AG416" s="10"/>
      <c r="AH416" s="10"/>
    </row>
    <row r="417" spans="1:34" ht="15.75" customHeight="1">
      <c r="A417" s="13"/>
      <c r="B417" s="14"/>
      <c r="C417" s="14"/>
      <c r="D417" s="14"/>
      <c r="E417" s="15"/>
      <c r="F417" s="14"/>
      <c r="G417" s="14"/>
      <c r="H417" s="17"/>
      <c r="I417" s="17"/>
      <c r="J417" s="17"/>
      <c r="K417" s="21"/>
      <c r="L417" s="17"/>
      <c r="M417" s="17"/>
      <c r="N417" s="14"/>
      <c r="O417" s="14"/>
      <c r="P417" s="14"/>
      <c r="Q417" s="14"/>
      <c r="R417" s="14"/>
      <c r="S417" s="10"/>
      <c r="T417" s="10"/>
      <c r="U417" s="10"/>
      <c r="V417" s="10"/>
      <c r="W417" s="10"/>
      <c r="X417" s="10"/>
      <c r="Y417" s="10"/>
      <c r="Z417" s="10"/>
      <c r="AA417" s="10"/>
      <c r="AB417" s="10"/>
      <c r="AC417" s="10"/>
      <c r="AD417" s="10"/>
      <c r="AE417" s="10"/>
      <c r="AF417" s="10"/>
      <c r="AG417" s="10"/>
      <c r="AH417" s="10"/>
    </row>
    <row r="418" spans="1:34" ht="15.75" customHeight="1">
      <c r="A418" s="13"/>
      <c r="B418" s="14"/>
      <c r="C418" s="14"/>
      <c r="D418" s="14"/>
      <c r="E418" s="15"/>
      <c r="F418" s="14"/>
      <c r="G418" s="14"/>
      <c r="H418" s="17"/>
      <c r="I418" s="17"/>
      <c r="J418" s="17"/>
      <c r="K418" s="21"/>
      <c r="L418" s="17"/>
      <c r="M418" s="17"/>
      <c r="N418" s="14"/>
      <c r="O418" s="14"/>
      <c r="P418" s="14"/>
      <c r="Q418" s="14"/>
      <c r="R418" s="14"/>
      <c r="S418" s="10"/>
      <c r="T418" s="10"/>
      <c r="U418" s="10"/>
      <c r="V418" s="10"/>
      <c r="W418" s="10"/>
      <c r="X418" s="10"/>
      <c r="Y418" s="10"/>
      <c r="Z418" s="10"/>
      <c r="AA418" s="10"/>
      <c r="AB418" s="10"/>
      <c r="AC418" s="10"/>
      <c r="AD418" s="10"/>
      <c r="AE418" s="10"/>
      <c r="AF418" s="10"/>
      <c r="AG418" s="10"/>
      <c r="AH418" s="10"/>
    </row>
    <row r="419" spans="1:34" ht="15.75" customHeight="1">
      <c r="A419" s="13"/>
      <c r="B419" s="14"/>
      <c r="C419" s="14"/>
      <c r="D419" s="14"/>
      <c r="E419" s="15"/>
      <c r="F419" s="14"/>
      <c r="G419" s="14"/>
      <c r="H419" s="17"/>
      <c r="I419" s="17"/>
      <c r="J419" s="17"/>
      <c r="K419" s="21"/>
      <c r="L419" s="17"/>
      <c r="M419" s="17"/>
      <c r="N419" s="14"/>
      <c r="O419" s="14"/>
      <c r="P419" s="14"/>
      <c r="Q419" s="14"/>
      <c r="R419" s="14"/>
      <c r="S419" s="10"/>
      <c r="T419" s="10"/>
      <c r="U419" s="10"/>
      <c r="V419" s="10"/>
      <c r="W419" s="10"/>
      <c r="X419" s="10"/>
      <c r="Y419" s="10"/>
      <c r="Z419" s="10"/>
      <c r="AA419" s="10"/>
      <c r="AB419" s="10"/>
      <c r="AC419" s="10"/>
      <c r="AD419" s="10"/>
      <c r="AE419" s="10"/>
      <c r="AF419" s="10"/>
      <c r="AG419" s="10"/>
      <c r="AH419" s="10"/>
    </row>
    <row r="420" spans="1:34" ht="15.75" customHeight="1">
      <c r="A420" s="13"/>
      <c r="B420" s="14"/>
      <c r="C420" s="14"/>
      <c r="D420" s="14"/>
      <c r="E420" s="15"/>
      <c r="F420" s="14"/>
      <c r="G420" s="14"/>
      <c r="H420" s="17"/>
      <c r="I420" s="17"/>
      <c r="J420" s="17"/>
      <c r="K420" s="21"/>
      <c r="L420" s="17"/>
      <c r="M420" s="17"/>
      <c r="N420" s="14"/>
      <c r="O420" s="14"/>
      <c r="P420" s="14"/>
      <c r="Q420" s="14"/>
      <c r="R420" s="14"/>
      <c r="S420" s="10"/>
      <c r="T420" s="10"/>
      <c r="U420" s="10"/>
      <c r="V420" s="10"/>
      <c r="W420" s="10"/>
      <c r="X420" s="10"/>
      <c r="Y420" s="10"/>
      <c r="Z420" s="10"/>
      <c r="AA420" s="10"/>
      <c r="AB420" s="10"/>
      <c r="AC420" s="10"/>
      <c r="AD420" s="10"/>
      <c r="AE420" s="10"/>
      <c r="AF420" s="10"/>
      <c r="AG420" s="10"/>
      <c r="AH420" s="10"/>
    </row>
    <row r="421" spans="1:34" ht="15.75" customHeight="1">
      <c r="A421" s="13"/>
      <c r="B421" s="14"/>
      <c r="C421" s="14"/>
      <c r="D421" s="14"/>
      <c r="E421" s="15"/>
      <c r="F421" s="14"/>
      <c r="G421" s="14"/>
      <c r="H421" s="17"/>
      <c r="I421" s="17"/>
      <c r="J421" s="17"/>
      <c r="K421" s="21"/>
      <c r="L421" s="17"/>
      <c r="M421" s="17"/>
      <c r="N421" s="14"/>
      <c r="O421" s="14"/>
      <c r="P421" s="14"/>
      <c r="Q421" s="14"/>
      <c r="R421" s="14"/>
      <c r="S421" s="10"/>
      <c r="T421" s="10"/>
      <c r="U421" s="10"/>
      <c r="V421" s="10"/>
      <c r="W421" s="10"/>
      <c r="X421" s="10"/>
      <c r="Y421" s="10"/>
      <c r="Z421" s="10"/>
      <c r="AA421" s="10"/>
      <c r="AB421" s="10"/>
      <c r="AC421" s="10"/>
      <c r="AD421" s="10"/>
      <c r="AE421" s="10"/>
      <c r="AF421" s="10"/>
      <c r="AG421" s="10"/>
      <c r="AH421" s="10"/>
    </row>
    <row r="422" spans="1:34" ht="15.75" customHeight="1">
      <c r="A422" s="13"/>
      <c r="B422" s="14"/>
      <c r="C422" s="14"/>
      <c r="D422" s="14"/>
      <c r="E422" s="15"/>
      <c r="F422" s="14"/>
      <c r="G422" s="14"/>
      <c r="H422" s="17"/>
      <c r="I422" s="17"/>
      <c r="J422" s="17"/>
      <c r="K422" s="21"/>
      <c r="L422" s="17"/>
      <c r="M422" s="17"/>
      <c r="N422" s="14"/>
      <c r="O422" s="14"/>
      <c r="P422" s="14"/>
      <c r="Q422" s="14"/>
      <c r="R422" s="14"/>
      <c r="S422" s="10"/>
      <c r="T422" s="10"/>
      <c r="U422" s="10"/>
      <c r="V422" s="10"/>
      <c r="W422" s="10"/>
      <c r="X422" s="10"/>
      <c r="Y422" s="10"/>
      <c r="Z422" s="10"/>
      <c r="AA422" s="10"/>
      <c r="AB422" s="10"/>
      <c r="AC422" s="10"/>
      <c r="AD422" s="10"/>
      <c r="AE422" s="10"/>
      <c r="AF422" s="10"/>
      <c r="AG422" s="10"/>
      <c r="AH422" s="10"/>
    </row>
    <row r="423" spans="1:34" ht="15.75" customHeight="1">
      <c r="A423" s="13"/>
      <c r="B423" s="14"/>
      <c r="C423" s="14"/>
      <c r="D423" s="14"/>
      <c r="E423" s="15"/>
      <c r="F423" s="14"/>
      <c r="G423" s="14"/>
      <c r="H423" s="17"/>
      <c r="I423" s="17"/>
      <c r="J423" s="17"/>
      <c r="K423" s="21"/>
      <c r="L423" s="17"/>
      <c r="M423" s="17"/>
      <c r="N423" s="14"/>
      <c r="O423" s="14"/>
      <c r="P423" s="14"/>
      <c r="Q423" s="14"/>
      <c r="R423" s="14"/>
      <c r="S423" s="10"/>
      <c r="T423" s="10"/>
      <c r="U423" s="10"/>
      <c r="V423" s="10"/>
      <c r="W423" s="10"/>
      <c r="X423" s="10"/>
      <c r="Y423" s="10"/>
      <c r="Z423" s="10"/>
      <c r="AA423" s="10"/>
      <c r="AB423" s="10"/>
      <c r="AC423" s="10"/>
      <c r="AD423" s="10"/>
      <c r="AE423" s="10"/>
      <c r="AF423" s="10"/>
      <c r="AG423" s="10"/>
      <c r="AH423" s="10"/>
    </row>
    <row r="424" spans="1:34" ht="15.75" customHeight="1">
      <c r="A424" s="13"/>
      <c r="B424" s="14"/>
      <c r="C424" s="14"/>
      <c r="D424" s="14"/>
      <c r="E424" s="15"/>
      <c r="F424" s="14"/>
      <c r="G424" s="14"/>
      <c r="H424" s="17"/>
      <c r="I424" s="17"/>
      <c r="J424" s="17"/>
      <c r="K424" s="21"/>
      <c r="L424" s="17"/>
      <c r="M424" s="17"/>
      <c r="N424" s="14"/>
      <c r="O424" s="14"/>
      <c r="P424" s="14"/>
      <c r="Q424" s="14"/>
      <c r="R424" s="14"/>
      <c r="S424" s="10"/>
      <c r="T424" s="10"/>
      <c r="U424" s="10"/>
      <c r="V424" s="10"/>
      <c r="W424" s="10"/>
      <c r="X424" s="10"/>
      <c r="Y424" s="10"/>
      <c r="Z424" s="10"/>
      <c r="AA424" s="10"/>
      <c r="AB424" s="10"/>
      <c r="AC424" s="10"/>
      <c r="AD424" s="10"/>
      <c r="AE424" s="10"/>
      <c r="AF424" s="10"/>
      <c r="AG424" s="10"/>
      <c r="AH424" s="10"/>
    </row>
    <row r="425" spans="1:34" ht="15.75" customHeight="1">
      <c r="A425" s="13"/>
      <c r="B425" s="14"/>
      <c r="C425" s="14"/>
      <c r="D425" s="14"/>
      <c r="E425" s="15"/>
      <c r="F425" s="14"/>
      <c r="G425" s="14"/>
      <c r="H425" s="17"/>
      <c r="I425" s="17"/>
      <c r="J425" s="17"/>
      <c r="K425" s="21"/>
      <c r="L425" s="17"/>
      <c r="M425" s="17"/>
      <c r="N425" s="14"/>
      <c r="O425" s="14"/>
      <c r="P425" s="14"/>
      <c r="Q425" s="14"/>
      <c r="R425" s="14"/>
      <c r="S425" s="10"/>
      <c r="T425" s="10"/>
      <c r="U425" s="10"/>
      <c r="V425" s="10"/>
      <c r="W425" s="10"/>
      <c r="X425" s="10"/>
      <c r="Y425" s="10"/>
      <c r="Z425" s="10"/>
      <c r="AA425" s="10"/>
      <c r="AB425" s="10"/>
      <c r="AC425" s="10"/>
      <c r="AD425" s="10"/>
      <c r="AE425" s="10"/>
      <c r="AF425" s="10"/>
      <c r="AG425" s="10"/>
      <c r="AH425" s="10"/>
    </row>
    <row r="426" spans="1:34" ht="15.75" customHeight="1">
      <c r="A426" s="13"/>
      <c r="B426" s="14"/>
      <c r="C426" s="14"/>
      <c r="D426" s="14"/>
      <c r="E426" s="15"/>
      <c r="F426" s="14"/>
      <c r="G426" s="14"/>
      <c r="H426" s="17"/>
      <c r="I426" s="17"/>
      <c r="J426" s="17"/>
      <c r="K426" s="21"/>
      <c r="L426" s="17"/>
      <c r="M426" s="17"/>
      <c r="N426" s="14"/>
      <c r="O426" s="14"/>
      <c r="P426" s="14"/>
      <c r="Q426" s="14"/>
      <c r="R426" s="14"/>
      <c r="S426" s="10"/>
      <c r="T426" s="10"/>
      <c r="U426" s="10"/>
      <c r="V426" s="10"/>
      <c r="W426" s="10"/>
      <c r="X426" s="10"/>
      <c r="Y426" s="10"/>
      <c r="Z426" s="10"/>
      <c r="AA426" s="10"/>
      <c r="AB426" s="10"/>
      <c r="AC426" s="10"/>
      <c r="AD426" s="10"/>
      <c r="AE426" s="10"/>
      <c r="AF426" s="10"/>
      <c r="AG426" s="10"/>
      <c r="AH426" s="10"/>
    </row>
    <row r="427" spans="1:34" ht="15.75" customHeight="1">
      <c r="A427" s="13"/>
      <c r="B427" s="14"/>
      <c r="C427" s="14"/>
      <c r="D427" s="14"/>
      <c r="E427" s="15"/>
      <c r="F427" s="14"/>
      <c r="G427" s="14"/>
      <c r="H427" s="17"/>
      <c r="I427" s="17"/>
      <c r="J427" s="17"/>
      <c r="K427" s="21"/>
      <c r="L427" s="17"/>
      <c r="M427" s="17"/>
      <c r="N427" s="14"/>
      <c r="O427" s="14"/>
      <c r="P427" s="14"/>
      <c r="Q427" s="14"/>
      <c r="R427" s="14"/>
      <c r="S427" s="10"/>
      <c r="T427" s="10"/>
      <c r="U427" s="10"/>
      <c r="V427" s="10"/>
      <c r="W427" s="10"/>
      <c r="X427" s="10"/>
      <c r="Y427" s="10"/>
      <c r="Z427" s="10"/>
      <c r="AA427" s="10"/>
      <c r="AB427" s="10"/>
      <c r="AC427" s="10"/>
      <c r="AD427" s="10"/>
      <c r="AE427" s="10"/>
      <c r="AF427" s="10"/>
      <c r="AG427" s="10"/>
      <c r="AH427" s="10"/>
    </row>
    <row r="428" spans="1:34" ht="15.75" customHeight="1">
      <c r="A428" s="13"/>
      <c r="B428" s="14"/>
      <c r="C428" s="14"/>
      <c r="D428" s="14"/>
      <c r="E428" s="15"/>
      <c r="F428" s="14"/>
      <c r="G428" s="14"/>
      <c r="H428" s="17"/>
      <c r="I428" s="17"/>
      <c r="J428" s="17"/>
      <c r="K428" s="21"/>
      <c r="L428" s="17"/>
      <c r="M428" s="17"/>
      <c r="N428" s="14"/>
      <c r="O428" s="14"/>
      <c r="P428" s="14"/>
      <c r="Q428" s="14"/>
      <c r="R428" s="14"/>
      <c r="S428" s="10"/>
      <c r="T428" s="10"/>
      <c r="U428" s="10"/>
      <c r="V428" s="10"/>
      <c r="W428" s="10"/>
      <c r="X428" s="10"/>
      <c r="Y428" s="10"/>
      <c r="Z428" s="10"/>
      <c r="AA428" s="10"/>
      <c r="AB428" s="10"/>
      <c r="AC428" s="10"/>
      <c r="AD428" s="10"/>
      <c r="AE428" s="10"/>
      <c r="AF428" s="10"/>
      <c r="AG428" s="10"/>
      <c r="AH428" s="10"/>
    </row>
    <row r="429" spans="1:34" ht="15.75" customHeight="1">
      <c r="A429" s="13"/>
      <c r="B429" s="14"/>
      <c r="C429" s="14"/>
      <c r="D429" s="14"/>
      <c r="E429" s="15"/>
      <c r="F429" s="14"/>
      <c r="G429" s="14"/>
      <c r="H429" s="17"/>
      <c r="I429" s="17"/>
      <c r="J429" s="17"/>
      <c r="K429" s="21"/>
      <c r="L429" s="17"/>
      <c r="M429" s="17"/>
      <c r="N429" s="14"/>
      <c r="O429" s="14"/>
      <c r="P429" s="14"/>
      <c r="Q429" s="14"/>
      <c r="R429" s="14"/>
      <c r="S429" s="10"/>
      <c r="T429" s="10"/>
      <c r="U429" s="10"/>
      <c r="V429" s="10"/>
      <c r="W429" s="10"/>
      <c r="X429" s="10"/>
      <c r="Y429" s="10"/>
      <c r="Z429" s="10"/>
      <c r="AA429" s="10"/>
      <c r="AB429" s="10"/>
      <c r="AC429" s="10"/>
      <c r="AD429" s="10"/>
      <c r="AE429" s="10"/>
      <c r="AF429" s="10"/>
      <c r="AG429" s="10"/>
      <c r="AH429" s="10"/>
    </row>
    <row r="430" spans="1:34" ht="15.75" customHeight="1">
      <c r="A430" s="13"/>
      <c r="B430" s="14"/>
      <c r="C430" s="14"/>
      <c r="D430" s="14"/>
      <c r="E430" s="15"/>
      <c r="F430" s="14"/>
      <c r="G430" s="14"/>
      <c r="H430" s="17"/>
      <c r="I430" s="17"/>
      <c r="J430" s="17"/>
      <c r="K430" s="21"/>
      <c r="L430" s="17"/>
      <c r="M430" s="17"/>
      <c r="N430" s="14"/>
      <c r="O430" s="14"/>
      <c r="P430" s="14"/>
      <c r="Q430" s="14"/>
      <c r="R430" s="14"/>
      <c r="S430" s="10"/>
      <c r="T430" s="10"/>
      <c r="U430" s="10"/>
      <c r="V430" s="10"/>
      <c r="W430" s="10"/>
      <c r="X430" s="10"/>
      <c r="Y430" s="10"/>
      <c r="Z430" s="10"/>
      <c r="AA430" s="10"/>
      <c r="AB430" s="10"/>
      <c r="AC430" s="10"/>
      <c r="AD430" s="10"/>
      <c r="AE430" s="10"/>
      <c r="AF430" s="10"/>
      <c r="AG430" s="10"/>
      <c r="AH430" s="10"/>
    </row>
    <row r="431" spans="1:34" ht="15.75" customHeight="1">
      <c r="A431" s="13"/>
      <c r="B431" s="14"/>
      <c r="C431" s="14"/>
      <c r="D431" s="14"/>
      <c r="E431" s="15"/>
      <c r="F431" s="14"/>
      <c r="G431" s="14"/>
      <c r="H431" s="17"/>
      <c r="I431" s="17"/>
      <c r="J431" s="17"/>
      <c r="K431" s="21"/>
      <c r="L431" s="17"/>
      <c r="M431" s="17"/>
      <c r="N431" s="14"/>
      <c r="O431" s="14"/>
      <c r="P431" s="14"/>
      <c r="Q431" s="14"/>
      <c r="R431" s="14"/>
      <c r="S431" s="10"/>
      <c r="T431" s="10"/>
      <c r="U431" s="10"/>
      <c r="V431" s="10"/>
      <c r="W431" s="10"/>
      <c r="X431" s="10"/>
      <c r="Y431" s="10"/>
      <c r="Z431" s="10"/>
      <c r="AA431" s="10"/>
      <c r="AB431" s="10"/>
      <c r="AC431" s="10"/>
      <c r="AD431" s="10"/>
      <c r="AE431" s="10"/>
      <c r="AF431" s="10"/>
      <c r="AG431" s="10"/>
      <c r="AH431" s="10"/>
    </row>
    <row r="432" spans="1:34" ht="15.75" customHeight="1">
      <c r="A432" s="13"/>
      <c r="B432" s="14"/>
      <c r="C432" s="14"/>
      <c r="D432" s="14"/>
      <c r="E432" s="15"/>
      <c r="F432" s="14"/>
      <c r="G432" s="14"/>
      <c r="H432" s="17"/>
      <c r="I432" s="17"/>
      <c r="J432" s="17"/>
      <c r="K432" s="21"/>
      <c r="L432" s="17"/>
      <c r="M432" s="17"/>
      <c r="N432" s="14"/>
      <c r="O432" s="14"/>
      <c r="P432" s="14"/>
      <c r="Q432" s="14"/>
      <c r="R432" s="14"/>
      <c r="S432" s="10"/>
      <c r="T432" s="10"/>
      <c r="U432" s="10"/>
      <c r="V432" s="10"/>
      <c r="W432" s="10"/>
      <c r="X432" s="10"/>
      <c r="Y432" s="10"/>
      <c r="Z432" s="10"/>
      <c r="AA432" s="10"/>
      <c r="AB432" s="10"/>
      <c r="AC432" s="10"/>
      <c r="AD432" s="10"/>
      <c r="AE432" s="10"/>
      <c r="AF432" s="10"/>
      <c r="AG432" s="10"/>
      <c r="AH432" s="10"/>
    </row>
    <row r="433" spans="1:34" ht="15.75" customHeight="1">
      <c r="A433" s="13"/>
      <c r="B433" s="14"/>
      <c r="C433" s="14"/>
      <c r="D433" s="14"/>
      <c r="E433" s="15"/>
      <c r="F433" s="14"/>
      <c r="G433" s="14"/>
      <c r="H433" s="17"/>
      <c r="I433" s="17"/>
      <c r="J433" s="17"/>
      <c r="K433" s="21"/>
      <c r="L433" s="17"/>
      <c r="M433" s="17"/>
      <c r="N433" s="14"/>
      <c r="O433" s="14"/>
      <c r="P433" s="14"/>
      <c r="Q433" s="14"/>
      <c r="R433" s="14"/>
      <c r="S433" s="10"/>
      <c r="T433" s="10"/>
      <c r="U433" s="10"/>
      <c r="V433" s="10"/>
      <c r="W433" s="10"/>
      <c r="X433" s="10"/>
      <c r="Y433" s="10"/>
      <c r="Z433" s="10"/>
      <c r="AA433" s="10"/>
      <c r="AB433" s="10"/>
      <c r="AC433" s="10"/>
      <c r="AD433" s="10"/>
      <c r="AE433" s="10"/>
      <c r="AF433" s="10"/>
      <c r="AG433" s="10"/>
      <c r="AH433" s="10"/>
    </row>
    <row r="434" spans="1:34" ht="15.75" customHeight="1">
      <c r="A434" s="13"/>
      <c r="B434" s="14"/>
      <c r="C434" s="14"/>
      <c r="D434" s="14"/>
      <c r="E434" s="15"/>
      <c r="F434" s="14"/>
      <c r="G434" s="14"/>
      <c r="H434" s="17"/>
      <c r="I434" s="17"/>
      <c r="J434" s="17"/>
      <c r="K434" s="21"/>
      <c r="L434" s="17"/>
      <c r="M434" s="17"/>
      <c r="N434" s="14"/>
      <c r="O434" s="14"/>
      <c r="P434" s="14"/>
      <c r="Q434" s="14"/>
      <c r="R434" s="14"/>
      <c r="S434" s="10"/>
      <c r="T434" s="10"/>
      <c r="U434" s="10"/>
      <c r="V434" s="10"/>
      <c r="W434" s="10"/>
      <c r="X434" s="10"/>
      <c r="Y434" s="10"/>
      <c r="Z434" s="10"/>
      <c r="AA434" s="10"/>
      <c r="AB434" s="10"/>
      <c r="AC434" s="10"/>
      <c r="AD434" s="10"/>
      <c r="AE434" s="10"/>
      <c r="AF434" s="10"/>
      <c r="AG434" s="10"/>
      <c r="AH434" s="10"/>
    </row>
    <row r="435" spans="1:34" ht="15.75" customHeight="1">
      <c r="A435" s="13"/>
      <c r="B435" s="14"/>
      <c r="C435" s="14"/>
      <c r="D435" s="14"/>
      <c r="E435" s="15"/>
      <c r="F435" s="14"/>
      <c r="G435" s="14"/>
      <c r="H435" s="17"/>
      <c r="I435" s="17"/>
      <c r="J435" s="17"/>
      <c r="K435" s="21"/>
      <c r="L435" s="17"/>
      <c r="M435" s="17"/>
      <c r="N435" s="14"/>
      <c r="O435" s="14"/>
      <c r="P435" s="14"/>
      <c r="Q435" s="14"/>
      <c r="R435" s="14"/>
      <c r="S435" s="10"/>
      <c r="T435" s="10"/>
      <c r="U435" s="10"/>
      <c r="V435" s="10"/>
      <c r="W435" s="10"/>
      <c r="X435" s="10"/>
      <c r="Y435" s="10"/>
      <c r="Z435" s="10"/>
      <c r="AA435" s="10"/>
      <c r="AB435" s="10"/>
      <c r="AC435" s="10"/>
      <c r="AD435" s="10"/>
      <c r="AE435" s="10"/>
      <c r="AF435" s="10"/>
      <c r="AG435" s="10"/>
      <c r="AH435" s="10"/>
    </row>
    <row r="436" spans="1:34" ht="15.75" customHeight="1">
      <c r="A436" s="13"/>
      <c r="B436" s="14"/>
      <c r="C436" s="14"/>
      <c r="D436" s="14"/>
      <c r="E436" s="15"/>
      <c r="F436" s="14"/>
      <c r="G436" s="14"/>
      <c r="H436" s="17"/>
      <c r="I436" s="17"/>
      <c r="J436" s="17"/>
      <c r="K436" s="21"/>
      <c r="L436" s="17"/>
      <c r="M436" s="17"/>
      <c r="N436" s="14"/>
      <c r="O436" s="14"/>
      <c r="P436" s="14"/>
      <c r="Q436" s="14"/>
      <c r="R436" s="14"/>
      <c r="S436" s="10"/>
      <c r="T436" s="10"/>
      <c r="U436" s="10"/>
      <c r="V436" s="10"/>
      <c r="W436" s="10"/>
      <c r="X436" s="10"/>
      <c r="Y436" s="10"/>
      <c r="Z436" s="10"/>
      <c r="AA436" s="10"/>
      <c r="AB436" s="10"/>
      <c r="AC436" s="10"/>
      <c r="AD436" s="10"/>
      <c r="AE436" s="10"/>
      <c r="AF436" s="10"/>
      <c r="AG436" s="10"/>
      <c r="AH436" s="10"/>
    </row>
    <row r="437" spans="1:34" ht="15.75" customHeight="1">
      <c r="A437" s="13"/>
      <c r="B437" s="14"/>
      <c r="C437" s="14"/>
      <c r="D437" s="14"/>
      <c r="E437" s="15"/>
      <c r="F437" s="14"/>
      <c r="G437" s="14"/>
      <c r="H437" s="17"/>
      <c r="I437" s="17"/>
      <c r="J437" s="17"/>
      <c r="K437" s="21"/>
      <c r="L437" s="17"/>
      <c r="M437" s="17"/>
      <c r="N437" s="14"/>
      <c r="O437" s="14"/>
      <c r="P437" s="14"/>
      <c r="Q437" s="14"/>
      <c r="R437" s="14"/>
      <c r="S437" s="10"/>
      <c r="T437" s="10"/>
      <c r="U437" s="10"/>
      <c r="V437" s="10"/>
      <c r="W437" s="10"/>
      <c r="X437" s="10"/>
      <c r="Y437" s="10"/>
      <c r="Z437" s="10"/>
      <c r="AA437" s="10"/>
      <c r="AB437" s="10"/>
      <c r="AC437" s="10"/>
      <c r="AD437" s="10"/>
      <c r="AE437" s="10"/>
      <c r="AF437" s="10"/>
      <c r="AG437" s="10"/>
      <c r="AH437" s="10"/>
    </row>
    <row r="438" spans="1:34" ht="15.75" customHeight="1">
      <c r="A438" s="13"/>
      <c r="B438" s="14"/>
      <c r="C438" s="14"/>
      <c r="D438" s="14"/>
      <c r="E438" s="15"/>
      <c r="F438" s="14"/>
      <c r="G438" s="14"/>
      <c r="H438" s="17"/>
      <c r="I438" s="17"/>
      <c r="J438" s="17"/>
      <c r="K438" s="21"/>
      <c r="L438" s="17"/>
      <c r="M438" s="17"/>
      <c r="N438" s="14"/>
      <c r="O438" s="14"/>
      <c r="P438" s="14"/>
      <c r="Q438" s="14"/>
      <c r="R438" s="14"/>
      <c r="S438" s="10"/>
      <c r="T438" s="10"/>
      <c r="U438" s="10"/>
      <c r="V438" s="10"/>
      <c r="W438" s="10"/>
      <c r="X438" s="10"/>
      <c r="Y438" s="10"/>
      <c r="Z438" s="10"/>
      <c r="AA438" s="10"/>
      <c r="AB438" s="10"/>
      <c r="AC438" s="10"/>
      <c r="AD438" s="10"/>
      <c r="AE438" s="10"/>
      <c r="AF438" s="10"/>
      <c r="AG438" s="10"/>
      <c r="AH438" s="10"/>
    </row>
    <row r="439" spans="1:34" ht="15.75" customHeight="1">
      <c r="A439" s="13"/>
      <c r="B439" s="14"/>
      <c r="C439" s="14"/>
      <c r="D439" s="14"/>
      <c r="E439" s="15"/>
      <c r="F439" s="14"/>
      <c r="G439" s="14"/>
      <c r="H439" s="17"/>
      <c r="I439" s="17"/>
      <c r="J439" s="17"/>
      <c r="K439" s="21"/>
      <c r="L439" s="17"/>
      <c r="M439" s="17"/>
      <c r="N439" s="14"/>
      <c r="O439" s="14"/>
      <c r="P439" s="14"/>
      <c r="Q439" s="14"/>
      <c r="R439" s="14"/>
      <c r="S439" s="10"/>
      <c r="T439" s="10"/>
      <c r="U439" s="10"/>
      <c r="V439" s="10"/>
      <c r="W439" s="10"/>
      <c r="X439" s="10"/>
      <c r="Y439" s="10"/>
      <c r="Z439" s="10"/>
      <c r="AA439" s="10"/>
      <c r="AB439" s="10"/>
      <c r="AC439" s="10"/>
      <c r="AD439" s="10"/>
      <c r="AE439" s="10"/>
      <c r="AF439" s="10"/>
      <c r="AG439" s="10"/>
      <c r="AH439" s="10"/>
    </row>
    <row r="440" spans="1:34" ht="15.75" customHeight="1">
      <c r="A440" s="13"/>
      <c r="B440" s="14"/>
      <c r="C440" s="14"/>
      <c r="D440" s="14"/>
      <c r="E440" s="15"/>
      <c r="F440" s="14"/>
      <c r="G440" s="14"/>
      <c r="H440" s="17"/>
      <c r="I440" s="17"/>
      <c r="J440" s="17"/>
      <c r="K440" s="21"/>
      <c r="L440" s="17"/>
      <c r="M440" s="17"/>
      <c r="N440" s="14"/>
      <c r="O440" s="14"/>
      <c r="P440" s="14"/>
      <c r="Q440" s="14"/>
      <c r="R440" s="14"/>
      <c r="S440" s="10"/>
      <c r="T440" s="10"/>
      <c r="U440" s="10"/>
      <c r="V440" s="10"/>
      <c r="W440" s="10"/>
      <c r="X440" s="10"/>
      <c r="Y440" s="10"/>
      <c r="Z440" s="10"/>
      <c r="AA440" s="10"/>
      <c r="AB440" s="10"/>
      <c r="AC440" s="10"/>
      <c r="AD440" s="10"/>
      <c r="AE440" s="10"/>
      <c r="AF440" s="10"/>
      <c r="AG440" s="10"/>
      <c r="AH440" s="10"/>
    </row>
    <row r="441" spans="1:34" ht="15.75" customHeight="1">
      <c r="A441" s="13"/>
      <c r="B441" s="14"/>
      <c r="C441" s="14"/>
      <c r="D441" s="14"/>
      <c r="E441" s="15"/>
      <c r="F441" s="14"/>
      <c r="G441" s="14"/>
      <c r="H441" s="17"/>
      <c r="I441" s="17"/>
      <c r="J441" s="17"/>
      <c r="K441" s="21"/>
      <c r="L441" s="17"/>
      <c r="M441" s="17"/>
      <c r="N441" s="14"/>
      <c r="O441" s="14"/>
      <c r="P441" s="14"/>
      <c r="Q441" s="14"/>
      <c r="R441" s="14"/>
      <c r="S441" s="10"/>
      <c r="T441" s="10"/>
      <c r="U441" s="10"/>
      <c r="V441" s="10"/>
      <c r="W441" s="10"/>
      <c r="X441" s="10"/>
      <c r="Y441" s="10"/>
      <c r="Z441" s="10"/>
      <c r="AA441" s="10"/>
      <c r="AB441" s="10"/>
      <c r="AC441" s="10"/>
      <c r="AD441" s="10"/>
      <c r="AE441" s="10"/>
      <c r="AF441" s="10"/>
      <c r="AG441" s="10"/>
      <c r="AH441" s="10"/>
    </row>
    <row r="442" spans="1:34" ht="15.75" customHeight="1">
      <c r="A442" s="13"/>
      <c r="B442" s="14"/>
      <c r="C442" s="14"/>
      <c r="D442" s="14"/>
      <c r="E442" s="15"/>
      <c r="F442" s="14"/>
      <c r="G442" s="14"/>
      <c r="H442" s="17"/>
      <c r="I442" s="17"/>
      <c r="J442" s="17"/>
      <c r="K442" s="21"/>
      <c r="L442" s="17"/>
      <c r="M442" s="17"/>
      <c r="N442" s="14"/>
      <c r="O442" s="14"/>
      <c r="P442" s="14"/>
      <c r="Q442" s="14"/>
      <c r="R442" s="14"/>
      <c r="S442" s="10"/>
      <c r="T442" s="10"/>
      <c r="U442" s="10"/>
      <c r="V442" s="10"/>
      <c r="W442" s="10"/>
      <c r="X442" s="10"/>
      <c r="Y442" s="10"/>
      <c r="Z442" s="10"/>
      <c r="AA442" s="10"/>
      <c r="AB442" s="10"/>
      <c r="AC442" s="10"/>
      <c r="AD442" s="10"/>
      <c r="AE442" s="10"/>
      <c r="AF442" s="10"/>
      <c r="AG442" s="10"/>
      <c r="AH442" s="10"/>
    </row>
    <row r="443" spans="1:34" ht="15.75" customHeight="1">
      <c r="A443" s="13"/>
      <c r="B443" s="14"/>
      <c r="C443" s="14"/>
      <c r="D443" s="14"/>
      <c r="E443" s="15"/>
      <c r="F443" s="14"/>
      <c r="G443" s="14"/>
      <c r="H443" s="17"/>
      <c r="I443" s="17"/>
      <c r="J443" s="17"/>
      <c r="K443" s="21"/>
      <c r="L443" s="17"/>
      <c r="M443" s="17"/>
      <c r="N443" s="14"/>
      <c r="O443" s="14"/>
      <c r="P443" s="14"/>
      <c r="Q443" s="14"/>
      <c r="R443" s="14"/>
      <c r="S443" s="10"/>
      <c r="T443" s="10"/>
      <c r="U443" s="10"/>
      <c r="V443" s="10"/>
      <c r="W443" s="10"/>
      <c r="X443" s="10"/>
      <c r="Y443" s="10"/>
      <c r="Z443" s="10"/>
      <c r="AA443" s="10"/>
      <c r="AB443" s="10"/>
      <c r="AC443" s="10"/>
      <c r="AD443" s="10"/>
      <c r="AE443" s="10"/>
      <c r="AF443" s="10"/>
      <c r="AG443" s="10"/>
      <c r="AH443" s="10"/>
    </row>
    <row r="444" spans="1:34" ht="15.75" customHeight="1">
      <c r="A444" s="13"/>
      <c r="B444" s="14"/>
      <c r="C444" s="14"/>
      <c r="D444" s="14"/>
      <c r="E444" s="15"/>
      <c r="F444" s="14"/>
      <c r="G444" s="14"/>
      <c r="H444" s="17"/>
      <c r="I444" s="17"/>
      <c r="J444" s="17"/>
      <c r="K444" s="21"/>
      <c r="L444" s="17"/>
      <c r="M444" s="17"/>
      <c r="N444" s="14"/>
      <c r="O444" s="14"/>
      <c r="P444" s="14"/>
      <c r="Q444" s="14"/>
      <c r="R444" s="14"/>
      <c r="S444" s="10"/>
      <c r="T444" s="10"/>
      <c r="U444" s="10"/>
      <c r="V444" s="10"/>
      <c r="W444" s="10"/>
      <c r="X444" s="10"/>
      <c r="Y444" s="10"/>
      <c r="Z444" s="10"/>
      <c r="AA444" s="10"/>
      <c r="AB444" s="10"/>
      <c r="AC444" s="10"/>
      <c r="AD444" s="10"/>
      <c r="AE444" s="10"/>
      <c r="AF444" s="10"/>
      <c r="AG444" s="10"/>
      <c r="AH444" s="10"/>
    </row>
    <row r="445" spans="1:34" ht="15.75" customHeight="1">
      <c r="A445" s="13"/>
      <c r="B445" s="14"/>
      <c r="C445" s="14"/>
      <c r="D445" s="14"/>
      <c r="E445" s="15"/>
      <c r="F445" s="14"/>
      <c r="G445" s="14"/>
      <c r="H445" s="17"/>
      <c r="I445" s="17"/>
      <c r="J445" s="17"/>
      <c r="K445" s="21"/>
      <c r="L445" s="17"/>
      <c r="M445" s="17"/>
      <c r="N445" s="14"/>
      <c r="O445" s="14"/>
      <c r="P445" s="14"/>
      <c r="Q445" s="14"/>
      <c r="R445" s="14"/>
      <c r="S445" s="10"/>
      <c r="T445" s="10"/>
      <c r="U445" s="10"/>
      <c r="V445" s="10"/>
      <c r="W445" s="10"/>
      <c r="X445" s="10"/>
      <c r="Y445" s="10"/>
      <c r="Z445" s="10"/>
      <c r="AA445" s="10"/>
      <c r="AB445" s="10"/>
      <c r="AC445" s="10"/>
      <c r="AD445" s="10"/>
      <c r="AE445" s="10"/>
      <c r="AF445" s="10"/>
      <c r="AG445" s="10"/>
      <c r="AH445" s="10"/>
    </row>
    <row r="446" spans="1:34" ht="15.75" customHeight="1">
      <c r="A446" s="13"/>
      <c r="B446" s="14"/>
      <c r="C446" s="14"/>
      <c r="D446" s="14"/>
      <c r="E446" s="15"/>
      <c r="F446" s="14"/>
      <c r="G446" s="14"/>
      <c r="H446" s="17"/>
      <c r="I446" s="17"/>
      <c r="J446" s="17"/>
      <c r="K446" s="21"/>
      <c r="L446" s="17"/>
      <c r="M446" s="17"/>
      <c r="N446" s="14"/>
      <c r="O446" s="14"/>
      <c r="P446" s="14"/>
      <c r="Q446" s="14"/>
      <c r="R446" s="14"/>
      <c r="S446" s="10"/>
      <c r="T446" s="10"/>
      <c r="U446" s="10"/>
      <c r="V446" s="10"/>
      <c r="W446" s="10"/>
      <c r="X446" s="10"/>
      <c r="Y446" s="10"/>
      <c r="Z446" s="10"/>
      <c r="AA446" s="10"/>
      <c r="AB446" s="10"/>
      <c r="AC446" s="10"/>
      <c r="AD446" s="10"/>
      <c r="AE446" s="10"/>
      <c r="AF446" s="10"/>
      <c r="AG446" s="10"/>
      <c r="AH446" s="10"/>
    </row>
    <row r="447" spans="1:34" ht="15.75" customHeight="1">
      <c r="A447" s="13"/>
      <c r="B447" s="14"/>
      <c r="C447" s="14"/>
      <c r="D447" s="14"/>
      <c r="E447" s="15"/>
      <c r="F447" s="14"/>
      <c r="G447" s="14"/>
      <c r="H447" s="17"/>
      <c r="I447" s="17"/>
      <c r="J447" s="17"/>
      <c r="K447" s="21"/>
      <c r="L447" s="17"/>
      <c r="M447" s="17"/>
      <c r="N447" s="14"/>
      <c r="O447" s="14"/>
      <c r="P447" s="14"/>
      <c r="Q447" s="14"/>
      <c r="R447" s="14"/>
      <c r="S447" s="10"/>
      <c r="T447" s="10"/>
      <c r="U447" s="10"/>
      <c r="V447" s="10"/>
      <c r="W447" s="10"/>
      <c r="X447" s="10"/>
      <c r="Y447" s="10"/>
      <c r="Z447" s="10"/>
      <c r="AA447" s="10"/>
      <c r="AB447" s="10"/>
      <c r="AC447" s="10"/>
      <c r="AD447" s="10"/>
      <c r="AE447" s="10"/>
      <c r="AF447" s="10"/>
      <c r="AG447" s="10"/>
      <c r="AH447" s="10"/>
    </row>
    <row r="448" spans="1:34" ht="15.75" customHeight="1">
      <c r="A448" s="13"/>
      <c r="B448" s="14"/>
      <c r="C448" s="14"/>
      <c r="D448" s="14"/>
      <c r="E448" s="15"/>
      <c r="F448" s="14"/>
      <c r="G448" s="14"/>
      <c r="H448" s="17"/>
      <c r="I448" s="17"/>
      <c r="J448" s="17"/>
      <c r="K448" s="21"/>
      <c r="L448" s="17"/>
      <c r="M448" s="17"/>
      <c r="N448" s="14"/>
      <c r="O448" s="14"/>
      <c r="P448" s="14"/>
      <c r="Q448" s="14"/>
      <c r="R448" s="14"/>
      <c r="S448" s="10"/>
      <c r="T448" s="10"/>
      <c r="U448" s="10"/>
      <c r="V448" s="10"/>
      <c r="W448" s="10"/>
      <c r="X448" s="10"/>
      <c r="Y448" s="10"/>
      <c r="Z448" s="10"/>
      <c r="AA448" s="10"/>
      <c r="AB448" s="10"/>
      <c r="AC448" s="10"/>
      <c r="AD448" s="10"/>
      <c r="AE448" s="10"/>
      <c r="AF448" s="10"/>
      <c r="AG448" s="10"/>
      <c r="AH448" s="10"/>
    </row>
    <row r="449" spans="1:34" ht="15.75" customHeight="1">
      <c r="A449" s="13"/>
      <c r="B449" s="14"/>
      <c r="C449" s="14"/>
      <c r="D449" s="14"/>
      <c r="E449" s="15"/>
      <c r="F449" s="14"/>
      <c r="G449" s="14"/>
      <c r="H449" s="17"/>
      <c r="I449" s="17"/>
      <c r="J449" s="17"/>
      <c r="K449" s="21"/>
      <c r="L449" s="17"/>
      <c r="M449" s="17"/>
      <c r="N449" s="14"/>
      <c r="O449" s="14"/>
      <c r="P449" s="14"/>
      <c r="Q449" s="14"/>
      <c r="R449" s="14"/>
      <c r="S449" s="10"/>
      <c r="T449" s="10"/>
      <c r="U449" s="10"/>
      <c r="V449" s="10"/>
      <c r="W449" s="10"/>
      <c r="X449" s="10"/>
      <c r="Y449" s="10"/>
      <c r="Z449" s="10"/>
      <c r="AA449" s="10"/>
      <c r="AB449" s="10"/>
      <c r="AC449" s="10"/>
      <c r="AD449" s="10"/>
      <c r="AE449" s="10"/>
      <c r="AF449" s="10"/>
      <c r="AG449" s="10"/>
      <c r="AH449" s="10"/>
    </row>
    <row r="450" spans="1:34" ht="15.75" customHeight="1">
      <c r="A450" s="13"/>
      <c r="B450" s="14"/>
      <c r="C450" s="14"/>
      <c r="D450" s="14"/>
      <c r="E450" s="15"/>
      <c r="F450" s="14"/>
      <c r="G450" s="14"/>
      <c r="H450" s="17"/>
      <c r="I450" s="17"/>
      <c r="J450" s="17"/>
      <c r="K450" s="21"/>
      <c r="L450" s="17"/>
      <c r="M450" s="17"/>
      <c r="N450" s="14"/>
      <c r="O450" s="14"/>
      <c r="P450" s="14"/>
      <c r="Q450" s="14"/>
      <c r="R450" s="14"/>
      <c r="S450" s="10"/>
      <c r="T450" s="10"/>
      <c r="U450" s="10"/>
      <c r="V450" s="10"/>
      <c r="W450" s="10"/>
      <c r="X450" s="10"/>
      <c r="Y450" s="10"/>
      <c r="Z450" s="10"/>
      <c r="AA450" s="10"/>
      <c r="AB450" s="10"/>
      <c r="AC450" s="10"/>
      <c r="AD450" s="10"/>
      <c r="AE450" s="10"/>
      <c r="AF450" s="10"/>
      <c r="AG450" s="10"/>
      <c r="AH450" s="10"/>
    </row>
    <row r="451" spans="1:34" ht="15.75" customHeight="1">
      <c r="A451" s="13"/>
      <c r="B451" s="14"/>
      <c r="C451" s="14"/>
      <c r="D451" s="14"/>
      <c r="E451" s="15"/>
      <c r="F451" s="14"/>
      <c r="G451" s="14"/>
      <c r="H451" s="17"/>
      <c r="I451" s="17"/>
      <c r="J451" s="17"/>
      <c r="K451" s="21"/>
      <c r="L451" s="17"/>
      <c r="M451" s="17"/>
      <c r="N451" s="14"/>
      <c r="O451" s="14"/>
      <c r="P451" s="14"/>
      <c r="Q451" s="14"/>
      <c r="R451" s="14"/>
      <c r="S451" s="10"/>
      <c r="T451" s="10"/>
      <c r="U451" s="10"/>
      <c r="V451" s="10"/>
      <c r="W451" s="10"/>
      <c r="X451" s="10"/>
      <c r="Y451" s="10"/>
      <c r="Z451" s="10"/>
      <c r="AA451" s="10"/>
      <c r="AB451" s="10"/>
      <c r="AC451" s="10"/>
      <c r="AD451" s="10"/>
      <c r="AE451" s="10"/>
      <c r="AF451" s="10"/>
      <c r="AG451" s="10"/>
      <c r="AH451" s="10"/>
    </row>
    <row r="452" spans="1:34" ht="15.75" customHeight="1">
      <c r="A452" s="13"/>
      <c r="B452" s="14"/>
      <c r="C452" s="14"/>
      <c r="D452" s="14"/>
      <c r="E452" s="15"/>
      <c r="F452" s="14"/>
      <c r="G452" s="14"/>
      <c r="H452" s="17"/>
      <c r="I452" s="17"/>
      <c r="J452" s="17"/>
      <c r="K452" s="21"/>
      <c r="L452" s="17"/>
      <c r="M452" s="17"/>
      <c r="N452" s="14"/>
      <c r="O452" s="14"/>
      <c r="P452" s="14"/>
      <c r="Q452" s="14"/>
      <c r="R452" s="14"/>
      <c r="S452" s="10"/>
      <c r="T452" s="10"/>
      <c r="U452" s="10"/>
      <c r="V452" s="10"/>
      <c r="W452" s="10"/>
      <c r="X452" s="10"/>
      <c r="Y452" s="10"/>
      <c r="Z452" s="10"/>
      <c r="AA452" s="10"/>
      <c r="AB452" s="10"/>
      <c r="AC452" s="10"/>
      <c r="AD452" s="10"/>
      <c r="AE452" s="10"/>
      <c r="AF452" s="10"/>
      <c r="AG452" s="10"/>
      <c r="AH452" s="10"/>
    </row>
    <row r="453" spans="1:34" ht="15.75" customHeight="1">
      <c r="A453" s="13"/>
      <c r="B453" s="14"/>
      <c r="C453" s="14"/>
      <c r="D453" s="14"/>
      <c r="E453" s="15"/>
      <c r="F453" s="14"/>
      <c r="G453" s="14"/>
      <c r="H453" s="17"/>
      <c r="I453" s="17"/>
      <c r="J453" s="17"/>
      <c r="K453" s="21"/>
      <c r="L453" s="17"/>
      <c r="M453" s="17"/>
      <c r="N453" s="14"/>
      <c r="O453" s="14"/>
      <c r="P453" s="14"/>
      <c r="Q453" s="14"/>
      <c r="R453" s="14"/>
      <c r="S453" s="10"/>
      <c r="T453" s="10"/>
      <c r="U453" s="10"/>
      <c r="V453" s="10"/>
      <c r="W453" s="10"/>
      <c r="X453" s="10"/>
      <c r="Y453" s="10"/>
      <c r="Z453" s="10"/>
      <c r="AA453" s="10"/>
      <c r="AB453" s="10"/>
      <c r="AC453" s="10"/>
      <c r="AD453" s="10"/>
      <c r="AE453" s="10"/>
      <c r="AF453" s="10"/>
      <c r="AG453" s="10"/>
      <c r="AH453" s="10"/>
    </row>
    <row r="454" spans="1:34" ht="15.75" customHeight="1">
      <c r="A454" s="13"/>
      <c r="B454" s="14"/>
      <c r="C454" s="14"/>
      <c r="D454" s="14"/>
      <c r="E454" s="15"/>
      <c r="F454" s="14"/>
      <c r="G454" s="14"/>
      <c r="H454" s="17"/>
      <c r="I454" s="17"/>
      <c r="J454" s="17"/>
      <c r="K454" s="21"/>
      <c r="L454" s="17"/>
      <c r="M454" s="17"/>
      <c r="N454" s="14"/>
      <c r="O454" s="14"/>
      <c r="P454" s="14"/>
      <c r="Q454" s="14"/>
      <c r="R454" s="14"/>
      <c r="S454" s="10"/>
      <c r="T454" s="10"/>
      <c r="U454" s="10"/>
      <c r="V454" s="10"/>
      <c r="W454" s="10"/>
      <c r="X454" s="10"/>
      <c r="Y454" s="10"/>
      <c r="Z454" s="10"/>
      <c r="AA454" s="10"/>
      <c r="AB454" s="10"/>
      <c r="AC454" s="10"/>
      <c r="AD454" s="10"/>
      <c r="AE454" s="10"/>
      <c r="AF454" s="10"/>
      <c r="AG454" s="10"/>
      <c r="AH454" s="10"/>
    </row>
    <row r="455" spans="1:34" ht="15.75" customHeight="1">
      <c r="A455" s="13"/>
      <c r="B455" s="14"/>
      <c r="C455" s="14"/>
      <c r="D455" s="14"/>
      <c r="E455" s="15"/>
      <c r="F455" s="14"/>
      <c r="G455" s="14"/>
      <c r="H455" s="17"/>
      <c r="I455" s="17"/>
      <c r="J455" s="17"/>
      <c r="K455" s="21"/>
      <c r="L455" s="17"/>
      <c r="M455" s="17"/>
      <c r="N455" s="14"/>
      <c r="O455" s="14"/>
      <c r="P455" s="14"/>
      <c r="Q455" s="14"/>
      <c r="R455" s="14"/>
      <c r="S455" s="10"/>
      <c r="T455" s="10"/>
      <c r="U455" s="10"/>
      <c r="V455" s="10"/>
      <c r="W455" s="10"/>
      <c r="X455" s="10"/>
      <c r="Y455" s="10"/>
      <c r="Z455" s="10"/>
      <c r="AA455" s="10"/>
      <c r="AB455" s="10"/>
      <c r="AC455" s="10"/>
      <c r="AD455" s="10"/>
      <c r="AE455" s="10"/>
      <c r="AF455" s="10"/>
      <c r="AG455" s="10"/>
      <c r="AH455" s="10"/>
    </row>
    <row r="456" spans="1:34" ht="15.75" customHeight="1">
      <c r="A456" s="13"/>
      <c r="B456" s="14"/>
      <c r="C456" s="14"/>
      <c r="D456" s="14"/>
      <c r="E456" s="15"/>
      <c r="F456" s="14"/>
      <c r="G456" s="14"/>
      <c r="H456" s="17"/>
      <c r="I456" s="17"/>
      <c r="J456" s="17"/>
      <c r="K456" s="21"/>
      <c r="L456" s="17"/>
      <c r="M456" s="17"/>
      <c r="N456" s="14"/>
      <c r="O456" s="14"/>
      <c r="P456" s="14"/>
      <c r="Q456" s="14"/>
      <c r="R456" s="14"/>
      <c r="S456" s="10"/>
      <c r="T456" s="10"/>
      <c r="U456" s="10"/>
      <c r="V456" s="10"/>
      <c r="W456" s="10"/>
      <c r="X456" s="10"/>
      <c r="Y456" s="10"/>
      <c r="Z456" s="10"/>
      <c r="AA456" s="10"/>
      <c r="AB456" s="10"/>
      <c r="AC456" s="10"/>
      <c r="AD456" s="10"/>
      <c r="AE456" s="10"/>
      <c r="AF456" s="10"/>
      <c r="AG456" s="10"/>
      <c r="AH456" s="10"/>
    </row>
    <row r="457" spans="1:34" ht="15.75" customHeight="1">
      <c r="A457" s="13"/>
      <c r="B457" s="14"/>
      <c r="C457" s="14"/>
      <c r="D457" s="14"/>
      <c r="E457" s="15"/>
      <c r="F457" s="14"/>
      <c r="G457" s="14"/>
      <c r="H457" s="17"/>
      <c r="I457" s="17"/>
      <c r="J457" s="17"/>
      <c r="K457" s="21"/>
      <c r="L457" s="17"/>
      <c r="M457" s="17"/>
      <c r="N457" s="14"/>
      <c r="O457" s="14"/>
      <c r="P457" s="14"/>
      <c r="Q457" s="14"/>
      <c r="R457" s="14"/>
      <c r="S457" s="10"/>
      <c r="T457" s="10"/>
      <c r="U457" s="10"/>
      <c r="V457" s="10"/>
      <c r="W457" s="10"/>
      <c r="X457" s="10"/>
      <c r="Y457" s="10"/>
      <c r="Z457" s="10"/>
      <c r="AA457" s="10"/>
      <c r="AB457" s="10"/>
      <c r="AC457" s="10"/>
      <c r="AD457" s="10"/>
      <c r="AE457" s="10"/>
      <c r="AF457" s="10"/>
      <c r="AG457" s="10"/>
      <c r="AH457" s="10"/>
    </row>
    <row r="458" spans="1:34" ht="15.75" customHeight="1">
      <c r="A458" s="13"/>
      <c r="B458" s="14"/>
      <c r="C458" s="14"/>
      <c r="D458" s="14"/>
      <c r="E458" s="15"/>
      <c r="F458" s="14"/>
      <c r="G458" s="14"/>
      <c r="H458" s="17"/>
      <c r="I458" s="17"/>
      <c r="J458" s="17"/>
      <c r="K458" s="21"/>
      <c r="L458" s="17"/>
      <c r="M458" s="17"/>
      <c r="N458" s="14"/>
      <c r="O458" s="14"/>
      <c r="P458" s="14"/>
      <c r="Q458" s="14"/>
      <c r="R458" s="14"/>
      <c r="S458" s="10"/>
      <c r="T458" s="10"/>
      <c r="U458" s="10"/>
      <c r="V458" s="10"/>
      <c r="W458" s="10"/>
      <c r="X458" s="10"/>
      <c r="Y458" s="10"/>
      <c r="Z458" s="10"/>
      <c r="AA458" s="10"/>
      <c r="AB458" s="10"/>
      <c r="AC458" s="10"/>
      <c r="AD458" s="10"/>
      <c r="AE458" s="10"/>
      <c r="AF458" s="10"/>
      <c r="AG458" s="10"/>
      <c r="AH458" s="10"/>
    </row>
    <row r="459" spans="1:34" ht="15.75" customHeight="1">
      <c r="A459" s="13"/>
      <c r="B459" s="14"/>
      <c r="C459" s="14"/>
      <c r="D459" s="14"/>
      <c r="E459" s="15"/>
      <c r="F459" s="14"/>
      <c r="G459" s="14"/>
      <c r="H459" s="17"/>
      <c r="I459" s="17"/>
      <c r="J459" s="17"/>
      <c r="K459" s="21"/>
      <c r="L459" s="17"/>
      <c r="M459" s="17"/>
      <c r="N459" s="14"/>
      <c r="O459" s="14"/>
      <c r="P459" s="14"/>
      <c r="Q459" s="14"/>
      <c r="R459" s="14"/>
      <c r="S459" s="10"/>
      <c r="T459" s="10"/>
      <c r="U459" s="10"/>
      <c r="V459" s="10"/>
      <c r="W459" s="10"/>
      <c r="X459" s="10"/>
      <c r="Y459" s="10"/>
      <c r="Z459" s="10"/>
      <c r="AA459" s="10"/>
      <c r="AB459" s="10"/>
      <c r="AC459" s="10"/>
      <c r="AD459" s="10"/>
      <c r="AE459" s="10"/>
      <c r="AF459" s="10"/>
      <c r="AG459" s="10"/>
      <c r="AH459" s="10"/>
    </row>
    <row r="460" spans="1:34" ht="15.75" customHeight="1">
      <c r="A460" s="13"/>
      <c r="B460" s="14"/>
      <c r="C460" s="14"/>
      <c r="D460" s="14"/>
      <c r="E460" s="15"/>
      <c r="F460" s="14"/>
      <c r="G460" s="14"/>
      <c r="H460" s="17"/>
      <c r="I460" s="17"/>
      <c r="J460" s="17"/>
      <c r="K460" s="21"/>
      <c r="L460" s="17"/>
      <c r="M460" s="17"/>
      <c r="N460" s="14"/>
      <c r="O460" s="14"/>
      <c r="P460" s="14"/>
      <c r="Q460" s="14"/>
      <c r="R460" s="14"/>
      <c r="S460" s="10"/>
      <c r="T460" s="10"/>
      <c r="U460" s="10"/>
      <c r="V460" s="10"/>
      <c r="W460" s="10"/>
      <c r="X460" s="10"/>
      <c r="Y460" s="10"/>
      <c r="Z460" s="10"/>
      <c r="AA460" s="10"/>
      <c r="AB460" s="10"/>
      <c r="AC460" s="10"/>
      <c r="AD460" s="10"/>
      <c r="AE460" s="10"/>
      <c r="AF460" s="10"/>
      <c r="AG460" s="10"/>
      <c r="AH460" s="10"/>
    </row>
    <row r="461" spans="1:34" ht="15.75" customHeight="1">
      <c r="A461" s="13"/>
      <c r="B461" s="14"/>
      <c r="C461" s="14"/>
      <c r="D461" s="14"/>
      <c r="E461" s="15"/>
      <c r="F461" s="14"/>
      <c r="G461" s="14"/>
      <c r="H461" s="17"/>
      <c r="I461" s="17"/>
      <c r="J461" s="17"/>
      <c r="K461" s="21"/>
      <c r="L461" s="17"/>
      <c r="M461" s="17"/>
      <c r="N461" s="14"/>
      <c r="O461" s="14"/>
      <c r="P461" s="14"/>
      <c r="Q461" s="14"/>
      <c r="R461" s="14"/>
      <c r="S461" s="10"/>
      <c r="T461" s="10"/>
      <c r="U461" s="10"/>
      <c r="V461" s="10"/>
      <c r="W461" s="10"/>
      <c r="X461" s="10"/>
      <c r="Y461" s="10"/>
      <c r="Z461" s="10"/>
      <c r="AA461" s="10"/>
      <c r="AB461" s="10"/>
      <c r="AC461" s="10"/>
      <c r="AD461" s="10"/>
      <c r="AE461" s="10"/>
      <c r="AF461" s="10"/>
      <c r="AG461" s="10"/>
      <c r="AH461" s="10"/>
    </row>
    <row r="462" spans="1:34" ht="15.75" customHeight="1">
      <c r="A462" s="13"/>
      <c r="B462" s="14"/>
      <c r="C462" s="14"/>
      <c r="D462" s="14"/>
      <c r="E462" s="15"/>
      <c r="F462" s="14"/>
      <c r="G462" s="14"/>
      <c r="H462" s="17"/>
      <c r="I462" s="17"/>
      <c r="J462" s="17"/>
      <c r="K462" s="21"/>
      <c r="L462" s="17"/>
      <c r="M462" s="17"/>
      <c r="N462" s="14"/>
      <c r="O462" s="14"/>
      <c r="P462" s="14"/>
      <c r="Q462" s="14"/>
      <c r="R462" s="14"/>
      <c r="S462" s="10"/>
      <c r="T462" s="10"/>
      <c r="U462" s="10"/>
      <c r="V462" s="10"/>
      <c r="W462" s="10"/>
      <c r="X462" s="10"/>
      <c r="Y462" s="10"/>
      <c r="Z462" s="10"/>
      <c r="AA462" s="10"/>
      <c r="AB462" s="10"/>
      <c r="AC462" s="10"/>
      <c r="AD462" s="10"/>
      <c r="AE462" s="10"/>
      <c r="AF462" s="10"/>
      <c r="AG462" s="10"/>
      <c r="AH462" s="10"/>
    </row>
    <row r="463" spans="1:34" ht="15.75" customHeight="1">
      <c r="A463" s="13"/>
      <c r="B463" s="14"/>
      <c r="C463" s="14"/>
      <c r="D463" s="14"/>
      <c r="E463" s="15"/>
      <c r="F463" s="14"/>
      <c r="G463" s="14"/>
      <c r="H463" s="17"/>
      <c r="I463" s="17"/>
      <c r="J463" s="17"/>
      <c r="K463" s="21"/>
      <c r="L463" s="17"/>
      <c r="M463" s="17"/>
      <c r="N463" s="14"/>
      <c r="O463" s="14"/>
      <c r="P463" s="14"/>
      <c r="Q463" s="14"/>
      <c r="R463" s="14"/>
      <c r="S463" s="10"/>
      <c r="T463" s="10"/>
      <c r="U463" s="10"/>
      <c r="V463" s="10"/>
      <c r="W463" s="10"/>
      <c r="X463" s="10"/>
      <c r="Y463" s="10"/>
      <c r="Z463" s="10"/>
      <c r="AA463" s="10"/>
      <c r="AB463" s="10"/>
      <c r="AC463" s="10"/>
      <c r="AD463" s="10"/>
      <c r="AE463" s="10"/>
      <c r="AF463" s="10"/>
      <c r="AG463" s="10"/>
      <c r="AH463" s="10"/>
    </row>
    <row r="464" spans="1:34" ht="15.75" customHeight="1">
      <c r="A464" s="13"/>
      <c r="B464" s="14"/>
      <c r="C464" s="14"/>
      <c r="D464" s="14"/>
      <c r="E464" s="15"/>
      <c r="F464" s="14"/>
      <c r="G464" s="14"/>
      <c r="H464" s="17"/>
      <c r="I464" s="17"/>
      <c r="J464" s="17"/>
      <c r="K464" s="21"/>
      <c r="L464" s="17"/>
      <c r="M464" s="17"/>
      <c r="N464" s="14"/>
      <c r="O464" s="14"/>
      <c r="P464" s="14"/>
      <c r="Q464" s="14"/>
      <c r="R464" s="14"/>
      <c r="S464" s="10"/>
      <c r="T464" s="10"/>
      <c r="U464" s="10"/>
      <c r="V464" s="10"/>
      <c r="W464" s="10"/>
      <c r="X464" s="10"/>
      <c r="Y464" s="10"/>
      <c r="Z464" s="10"/>
      <c r="AA464" s="10"/>
      <c r="AB464" s="10"/>
      <c r="AC464" s="10"/>
      <c r="AD464" s="10"/>
      <c r="AE464" s="10"/>
      <c r="AF464" s="10"/>
      <c r="AG464" s="10"/>
      <c r="AH464" s="10"/>
    </row>
    <row r="465" spans="1:34" ht="15.75" customHeight="1">
      <c r="A465" s="13"/>
      <c r="B465" s="14"/>
      <c r="C465" s="14"/>
      <c r="D465" s="14"/>
      <c r="E465" s="15"/>
      <c r="F465" s="14"/>
      <c r="G465" s="14"/>
      <c r="H465" s="17"/>
      <c r="I465" s="17"/>
      <c r="J465" s="17"/>
      <c r="K465" s="21"/>
      <c r="L465" s="17"/>
      <c r="M465" s="17"/>
      <c r="N465" s="14"/>
      <c r="O465" s="14"/>
      <c r="P465" s="14"/>
      <c r="Q465" s="14"/>
      <c r="R465" s="14"/>
      <c r="S465" s="10"/>
      <c r="T465" s="10"/>
      <c r="U465" s="10"/>
      <c r="V465" s="10"/>
      <c r="W465" s="10"/>
      <c r="X465" s="10"/>
      <c r="Y465" s="10"/>
      <c r="Z465" s="10"/>
      <c r="AA465" s="10"/>
      <c r="AB465" s="10"/>
      <c r="AC465" s="10"/>
      <c r="AD465" s="10"/>
      <c r="AE465" s="10"/>
      <c r="AF465" s="10"/>
      <c r="AG465" s="10"/>
      <c r="AH465" s="10"/>
    </row>
    <row r="466" spans="1:34" ht="15.75" customHeight="1">
      <c r="A466" s="13"/>
      <c r="B466" s="14"/>
      <c r="C466" s="14"/>
      <c r="D466" s="14"/>
      <c r="E466" s="15"/>
      <c r="F466" s="14"/>
      <c r="G466" s="14"/>
      <c r="H466" s="17"/>
      <c r="I466" s="17"/>
      <c r="J466" s="17"/>
      <c r="K466" s="21"/>
      <c r="L466" s="17"/>
      <c r="M466" s="17"/>
      <c r="N466" s="14"/>
      <c r="O466" s="14"/>
      <c r="P466" s="14"/>
      <c r="Q466" s="14"/>
      <c r="R466" s="14"/>
      <c r="S466" s="10"/>
      <c r="T466" s="10"/>
      <c r="U466" s="10"/>
      <c r="V466" s="10"/>
      <c r="W466" s="10"/>
      <c r="X466" s="10"/>
      <c r="Y466" s="10"/>
      <c r="Z466" s="10"/>
      <c r="AA466" s="10"/>
      <c r="AB466" s="10"/>
      <c r="AC466" s="10"/>
      <c r="AD466" s="10"/>
      <c r="AE466" s="10"/>
      <c r="AF466" s="10"/>
      <c r="AG466" s="10"/>
      <c r="AH466" s="10"/>
    </row>
    <row r="467" spans="1:34" ht="15.75" customHeight="1">
      <c r="A467" s="13"/>
      <c r="B467" s="14"/>
      <c r="C467" s="14"/>
      <c r="D467" s="14"/>
      <c r="E467" s="15"/>
      <c r="F467" s="14"/>
      <c r="G467" s="14"/>
      <c r="H467" s="17"/>
      <c r="I467" s="17"/>
      <c r="J467" s="17"/>
      <c r="K467" s="21"/>
      <c r="L467" s="17"/>
      <c r="M467" s="17"/>
      <c r="N467" s="14"/>
      <c r="O467" s="14"/>
      <c r="P467" s="14"/>
      <c r="Q467" s="14"/>
      <c r="R467" s="14"/>
      <c r="S467" s="10"/>
      <c r="T467" s="10"/>
      <c r="U467" s="10"/>
      <c r="V467" s="10"/>
      <c r="W467" s="10"/>
      <c r="X467" s="10"/>
      <c r="Y467" s="10"/>
      <c r="Z467" s="10"/>
      <c r="AA467" s="10"/>
      <c r="AB467" s="10"/>
      <c r="AC467" s="10"/>
      <c r="AD467" s="10"/>
      <c r="AE467" s="10"/>
      <c r="AF467" s="10"/>
      <c r="AG467" s="10"/>
      <c r="AH467" s="10"/>
    </row>
    <row r="468" spans="1:34" ht="15.75" customHeight="1">
      <c r="A468" s="13"/>
      <c r="B468" s="14"/>
      <c r="C468" s="14"/>
      <c r="D468" s="14"/>
      <c r="E468" s="15"/>
      <c r="F468" s="14"/>
      <c r="G468" s="14"/>
      <c r="H468" s="17"/>
      <c r="I468" s="17"/>
      <c r="J468" s="17"/>
      <c r="K468" s="21"/>
      <c r="L468" s="17"/>
      <c r="M468" s="17"/>
      <c r="N468" s="14"/>
      <c r="O468" s="14"/>
      <c r="P468" s="14"/>
      <c r="Q468" s="14"/>
      <c r="R468" s="14"/>
      <c r="S468" s="10"/>
      <c r="T468" s="10"/>
      <c r="U468" s="10"/>
      <c r="V468" s="10"/>
      <c r="W468" s="10"/>
      <c r="X468" s="10"/>
      <c r="Y468" s="10"/>
      <c r="Z468" s="10"/>
      <c r="AA468" s="10"/>
      <c r="AB468" s="10"/>
      <c r="AC468" s="10"/>
      <c r="AD468" s="10"/>
      <c r="AE468" s="10"/>
      <c r="AF468" s="10"/>
      <c r="AG468" s="10"/>
      <c r="AH468" s="10"/>
    </row>
    <row r="469" spans="1:34" ht="15.75" customHeight="1">
      <c r="A469" s="13"/>
      <c r="B469" s="14"/>
      <c r="C469" s="14"/>
      <c r="D469" s="14"/>
      <c r="E469" s="15"/>
      <c r="F469" s="14"/>
      <c r="G469" s="14"/>
      <c r="H469" s="17"/>
      <c r="I469" s="17"/>
      <c r="J469" s="17"/>
      <c r="K469" s="21"/>
      <c r="L469" s="17"/>
      <c r="M469" s="17"/>
      <c r="N469" s="14"/>
      <c r="O469" s="14"/>
      <c r="P469" s="14"/>
      <c r="Q469" s="14"/>
      <c r="R469" s="14"/>
      <c r="S469" s="10"/>
      <c r="T469" s="10"/>
      <c r="U469" s="10"/>
      <c r="V469" s="10"/>
      <c r="W469" s="10"/>
      <c r="X469" s="10"/>
      <c r="Y469" s="10"/>
      <c r="Z469" s="10"/>
      <c r="AA469" s="10"/>
      <c r="AB469" s="10"/>
      <c r="AC469" s="10"/>
      <c r="AD469" s="10"/>
      <c r="AE469" s="10"/>
      <c r="AF469" s="10"/>
      <c r="AG469" s="10"/>
      <c r="AH469" s="10"/>
    </row>
    <row r="470" spans="1:34" ht="15.75" customHeight="1">
      <c r="A470" s="13"/>
      <c r="B470" s="14"/>
      <c r="C470" s="14"/>
      <c r="D470" s="14"/>
      <c r="E470" s="15"/>
      <c r="F470" s="14"/>
      <c r="G470" s="14"/>
      <c r="H470" s="17"/>
      <c r="I470" s="17"/>
      <c r="J470" s="17"/>
      <c r="K470" s="21"/>
      <c r="L470" s="17"/>
      <c r="M470" s="17"/>
      <c r="N470" s="14"/>
      <c r="O470" s="14"/>
      <c r="P470" s="14"/>
      <c r="Q470" s="14"/>
      <c r="R470" s="14"/>
      <c r="S470" s="10"/>
      <c r="T470" s="10"/>
      <c r="U470" s="10"/>
      <c r="V470" s="10"/>
      <c r="W470" s="10"/>
      <c r="X470" s="10"/>
      <c r="Y470" s="10"/>
      <c r="Z470" s="10"/>
      <c r="AA470" s="10"/>
      <c r="AB470" s="10"/>
      <c r="AC470" s="10"/>
      <c r="AD470" s="10"/>
      <c r="AE470" s="10"/>
      <c r="AF470" s="10"/>
      <c r="AG470" s="10"/>
      <c r="AH470" s="10"/>
    </row>
    <row r="471" spans="1:34" ht="15.75" customHeight="1">
      <c r="A471" s="13"/>
      <c r="B471" s="14"/>
      <c r="C471" s="14"/>
      <c r="D471" s="14"/>
      <c r="E471" s="15"/>
      <c r="F471" s="14"/>
      <c r="G471" s="14"/>
      <c r="H471" s="17"/>
      <c r="I471" s="17"/>
      <c r="J471" s="17"/>
      <c r="K471" s="21"/>
      <c r="L471" s="17"/>
      <c r="M471" s="17"/>
      <c r="N471" s="14"/>
      <c r="O471" s="14"/>
      <c r="P471" s="14"/>
      <c r="Q471" s="14"/>
      <c r="R471" s="14"/>
      <c r="S471" s="10"/>
      <c r="T471" s="10"/>
      <c r="U471" s="10"/>
      <c r="V471" s="10"/>
      <c r="W471" s="10"/>
      <c r="X471" s="10"/>
      <c r="Y471" s="10"/>
      <c r="Z471" s="10"/>
      <c r="AA471" s="10"/>
      <c r="AB471" s="10"/>
      <c r="AC471" s="10"/>
      <c r="AD471" s="10"/>
      <c r="AE471" s="10"/>
      <c r="AF471" s="10"/>
      <c r="AG471" s="10"/>
      <c r="AH471" s="10"/>
    </row>
    <row r="472" spans="1:34" ht="15.75" customHeight="1">
      <c r="A472" s="13"/>
      <c r="B472" s="14"/>
      <c r="C472" s="14"/>
      <c r="D472" s="14"/>
      <c r="E472" s="15"/>
      <c r="F472" s="14"/>
      <c r="G472" s="14"/>
      <c r="H472" s="17"/>
      <c r="I472" s="17"/>
      <c r="J472" s="17"/>
      <c r="K472" s="21"/>
      <c r="L472" s="17"/>
      <c r="M472" s="17"/>
      <c r="N472" s="14"/>
      <c r="O472" s="14"/>
      <c r="P472" s="14"/>
      <c r="Q472" s="14"/>
      <c r="R472" s="14"/>
      <c r="S472" s="10"/>
      <c r="T472" s="10"/>
      <c r="U472" s="10"/>
      <c r="V472" s="10"/>
      <c r="W472" s="10"/>
      <c r="X472" s="10"/>
      <c r="Y472" s="10"/>
      <c r="Z472" s="10"/>
      <c r="AA472" s="10"/>
      <c r="AB472" s="10"/>
      <c r="AC472" s="10"/>
      <c r="AD472" s="10"/>
      <c r="AE472" s="10"/>
      <c r="AF472" s="10"/>
      <c r="AG472" s="10"/>
      <c r="AH472" s="10"/>
    </row>
    <row r="473" spans="1:34" ht="15.75" customHeight="1">
      <c r="A473" s="13"/>
      <c r="B473" s="14"/>
      <c r="C473" s="14"/>
      <c r="D473" s="14"/>
      <c r="E473" s="15"/>
      <c r="F473" s="14"/>
      <c r="G473" s="14"/>
      <c r="H473" s="17"/>
      <c r="I473" s="17"/>
      <c r="J473" s="17"/>
      <c r="K473" s="21"/>
      <c r="L473" s="17"/>
      <c r="M473" s="17"/>
      <c r="N473" s="14"/>
      <c r="O473" s="14"/>
      <c r="P473" s="14"/>
      <c r="Q473" s="14"/>
      <c r="R473" s="14"/>
      <c r="S473" s="10"/>
      <c r="T473" s="10"/>
      <c r="U473" s="10"/>
      <c r="V473" s="10"/>
      <c r="W473" s="10"/>
      <c r="X473" s="10"/>
      <c r="Y473" s="10"/>
      <c r="Z473" s="10"/>
      <c r="AA473" s="10"/>
      <c r="AB473" s="10"/>
      <c r="AC473" s="10"/>
      <c r="AD473" s="10"/>
      <c r="AE473" s="10"/>
      <c r="AF473" s="10"/>
      <c r="AG473" s="10"/>
      <c r="AH473" s="10"/>
    </row>
    <row r="474" spans="1:34" ht="15.75" customHeight="1">
      <c r="A474" s="13"/>
      <c r="B474" s="14"/>
      <c r="C474" s="14"/>
      <c r="D474" s="14"/>
      <c r="E474" s="15"/>
      <c r="F474" s="14"/>
      <c r="G474" s="14"/>
      <c r="H474" s="17"/>
      <c r="I474" s="17"/>
      <c r="J474" s="17"/>
      <c r="K474" s="21"/>
      <c r="L474" s="17"/>
      <c r="M474" s="17"/>
      <c r="N474" s="14"/>
      <c r="O474" s="14"/>
      <c r="P474" s="14"/>
      <c r="Q474" s="14"/>
      <c r="R474" s="14"/>
      <c r="S474" s="10"/>
      <c r="T474" s="10"/>
      <c r="U474" s="10"/>
      <c r="V474" s="10"/>
      <c r="W474" s="10"/>
      <c r="X474" s="10"/>
      <c r="Y474" s="10"/>
      <c r="Z474" s="10"/>
      <c r="AA474" s="10"/>
      <c r="AB474" s="10"/>
      <c r="AC474" s="10"/>
      <c r="AD474" s="10"/>
      <c r="AE474" s="10"/>
      <c r="AF474" s="10"/>
      <c r="AG474" s="10"/>
      <c r="AH474" s="10"/>
    </row>
    <row r="475" spans="1:34" ht="15.75" customHeight="1">
      <c r="A475" s="13"/>
      <c r="B475" s="14"/>
      <c r="C475" s="14"/>
      <c r="D475" s="14"/>
      <c r="E475" s="15"/>
      <c r="F475" s="14"/>
      <c r="G475" s="14"/>
      <c r="H475" s="17"/>
      <c r="I475" s="17"/>
      <c r="J475" s="17"/>
      <c r="K475" s="21"/>
      <c r="L475" s="17"/>
      <c r="M475" s="17"/>
      <c r="N475" s="14"/>
      <c r="O475" s="14"/>
      <c r="P475" s="14"/>
      <c r="Q475" s="14"/>
      <c r="R475" s="14"/>
      <c r="S475" s="10"/>
      <c r="T475" s="10"/>
      <c r="U475" s="10"/>
      <c r="V475" s="10"/>
      <c r="W475" s="10"/>
      <c r="X475" s="10"/>
      <c r="Y475" s="10"/>
      <c r="Z475" s="10"/>
      <c r="AA475" s="10"/>
      <c r="AB475" s="10"/>
      <c r="AC475" s="10"/>
      <c r="AD475" s="10"/>
      <c r="AE475" s="10"/>
      <c r="AF475" s="10"/>
      <c r="AG475" s="10"/>
      <c r="AH475" s="10"/>
    </row>
    <row r="476" spans="1:34" ht="15.75" customHeight="1">
      <c r="A476" s="13"/>
      <c r="B476" s="14"/>
      <c r="C476" s="14"/>
      <c r="D476" s="14"/>
      <c r="E476" s="15"/>
      <c r="F476" s="14"/>
      <c r="G476" s="14"/>
      <c r="H476" s="17"/>
      <c r="I476" s="17"/>
      <c r="J476" s="17"/>
      <c r="K476" s="21"/>
      <c r="L476" s="17"/>
      <c r="M476" s="17"/>
      <c r="N476" s="14"/>
      <c r="O476" s="14"/>
      <c r="P476" s="14"/>
      <c r="Q476" s="14"/>
      <c r="R476" s="14"/>
      <c r="S476" s="10"/>
      <c r="T476" s="10"/>
      <c r="U476" s="10"/>
      <c r="V476" s="10"/>
      <c r="W476" s="10"/>
      <c r="X476" s="10"/>
      <c r="Y476" s="10"/>
      <c r="Z476" s="10"/>
      <c r="AA476" s="10"/>
      <c r="AB476" s="10"/>
      <c r="AC476" s="10"/>
      <c r="AD476" s="10"/>
      <c r="AE476" s="10"/>
      <c r="AF476" s="10"/>
      <c r="AG476" s="10"/>
      <c r="AH476" s="10"/>
    </row>
    <row r="477" spans="1:34" ht="15.75" customHeight="1">
      <c r="A477" s="13"/>
      <c r="B477" s="14"/>
      <c r="C477" s="14"/>
      <c r="D477" s="14"/>
      <c r="E477" s="15"/>
      <c r="F477" s="14"/>
      <c r="G477" s="14"/>
      <c r="H477" s="17"/>
      <c r="I477" s="17"/>
      <c r="J477" s="17"/>
      <c r="K477" s="21"/>
      <c r="L477" s="17"/>
      <c r="M477" s="17"/>
      <c r="N477" s="14"/>
      <c r="O477" s="14"/>
      <c r="P477" s="14"/>
      <c r="Q477" s="14"/>
      <c r="R477" s="14"/>
      <c r="S477" s="10"/>
      <c r="T477" s="10"/>
      <c r="U477" s="10"/>
      <c r="V477" s="10"/>
      <c r="W477" s="10"/>
      <c r="X477" s="10"/>
      <c r="Y477" s="10"/>
      <c r="Z477" s="10"/>
      <c r="AA477" s="10"/>
      <c r="AB477" s="10"/>
      <c r="AC477" s="10"/>
      <c r="AD477" s="10"/>
      <c r="AE477" s="10"/>
      <c r="AF477" s="10"/>
      <c r="AG477" s="10"/>
      <c r="AH477" s="10"/>
    </row>
    <row r="478" spans="1:34" ht="15.75" customHeight="1">
      <c r="A478" s="13"/>
      <c r="B478" s="14"/>
      <c r="C478" s="14"/>
      <c r="D478" s="14"/>
      <c r="E478" s="15"/>
      <c r="F478" s="14"/>
      <c r="G478" s="14"/>
      <c r="H478" s="17"/>
      <c r="I478" s="17"/>
      <c r="J478" s="17"/>
      <c r="K478" s="21"/>
      <c r="L478" s="17"/>
      <c r="M478" s="17"/>
      <c r="N478" s="14"/>
      <c r="O478" s="14"/>
      <c r="P478" s="14"/>
      <c r="Q478" s="14"/>
      <c r="R478" s="14"/>
      <c r="S478" s="10"/>
      <c r="T478" s="10"/>
      <c r="U478" s="10"/>
      <c r="V478" s="10"/>
      <c r="W478" s="10"/>
      <c r="X478" s="10"/>
      <c r="Y478" s="10"/>
      <c r="Z478" s="10"/>
      <c r="AA478" s="10"/>
      <c r="AB478" s="10"/>
      <c r="AC478" s="10"/>
      <c r="AD478" s="10"/>
      <c r="AE478" s="10"/>
      <c r="AF478" s="10"/>
      <c r="AG478" s="10"/>
      <c r="AH478" s="10"/>
    </row>
    <row r="479" spans="1:34" ht="15.75" customHeight="1">
      <c r="A479" s="13"/>
      <c r="B479" s="14"/>
      <c r="C479" s="14"/>
      <c r="D479" s="14"/>
      <c r="E479" s="15"/>
      <c r="F479" s="14"/>
      <c r="G479" s="14"/>
      <c r="H479" s="17"/>
      <c r="I479" s="17"/>
      <c r="J479" s="17"/>
      <c r="K479" s="21"/>
      <c r="L479" s="17"/>
      <c r="M479" s="17"/>
      <c r="N479" s="14"/>
      <c r="O479" s="14"/>
      <c r="P479" s="14"/>
      <c r="Q479" s="14"/>
      <c r="R479" s="14"/>
      <c r="S479" s="10"/>
      <c r="T479" s="10"/>
      <c r="U479" s="10"/>
      <c r="V479" s="10"/>
      <c r="W479" s="10"/>
      <c r="X479" s="10"/>
      <c r="Y479" s="10"/>
      <c r="Z479" s="10"/>
      <c r="AA479" s="10"/>
      <c r="AB479" s="10"/>
      <c r="AC479" s="10"/>
      <c r="AD479" s="10"/>
      <c r="AE479" s="10"/>
      <c r="AF479" s="10"/>
      <c r="AG479" s="10"/>
      <c r="AH479" s="10"/>
    </row>
    <row r="480" spans="1:34" ht="15.75" customHeight="1">
      <c r="A480" s="13"/>
      <c r="B480" s="14"/>
      <c r="C480" s="14"/>
      <c r="D480" s="14"/>
      <c r="E480" s="15"/>
      <c r="F480" s="14"/>
      <c r="G480" s="14"/>
      <c r="H480" s="17"/>
      <c r="I480" s="17"/>
      <c r="J480" s="17"/>
      <c r="K480" s="21"/>
      <c r="L480" s="17"/>
      <c r="M480" s="17"/>
      <c r="N480" s="14"/>
      <c r="O480" s="14"/>
      <c r="P480" s="14"/>
      <c r="Q480" s="14"/>
      <c r="R480" s="14"/>
      <c r="S480" s="10"/>
      <c r="T480" s="10"/>
      <c r="U480" s="10"/>
      <c r="V480" s="10"/>
      <c r="W480" s="10"/>
      <c r="X480" s="10"/>
      <c r="Y480" s="10"/>
      <c r="Z480" s="10"/>
      <c r="AA480" s="10"/>
      <c r="AB480" s="10"/>
      <c r="AC480" s="10"/>
      <c r="AD480" s="10"/>
      <c r="AE480" s="10"/>
      <c r="AF480" s="10"/>
      <c r="AG480" s="10"/>
      <c r="AH480" s="10"/>
    </row>
    <row r="481" spans="1:34" ht="15.75" customHeight="1">
      <c r="A481" s="13"/>
      <c r="B481" s="14"/>
      <c r="C481" s="14"/>
      <c r="D481" s="14"/>
      <c r="E481" s="15"/>
      <c r="F481" s="14"/>
      <c r="G481" s="14"/>
      <c r="H481" s="17"/>
      <c r="I481" s="17"/>
      <c r="J481" s="17"/>
      <c r="K481" s="21"/>
      <c r="L481" s="17"/>
      <c r="M481" s="17"/>
      <c r="N481" s="14"/>
      <c r="O481" s="14"/>
      <c r="P481" s="14"/>
      <c r="Q481" s="14"/>
      <c r="R481" s="14"/>
      <c r="S481" s="10"/>
      <c r="T481" s="10"/>
      <c r="U481" s="10"/>
      <c r="V481" s="10"/>
      <c r="W481" s="10"/>
      <c r="X481" s="10"/>
      <c r="Y481" s="10"/>
      <c r="Z481" s="10"/>
      <c r="AA481" s="10"/>
      <c r="AB481" s="10"/>
      <c r="AC481" s="10"/>
      <c r="AD481" s="10"/>
      <c r="AE481" s="10"/>
      <c r="AF481" s="10"/>
      <c r="AG481" s="10"/>
      <c r="AH481" s="10"/>
    </row>
    <row r="482" spans="1:34" ht="15.75" customHeight="1">
      <c r="A482" s="13"/>
      <c r="B482" s="14"/>
      <c r="C482" s="14"/>
      <c r="D482" s="14"/>
      <c r="E482" s="15"/>
      <c r="F482" s="14"/>
      <c r="G482" s="14"/>
      <c r="H482" s="17"/>
      <c r="I482" s="17"/>
      <c r="J482" s="17"/>
      <c r="K482" s="21"/>
      <c r="L482" s="17"/>
      <c r="M482" s="17"/>
      <c r="N482" s="14"/>
      <c r="O482" s="14"/>
      <c r="P482" s="14"/>
      <c r="Q482" s="14"/>
      <c r="R482" s="14"/>
      <c r="S482" s="10"/>
      <c r="T482" s="10"/>
      <c r="U482" s="10"/>
      <c r="V482" s="10"/>
      <c r="W482" s="10"/>
      <c r="X482" s="10"/>
      <c r="Y482" s="10"/>
      <c r="Z482" s="10"/>
      <c r="AA482" s="10"/>
      <c r="AB482" s="10"/>
      <c r="AC482" s="10"/>
      <c r="AD482" s="10"/>
      <c r="AE482" s="10"/>
      <c r="AF482" s="10"/>
      <c r="AG482" s="10"/>
      <c r="AH482" s="10"/>
    </row>
    <row r="483" spans="1:34" ht="15.75" customHeight="1">
      <c r="A483" s="13"/>
      <c r="B483" s="14"/>
      <c r="C483" s="14"/>
      <c r="D483" s="14"/>
      <c r="E483" s="15"/>
      <c r="F483" s="14"/>
      <c r="G483" s="14"/>
      <c r="H483" s="17"/>
      <c r="I483" s="17"/>
      <c r="J483" s="17"/>
      <c r="K483" s="21"/>
      <c r="L483" s="17"/>
      <c r="M483" s="17"/>
      <c r="N483" s="14"/>
      <c r="O483" s="14"/>
      <c r="P483" s="14"/>
      <c r="Q483" s="14"/>
      <c r="R483" s="14"/>
      <c r="S483" s="10"/>
      <c r="T483" s="10"/>
      <c r="U483" s="10"/>
      <c r="V483" s="10"/>
      <c r="W483" s="10"/>
      <c r="X483" s="10"/>
      <c r="Y483" s="10"/>
      <c r="Z483" s="10"/>
      <c r="AA483" s="10"/>
      <c r="AB483" s="10"/>
      <c r="AC483" s="10"/>
      <c r="AD483" s="10"/>
      <c r="AE483" s="10"/>
      <c r="AF483" s="10"/>
      <c r="AG483" s="10"/>
      <c r="AH483" s="10"/>
    </row>
    <row r="484" spans="1:34" ht="15.75" customHeight="1">
      <c r="A484" s="13"/>
      <c r="B484" s="14"/>
      <c r="C484" s="14"/>
      <c r="D484" s="14"/>
      <c r="E484" s="15"/>
      <c r="F484" s="14"/>
      <c r="G484" s="14"/>
      <c r="H484" s="17"/>
      <c r="I484" s="17"/>
      <c r="J484" s="17"/>
      <c r="K484" s="21"/>
      <c r="L484" s="17"/>
      <c r="M484" s="17"/>
      <c r="N484" s="14"/>
      <c r="O484" s="14"/>
      <c r="P484" s="14"/>
      <c r="Q484" s="14"/>
      <c r="R484" s="14"/>
      <c r="S484" s="10"/>
      <c r="T484" s="10"/>
      <c r="U484" s="10"/>
      <c r="V484" s="10"/>
      <c r="W484" s="10"/>
      <c r="X484" s="10"/>
      <c r="Y484" s="10"/>
      <c r="Z484" s="10"/>
      <c r="AA484" s="10"/>
      <c r="AB484" s="10"/>
      <c r="AC484" s="10"/>
      <c r="AD484" s="10"/>
      <c r="AE484" s="10"/>
      <c r="AF484" s="10"/>
      <c r="AG484" s="10"/>
      <c r="AH484" s="10"/>
    </row>
    <row r="485" spans="1:34" ht="15.75" customHeight="1">
      <c r="A485" s="13"/>
      <c r="B485" s="14"/>
      <c r="C485" s="14"/>
      <c r="D485" s="14"/>
      <c r="E485" s="15"/>
      <c r="F485" s="14"/>
      <c r="G485" s="14"/>
      <c r="H485" s="17"/>
      <c r="I485" s="17"/>
      <c r="J485" s="17"/>
      <c r="K485" s="21"/>
      <c r="L485" s="17"/>
      <c r="M485" s="17"/>
      <c r="N485" s="14"/>
      <c r="O485" s="14"/>
      <c r="P485" s="14"/>
      <c r="Q485" s="14"/>
      <c r="R485" s="14"/>
      <c r="S485" s="10"/>
      <c r="T485" s="10"/>
      <c r="U485" s="10"/>
      <c r="V485" s="10"/>
      <c r="W485" s="10"/>
      <c r="X485" s="10"/>
      <c r="Y485" s="10"/>
      <c r="Z485" s="10"/>
      <c r="AA485" s="10"/>
      <c r="AB485" s="10"/>
      <c r="AC485" s="10"/>
      <c r="AD485" s="10"/>
      <c r="AE485" s="10"/>
      <c r="AF485" s="10"/>
      <c r="AG485" s="10"/>
      <c r="AH485" s="10"/>
    </row>
    <row r="486" spans="1:34" ht="15.75" customHeight="1">
      <c r="A486" s="13"/>
      <c r="B486" s="14"/>
      <c r="C486" s="14"/>
      <c r="D486" s="14"/>
      <c r="E486" s="15"/>
      <c r="F486" s="14"/>
      <c r="G486" s="14"/>
      <c r="H486" s="17"/>
      <c r="I486" s="17"/>
      <c r="J486" s="17"/>
      <c r="K486" s="21"/>
      <c r="L486" s="17"/>
      <c r="M486" s="17"/>
      <c r="N486" s="14"/>
      <c r="O486" s="14"/>
      <c r="P486" s="14"/>
      <c r="Q486" s="14"/>
      <c r="R486" s="14"/>
      <c r="S486" s="10"/>
      <c r="T486" s="10"/>
      <c r="U486" s="10"/>
      <c r="V486" s="10"/>
      <c r="W486" s="10"/>
      <c r="X486" s="10"/>
      <c r="Y486" s="10"/>
      <c r="Z486" s="10"/>
      <c r="AA486" s="10"/>
      <c r="AB486" s="10"/>
      <c r="AC486" s="10"/>
      <c r="AD486" s="10"/>
      <c r="AE486" s="10"/>
      <c r="AF486" s="10"/>
      <c r="AG486" s="10"/>
      <c r="AH486" s="10"/>
    </row>
    <row r="487" spans="1:34" ht="15.75" customHeight="1">
      <c r="A487" s="13"/>
      <c r="B487" s="14"/>
      <c r="C487" s="14"/>
      <c r="D487" s="14"/>
      <c r="E487" s="15"/>
      <c r="F487" s="14"/>
      <c r="G487" s="14"/>
      <c r="H487" s="17"/>
      <c r="I487" s="17"/>
      <c r="J487" s="17"/>
      <c r="K487" s="21"/>
      <c r="L487" s="17"/>
      <c r="M487" s="17"/>
      <c r="N487" s="14"/>
      <c r="O487" s="14"/>
      <c r="P487" s="14"/>
      <c r="Q487" s="14"/>
      <c r="R487" s="14"/>
      <c r="S487" s="10"/>
      <c r="T487" s="10"/>
      <c r="U487" s="10"/>
      <c r="V487" s="10"/>
      <c r="W487" s="10"/>
      <c r="X487" s="10"/>
      <c r="Y487" s="10"/>
      <c r="Z487" s="10"/>
      <c r="AA487" s="10"/>
      <c r="AB487" s="10"/>
      <c r="AC487" s="10"/>
      <c r="AD487" s="10"/>
      <c r="AE487" s="10"/>
      <c r="AF487" s="10"/>
      <c r="AG487" s="10"/>
      <c r="AH487" s="10"/>
    </row>
    <row r="488" spans="1:34" ht="15.75" customHeight="1">
      <c r="A488" s="13"/>
      <c r="B488" s="14"/>
      <c r="C488" s="14"/>
      <c r="D488" s="14"/>
      <c r="E488" s="15"/>
      <c r="F488" s="14"/>
      <c r="G488" s="14"/>
      <c r="H488" s="17"/>
      <c r="I488" s="17"/>
      <c r="J488" s="17"/>
      <c r="K488" s="21"/>
      <c r="L488" s="17"/>
      <c r="M488" s="17"/>
      <c r="N488" s="14"/>
      <c r="O488" s="14"/>
      <c r="P488" s="14"/>
      <c r="Q488" s="14"/>
      <c r="R488" s="14"/>
      <c r="S488" s="10"/>
      <c r="T488" s="10"/>
      <c r="U488" s="10"/>
      <c r="V488" s="10"/>
      <c r="W488" s="10"/>
      <c r="X488" s="10"/>
      <c r="Y488" s="10"/>
      <c r="Z488" s="10"/>
      <c r="AA488" s="10"/>
      <c r="AB488" s="10"/>
      <c r="AC488" s="10"/>
      <c r="AD488" s="10"/>
      <c r="AE488" s="10"/>
      <c r="AF488" s="10"/>
      <c r="AG488" s="10"/>
      <c r="AH488" s="10"/>
    </row>
    <row r="489" spans="1:34" ht="15.75" customHeight="1">
      <c r="A489" s="13"/>
      <c r="B489" s="14"/>
      <c r="C489" s="14"/>
      <c r="D489" s="14"/>
      <c r="E489" s="15"/>
      <c r="F489" s="14"/>
      <c r="G489" s="14"/>
      <c r="H489" s="17"/>
      <c r="I489" s="17"/>
      <c r="J489" s="17"/>
      <c r="K489" s="21"/>
      <c r="L489" s="17"/>
      <c r="M489" s="17"/>
      <c r="N489" s="14"/>
      <c r="O489" s="14"/>
      <c r="P489" s="14"/>
      <c r="Q489" s="14"/>
      <c r="R489" s="14"/>
      <c r="S489" s="10"/>
      <c r="T489" s="10"/>
      <c r="U489" s="10"/>
      <c r="V489" s="10"/>
      <c r="W489" s="10"/>
      <c r="X489" s="10"/>
      <c r="Y489" s="10"/>
      <c r="Z489" s="10"/>
      <c r="AA489" s="10"/>
      <c r="AB489" s="10"/>
      <c r="AC489" s="10"/>
      <c r="AD489" s="10"/>
      <c r="AE489" s="10"/>
      <c r="AF489" s="10"/>
      <c r="AG489" s="10"/>
      <c r="AH489" s="10"/>
    </row>
    <row r="490" spans="1:34" ht="15.75" customHeight="1">
      <c r="A490" s="13"/>
      <c r="B490" s="14"/>
      <c r="C490" s="14"/>
      <c r="D490" s="14"/>
      <c r="E490" s="15"/>
      <c r="F490" s="14"/>
      <c r="G490" s="14"/>
      <c r="H490" s="17"/>
      <c r="I490" s="17"/>
      <c r="J490" s="17"/>
      <c r="K490" s="21"/>
      <c r="L490" s="17"/>
      <c r="M490" s="17"/>
      <c r="N490" s="14"/>
      <c r="O490" s="14"/>
      <c r="P490" s="14"/>
      <c r="Q490" s="14"/>
      <c r="R490" s="14"/>
      <c r="S490" s="10"/>
      <c r="T490" s="10"/>
      <c r="U490" s="10"/>
      <c r="V490" s="10"/>
      <c r="W490" s="10"/>
      <c r="X490" s="10"/>
      <c r="Y490" s="10"/>
      <c r="Z490" s="10"/>
      <c r="AA490" s="10"/>
      <c r="AB490" s="10"/>
      <c r="AC490" s="10"/>
      <c r="AD490" s="10"/>
      <c r="AE490" s="10"/>
      <c r="AF490" s="10"/>
      <c r="AG490" s="10"/>
      <c r="AH490" s="10"/>
    </row>
    <row r="491" spans="1:34" ht="15.75" customHeight="1">
      <c r="A491" s="13"/>
      <c r="B491" s="14"/>
      <c r="C491" s="14"/>
      <c r="D491" s="14"/>
      <c r="E491" s="15"/>
      <c r="F491" s="14"/>
      <c r="G491" s="14"/>
      <c r="H491" s="17"/>
      <c r="I491" s="17"/>
      <c r="J491" s="17"/>
      <c r="K491" s="21"/>
      <c r="L491" s="17"/>
      <c r="M491" s="17"/>
      <c r="N491" s="14"/>
      <c r="O491" s="14"/>
      <c r="P491" s="14"/>
      <c r="Q491" s="14"/>
      <c r="R491" s="14"/>
      <c r="S491" s="10"/>
      <c r="T491" s="10"/>
      <c r="U491" s="10"/>
      <c r="V491" s="10"/>
      <c r="W491" s="10"/>
      <c r="X491" s="10"/>
      <c r="Y491" s="10"/>
      <c r="Z491" s="10"/>
      <c r="AA491" s="10"/>
      <c r="AB491" s="10"/>
      <c r="AC491" s="10"/>
      <c r="AD491" s="10"/>
      <c r="AE491" s="10"/>
      <c r="AF491" s="10"/>
      <c r="AG491" s="10"/>
      <c r="AH491" s="10"/>
    </row>
    <row r="492" spans="1:34" ht="15.75" customHeight="1">
      <c r="A492" s="13"/>
      <c r="B492" s="14"/>
      <c r="C492" s="14"/>
      <c r="D492" s="14"/>
      <c r="E492" s="15"/>
      <c r="F492" s="14"/>
      <c r="G492" s="14"/>
      <c r="H492" s="17"/>
      <c r="I492" s="17"/>
      <c r="J492" s="17"/>
      <c r="K492" s="21"/>
      <c r="L492" s="17"/>
      <c r="M492" s="17"/>
      <c r="N492" s="14"/>
      <c r="O492" s="14"/>
      <c r="P492" s="14"/>
      <c r="Q492" s="14"/>
      <c r="R492" s="14"/>
      <c r="S492" s="10"/>
      <c r="T492" s="10"/>
      <c r="U492" s="10"/>
      <c r="V492" s="10"/>
      <c r="W492" s="10"/>
      <c r="X492" s="10"/>
      <c r="Y492" s="10"/>
      <c r="Z492" s="10"/>
      <c r="AA492" s="10"/>
      <c r="AB492" s="10"/>
      <c r="AC492" s="10"/>
      <c r="AD492" s="10"/>
      <c r="AE492" s="10"/>
      <c r="AF492" s="10"/>
      <c r="AG492" s="10"/>
      <c r="AH492" s="10"/>
    </row>
    <row r="493" spans="1:34" ht="15.75" customHeight="1">
      <c r="A493" s="13"/>
      <c r="B493" s="14"/>
      <c r="C493" s="14"/>
      <c r="D493" s="14"/>
      <c r="E493" s="15"/>
      <c r="F493" s="14"/>
      <c r="G493" s="14"/>
      <c r="H493" s="17"/>
      <c r="I493" s="17"/>
      <c r="J493" s="17"/>
      <c r="K493" s="21"/>
      <c r="L493" s="17"/>
      <c r="M493" s="17"/>
      <c r="N493" s="14"/>
      <c r="O493" s="14"/>
      <c r="P493" s="14"/>
      <c r="Q493" s="14"/>
      <c r="R493" s="14"/>
      <c r="S493" s="10"/>
      <c r="T493" s="10"/>
      <c r="U493" s="10"/>
      <c r="V493" s="10"/>
      <c r="W493" s="10"/>
      <c r="X493" s="10"/>
      <c r="Y493" s="10"/>
      <c r="Z493" s="10"/>
      <c r="AA493" s="10"/>
      <c r="AB493" s="10"/>
      <c r="AC493" s="10"/>
      <c r="AD493" s="10"/>
      <c r="AE493" s="10"/>
      <c r="AF493" s="10"/>
      <c r="AG493" s="10"/>
      <c r="AH493" s="10"/>
    </row>
    <row r="494" spans="1:34" ht="15.75" customHeight="1">
      <c r="A494" s="13"/>
      <c r="B494" s="14"/>
      <c r="C494" s="14"/>
      <c r="D494" s="14"/>
      <c r="E494" s="15"/>
      <c r="F494" s="14"/>
      <c r="G494" s="14"/>
      <c r="H494" s="17"/>
      <c r="I494" s="17"/>
      <c r="J494" s="17"/>
      <c r="K494" s="21"/>
      <c r="L494" s="17"/>
      <c r="M494" s="17"/>
      <c r="N494" s="14"/>
      <c r="O494" s="14"/>
      <c r="P494" s="14"/>
      <c r="Q494" s="14"/>
      <c r="R494" s="14"/>
      <c r="S494" s="10"/>
      <c r="T494" s="10"/>
      <c r="U494" s="10"/>
      <c r="V494" s="10"/>
      <c r="W494" s="10"/>
      <c r="X494" s="10"/>
      <c r="Y494" s="10"/>
      <c r="Z494" s="10"/>
      <c r="AA494" s="10"/>
      <c r="AB494" s="10"/>
      <c r="AC494" s="10"/>
      <c r="AD494" s="10"/>
      <c r="AE494" s="10"/>
      <c r="AF494" s="10"/>
      <c r="AG494" s="10"/>
      <c r="AH494" s="10"/>
    </row>
    <row r="495" spans="1:34" ht="15.75" customHeight="1">
      <c r="A495" s="13"/>
      <c r="B495" s="14"/>
      <c r="C495" s="14"/>
      <c r="D495" s="14"/>
      <c r="E495" s="15"/>
      <c r="F495" s="14"/>
      <c r="G495" s="14"/>
      <c r="H495" s="17"/>
      <c r="I495" s="17"/>
      <c r="J495" s="17"/>
      <c r="K495" s="21"/>
      <c r="L495" s="17"/>
      <c r="M495" s="17"/>
      <c r="N495" s="14"/>
      <c r="O495" s="14"/>
      <c r="P495" s="14"/>
      <c r="Q495" s="14"/>
      <c r="R495" s="14"/>
      <c r="S495" s="10"/>
      <c r="T495" s="10"/>
      <c r="U495" s="10"/>
      <c r="V495" s="10"/>
      <c r="W495" s="10"/>
      <c r="X495" s="10"/>
      <c r="Y495" s="10"/>
      <c r="Z495" s="10"/>
      <c r="AA495" s="10"/>
      <c r="AB495" s="10"/>
      <c r="AC495" s="10"/>
      <c r="AD495" s="10"/>
      <c r="AE495" s="10"/>
      <c r="AF495" s="10"/>
      <c r="AG495" s="10"/>
      <c r="AH495" s="10"/>
    </row>
    <row r="496" spans="1:34" ht="15.75" customHeight="1">
      <c r="A496" s="13"/>
      <c r="B496" s="14"/>
      <c r="C496" s="14"/>
      <c r="D496" s="14"/>
      <c r="E496" s="15"/>
      <c r="F496" s="14"/>
      <c r="G496" s="14"/>
      <c r="H496" s="17"/>
      <c r="I496" s="17"/>
      <c r="J496" s="17"/>
      <c r="K496" s="21"/>
      <c r="L496" s="17"/>
      <c r="M496" s="17"/>
      <c r="N496" s="14"/>
      <c r="O496" s="14"/>
      <c r="P496" s="14"/>
      <c r="Q496" s="14"/>
      <c r="R496" s="14"/>
      <c r="S496" s="10"/>
      <c r="T496" s="10"/>
      <c r="U496" s="10"/>
      <c r="V496" s="10"/>
      <c r="W496" s="10"/>
      <c r="X496" s="10"/>
      <c r="Y496" s="10"/>
      <c r="Z496" s="10"/>
      <c r="AA496" s="10"/>
      <c r="AB496" s="10"/>
      <c r="AC496" s="10"/>
      <c r="AD496" s="10"/>
      <c r="AE496" s="10"/>
      <c r="AF496" s="10"/>
      <c r="AG496" s="10"/>
      <c r="AH496" s="10"/>
    </row>
    <row r="497" spans="1:34" ht="15.75" customHeight="1">
      <c r="A497" s="13"/>
      <c r="B497" s="14"/>
      <c r="C497" s="14"/>
      <c r="D497" s="14"/>
      <c r="E497" s="15"/>
      <c r="F497" s="14"/>
      <c r="G497" s="14"/>
      <c r="H497" s="17"/>
      <c r="I497" s="17"/>
      <c r="J497" s="17"/>
      <c r="K497" s="21"/>
      <c r="L497" s="17"/>
      <c r="M497" s="17"/>
      <c r="N497" s="14"/>
      <c r="O497" s="14"/>
      <c r="P497" s="14"/>
      <c r="Q497" s="14"/>
      <c r="R497" s="14"/>
      <c r="S497" s="10"/>
      <c r="T497" s="10"/>
      <c r="U497" s="10"/>
      <c r="V497" s="10"/>
      <c r="W497" s="10"/>
      <c r="X497" s="10"/>
      <c r="Y497" s="10"/>
      <c r="Z497" s="10"/>
      <c r="AA497" s="10"/>
      <c r="AB497" s="10"/>
      <c r="AC497" s="10"/>
      <c r="AD497" s="10"/>
      <c r="AE497" s="10"/>
      <c r="AF497" s="10"/>
      <c r="AG497" s="10"/>
      <c r="AH497" s="10"/>
    </row>
    <row r="498" spans="1:34" ht="15.75" customHeight="1">
      <c r="A498" s="13"/>
      <c r="B498" s="14"/>
      <c r="C498" s="14"/>
      <c r="D498" s="14"/>
      <c r="E498" s="15"/>
      <c r="F498" s="14"/>
      <c r="G498" s="14"/>
      <c r="H498" s="17"/>
      <c r="I498" s="17"/>
      <c r="J498" s="17"/>
      <c r="K498" s="21"/>
      <c r="L498" s="17"/>
      <c r="M498" s="17"/>
      <c r="N498" s="14"/>
      <c r="O498" s="14"/>
      <c r="P498" s="14"/>
      <c r="Q498" s="14"/>
      <c r="R498" s="14"/>
      <c r="S498" s="10"/>
      <c r="T498" s="10"/>
      <c r="U498" s="10"/>
      <c r="V498" s="10"/>
      <c r="W498" s="10"/>
      <c r="X498" s="10"/>
      <c r="Y498" s="10"/>
      <c r="Z498" s="10"/>
      <c r="AA498" s="10"/>
      <c r="AB498" s="10"/>
      <c r="AC498" s="10"/>
      <c r="AD498" s="10"/>
      <c r="AE498" s="10"/>
      <c r="AF498" s="10"/>
      <c r="AG498" s="10"/>
      <c r="AH498" s="10"/>
    </row>
    <row r="499" spans="1:34" ht="15.75" customHeight="1">
      <c r="A499" s="13"/>
      <c r="B499" s="14"/>
      <c r="C499" s="14"/>
      <c r="D499" s="14"/>
      <c r="E499" s="15"/>
      <c r="F499" s="14"/>
      <c r="G499" s="14"/>
      <c r="H499" s="17"/>
      <c r="I499" s="17"/>
      <c r="J499" s="17"/>
      <c r="K499" s="21"/>
      <c r="L499" s="17"/>
      <c r="M499" s="17"/>
      <c r="N499" s="14"/>
      <c r="O499" s="14"/>
      <c r="P499" s="14"/>
      <c r="Q499" s="14"/>
      <c r="R499" s="14"/>
      <c r="S499" s="10"/>
      <c r="T499" s="10"/>
      <c r="U499" s="10"/>
      <c r="V499" s="10"/>
      <c r="W499" s="10"/>
      <c r="X499" s="10"/>
      <c r="Y499" s="10"/>
      <c r="Z499" s="10"/>
      <c r="AA499" s="10"/>
      <c r="AB499" s="10"/>
      <c r="AC499" s="10"/>
      <c r="AD499" s="10"/>
      <c r="AE499" s="10"/>
      <c r="AF499" s="10"/>
      <c r="AG499" s="10"/>
      <c r="AH499" s="10"/>
    </row>
    <row r="500" spans="1:34" ht="15.75" customHeight="1">
      <c r="A500" s="13"/>
      <c r="B500" s="14"/>
      <c r="C500" s="14"/>
      <c r="D500" s="14"/>
      <c r="E500" s="15"/>
      <c r="F500" s="14"/>
      <c r="G500" s="14"/>
      <c r="H500" s="17"/>
      <c r="I500" s="17"/>
      <c r="J500" s="17"/>
      <c r="K500" s="21"/>
      <c r="L500" s="17"/>
      <c r="M500" s="17"/>
      <c r="N500" s="14"/>
      <c r="O500" s="14"/>
      <c r="P500" s="14"/>
      <c r="Q500" s="14"/>
      <c r="R500" s="14"/>
      <c r="S500" s="10"/>
      <c r="T500" s="10"/>
      <c r="U500" s="10"/>
      <c r="V500" s="10"/>
      <c r="W500" s="10"/>
      <c r="X500" s="10"/>
      <c r="Y500" s="10"/>
      <c r="Z500" s="10"/>
      <c r="AA500" s="10"/>
      <c r="AB500" s="10"/>
      <c r="AC500" s="10"/>
      <c r="AD500" s="10"/>
      <c r="AE500" s="10"/>
      <c r="AF500" s="10"/>
      <c r="AG500" s="10"/>
      <c r="AH500" s="10"/>
    </row>
    <row r="501" spans="1:34" ht="15.75" customHeight="1">
      <c r="A501" s="13"/>
      <c r="B501" s="14"/>
      <c r="C501" s="14"/>
      <c r="D501" s="14"/>
      <c r="E501" s="15"/>
      <c r="F501" s="14"/>
      <c r="G501" s="14"/>
      <c r="H501" s="17"/>
      <c r="I501" s="17"/>
      <c r="J501" s="17"/>
      <c r="K501" s="21"/>
      <c r="L501" s="17"/>
      <c r="M501" s="17"/>
      <c r="N501" s="14"/>
      <c r="O501" s="14"/>
      <c r="P501" s="14"/>
      <c r="Q501" s="14"/>
      <c r="R501" s="14"/>
      <c r="S501" s="10"/>
      <c r="T501" s="10"/>
      <c r="U501" s="10"/>
      <c r="V501" s="10"/>
      <c r="W501" s="10"/>
      <c r="X501" s="10"/>
      <c r="Y501" s="10"/>
      <c r="Z501" s="10"/>
      <c r="AA501" s="10"/>
      <c r="AB501" s="10"/>
      <c r="AC501" s="10"/>
      <c r="AD501" s="10"/>
      <c r="AE501" s="10"/>
      <c r="AF501" s="10"/>
      <c r="AG501" s="10"/>
      <c r="AH501" s="10"/>
    </row>
    <row r="502" spans="1:34" ht="15.75" customHeight="1">
      <c r="A502" s="13"/>
      <c r="B502" s="14"/>
      <c r="C502" s="14"/>
      <c r="D502" s="14"/>
      <c r="E502" s="15"/>
      <c r="F502" s="14"/>
      <c r="G502" s="14"/>
      <c r="H502" s="17"/>
      <c r="I502" s="17"/>
      <c r="J502" s="17"/>
      <c r="K502" s="21"/>
      <c r="L502" s="17"/>
      <c r="M502" s="17"/>
      <c r="N502" s="14"/>
      <c r="O502" s="14"/>
      <c r="P502" s="14"/>
      <c r="Q502" s="14"/>
      <c r="R502" s="14"/>
      <c r="S502" s="10"/>
      <c r="T502" s="10"/>
      <c r="U502" s="10"/>
      <c r="V502" s="10"/>
      <c r="W502" s="10"/>
      <c r="X502" s="10"/>
      <c r="Y502" s="10"/>
      <c r="Z502" s="10"/>
      <c r="AA502" s="10"/>
      <c r="AB502" s="10"/>
      <c r="AC502" s="10"/>
      <c r="AD502" s="10"/>
      <c r="AE502" s="10"/>
      <c r="AF502" s="10"/>
      <c r="AG502" s="10"/>
      <c r="AH502" s="10"/>
    </row>
    <row r="503" spans="1:34" ht="15.75" customHeight="1">
      <c r="A503" s="13"/>
      <c r="B503" s="14"/>
      <c r="C503" s="14"/>
      <c r="D503" s="14"/>
      <c r="E503" s="15"/>
      <c r="F503" s="14"/>
      <c r="G503" s="14"/>
      <c r="H503" s="17"/>
      <c r="I503" s="17"/>
      <c r="J503" s="17"/>
      <c r="K503" s="21"/>
      <c r="L503" s="17"/>
      <c r="M503" s="17"/>
      <c r="N503" s="14"/>
      <c r="O503" s="14"/>
      <c r="P503" s="14"/>
      <c r="Q503" s="14"/>
      <c r="R503" s="14"/>
      <c r="S503" s="10"/>
      <c r="T503" s="10"/>
      <c r="U503" s="10"/>
      <c r="V503" s="10"/>
      <c r="W503" s="10"/>
      <c r="X503" s="10"/>
      <c r="Y503" s="10"/>
      <c r="Z503" s="10"/>
      <c r="AA503" s="10"/>
      <c r="AB503" s="10"/>
      <c r="AC503" s="10"/>
      <c r="AD503" s="10"/>
      <c r="AE503" s="10"/>
      <c r="AF503" s="10"/>
      <c r="AG503" s="10"/>
      <c r="AH503" s="10"/>
    </row>
    <row r="504" spans="1:34" ht="15.75" customHeight="1">
      <c r="A504" s="13"/>
      <c r="B504" s="14"/>
      <c r="C504" s="14"/>
      <c r="D504" s="14"/>
      <c r="E504" s="15"/>
      <c r="F504" s="14"/>
      <c r="G504" s="14"/>
      <c r="H504" s="17"/>
      <c r="I504" s="17"/>
      <c r="J504" s="17"/>
      <c r="K504" s="21"/>
      <c r="L504" s="17"/>
      <c r="M504" s="17"/>
      <c r="N504" s="14"/>
      <c r="O504" s="14"/>
      <c r="P504" s="14"/>
      <c r="Q504" s="14"/>
      <c r="R504" s="14"/>
      <c r="S504" s="10"/>
      <c r="T504" s="10"/>
      <c r="U504" s="10"/>
      <c r="V504" s="10"/>
      <c r="W504" s="10"/>
      <c r="X504" s="10"/>
      <c r="Y504" s="10"/>
      <c r="Z504" s="10"/>
      <c r="AA504" s="10"/>
      <c r="AB504" s="10"/>
      <c r="AC504" s="10"/>
      <c r="AD504" s="10"/>
      <c r="AE504" s="10"/>
      <c r="AF504" s="10"/>
      <c r="AG504" s="10"/>
      <c r="AH504" s="10"/>
    </row>
    <row r="505" spans="1:34" ht="15.75" customHeight="1">
      <c r="A505" s="13"/>
      <c r="B505" s="14"/>
      <c r="C505" s="14"/>
      <c r="D505" s="14"/>
      <c r="E505" s="15"/>
      <c r="F505" s="14"/>
      <c r="G505" s="14"/>
      <c r="H505" s="17"/>
      <c r="I505" s="17"/>
      <c r="J505" s="17"/>
      <c r="K505" s="21"/>
      <c r="L505" s="17"/>
      <c r="M505" s="17"/>
      <c r="N505" s="14"/>
      <c r="O505" s="14"/>
      <c r="P505" s="14"/>
      <c r="Q505" s="14"/>
      <c r="R505" s="14"/>
      <c r="S505" s="10"/>
      <c r="T505" s="10"/>
      <c r="U505" s="10"/>
      <c r="V505" s="10"/>
      <c r="W505" s="10"/>
      <c r="X505" s="10"/>
      <c r="Y505" s="10"/>
      <c r="Z505" s="10"/>
      <c r="AA505" s="10"/>
      <c r="AB505" s="10"/>
      <c r="AC505" s="10"/>
      <c r="AD505" s="10"/>
      <c r="AE505" s="10"/>
      <c r="AF505" s="10"/>
      <c r="AG505" s="10"/>
      <c r="AH505" s="10"/>
    </row>
    <row r="506" spans="1:34" ht="15.75" customHeight="1">
      <c r="A506" s="13"/>
      <c r="B506" s="14"/>
      <c r="C506" s="14"/>
      <c r="D506" s="14"/>
      <c r="E506" s="15"/>
      <c r="F506" s="14"/>
      <c r="G506" s="14"/>
      <c r="H506" s="17"/>
      <c r="I506" s="17"/>
      <c r="J506" s="17"/>
      <c r="K506" s="21"/>
      <c r="L506" s="17"/>
      <c r="M506" s="17"/>
      <c r="N506" s="14"/>
      <c r="O506" s="14"/>
      <c r="P506" s="14"/>
      <c r="Q506" s="14"/>
      <c r="R506" s="14"/>
      <c r="S506" s="10"/>
      <c r="T506" s="10"/>
      <c r="U506" s="10"/>
      <c r="V506" s="10"/>
      <c r="W506" s="10"/>
      <c r="X506" s="10"/>
      <c r="Y506" s="10"/>
      <c r="Z506" s="10"/>
      <c r="AA506" s="10"/>
      <c r="AB506" s="10"/>
      <c r="AC506" s="10"/>
      <c r="AD506" s="10"/>
      <c r="AE506" s="10"/>
      <c r="AF506" s="10"/>
      <c r="AG506" s="10"/>
      <c r="AH506" s="10"/>
    </row>
    <row r="507" spans="1:34" ht="15.75" customHeight="1">
      <c r="A507" s="13"/>
      <c r="B507" s="14"/>
      <c r="C507" s="14"/>
      <c r="D507" s="14"/>
      <c r="E507" s="15"/>
      <c r="F507" s="14"/>
      <c r="G507" s="14"/>
      <c r="H507" s="17"/>
      <c r="I507" s="17"/>
      <c r="J507" s="17"/>
      <c r="K507" s="21"/>
      <c r="L507" s="17"/>
      <c r="M507" s="17"/>
      <c r="N507" s="14"/>
      <c r="O507" s="14"/>
      <c r="P507" s="14"/>
      <c r="Q507" s="14"/>
      <c r="R507" s="14"/>
      <c r="S507" s="10"/>
      <c r="T507" s="10"/>
      <c r="U507" s="10"/>
      <c r="V507" s="10"/>
      <c r="W507" s="10"/>
      <c r="X507" s="10"/>
      <c r="Y507" s="10"/>
      <c r="Z507" s="10"/>
      <c r="AA507" s="10"/>
      <c r="AB507" s="10"/>
      <c r="AC507" s="10"/>
      <c r="AD507" s="10"/>
      <c r="AE507" s="10"/>
      <c r="AF507" s="10"/>
      <c r="AG507" s="10"/>
      <c r="AH507" s="10"/>
    </row>
    <row r="508" spans="1:34" ht="15.75" customHeight="1">
      <c r="A508" s="13"/>
      <c r="B508" s="14"/>
      <c r="C508" s="14"/>
      <c r="D508" s="14"/>
      <c r="E508" s="15"/>
      <c r="F508" s="14"/>
      <c r="G508" s="14"/>
      <c r="H508" s="17"/>
      <c r="I508" s="17"/>
      <c r="J508" s="17"/>
      <c r="K508" s="21"/>
      <c r="L508" s="17"/>
      <c r="M508" s="17"/>
      <c r="N508" s="14"/>
      <c r="O508" s="14"/>
      <c r="P508" s="14"/>
      <c r="Q508" s="14"/>
      <c r="R508" s="14"/>
      <c r="S508" s="10"/>
      <c r="T508" s="10"/>
      <c r="U508" s="10"/>
      <c r="V508" s="10"/>
      <c r="W508" s="10"/>
      <c r="X508" s="10"/>
      <c r="Y508" s="10"/>
      <c r="Z508" s="10"/>
      <c r="AA508" s="10"/>
      <c r="AB508" s="10"/>
      <c r="AC508" s="10"/>
      <c r="AD508" s="10"/>
      <c r="AE508" s="10"/>
      <c r="AF508" s="10"/>
      <c r="AG508" s="10"/>
      <c r="AH508" s="10"/>
    </row>
    <row r="509" spans="1:34" ht="15.75" customHeight="1">
      <c r="A509" s="13"/>
      <c r="B509" s="14"/>
      <c r="C509" s="14"/>
      <c r="D509" s="14"/>
      <c r="E509" s="15"/>
      <c r="F509" s="14"/>
      <c r="G509" s="14"/>
      <c r="H509" s="17"/>
      <c r="I509" s="17"/>
      <c r="J509" s="17"/>
      <c r="K509" s="21"/>
      <c r="L509" s="17"/>
      <c r="M509" s="17"/>
      <c r="N509" s="14"/>
      <c r="O509" s="14"/>
      <c r="P509" s="14"/>
      <c r="Q509" s="14"/>
      <c r="R509" s="14"/>
      <c r="S509" s="10"/>
      <c r="T509" s="10"/>
      <c r="U509" s="10"/>
      <c r="V509" s="10"/>
      <c r="W509" s="10"/>
      <c r="X509" s="10"/>
      <c r="Y509" s="10"/>
      <c r="Z509" s="10"/>
      <c r="AA509" s="10"/>
      <c r="AB509" s="10"/>
      <c r="AC509" s="10"/>
      <c r="AD509" s="10"/>
      <c r="AE509" s="10"/>
      <c r="AF509" s="10"/>
      <c r="AG509" s="10"/>
      <c r="AH509" s="10"/>
    </row>
    <row r="510" spans="1:34" ht="15.75" customHeight="1">
      <c r="A510" s="13"/>
      <c r="B510" s="14"/>
      <c r="C510" s="14"/>
      <c r="D510" s="14"/>
      <c r="E510" s="15"/>
      <c r="F510" s="14"/>
      <c r="G510" s="14"/>
      <c r="H510" s="17"/>
      <c r="I510" s="17"/>
      <c r="J510" s="17"/>
      <c r="K510" s="21"/>
      <c r="L510" s="17"/>
      <c r="M510" s="17"/>
      <c r="N510" s="14"/>
      <c r="O510" s="14"/>
      <c r="P510" s="14"/>
      <c r="Q510" s="14"/>
      <c r="R510" s="14"/>
      <c r="S510" s="10"/>
      <c r="T510" s="10"/>
      <c r="U510" s="10"/>
      <c r="V510" s="10"/>
      <c r="W510" s="10"/>
      <c r="X510" s="10"/>
      <c r="Y510" s="10"/>
      <c r="Z510" s="10"/>
      <c r="AA510" s="10"/>
      <c r="AB510" s="10"/>
      <c r="AC510" s="10"/>
      <c r="AD510" s="10"/>
      <c r="AE510" s="10"/>
      <c r="AF510" s="10"/>
      <c r="AG510" s="10"/>
      <c r="AH510" s="10"/>
    </row>
    <row r="511" spans="1:34" ht="15.75" customHeight="1">
      <c r="A511" s="13"/>
      <c r="B511" s="14"/>
      <c r="C511" s="14"/>
      <c r="D511" s="14"/>
      <c r="E511" s="15"/>
      <c r="F511" s="14"/>
      <c r="G511" s="14"/>
      <c r="H511" s="17"/>
      <c r="I511" s="17"/>
      <c r="J511" s="17"/>
      <c r="K511" s="21"/>
      <c r="L511" s="17"/>
      <c r="M511" s="17"/>
      <c r="N511" s="14"/>
      <c r="O511" s="14"/>
      <c r="P511" s="14"/>
      <c r="Q511" s="14"/>
      <c r="R511" s="14"/>
      <c r="S511" s="10"/>
      <c r="T511" s="10"/>
      <c r="U511" s="10"/>
      <c r="V511" s="10"/>
      <c r="W511" s="10"/>
      <c r="X511" s="10"/>
      <c r="Y511" s="10"/>
      <c r="Z511" s="10"/>
      <c r="AA511" s="10"/>
      <c r="AB511" s="10"/>
      <c r="AC511" s="10"/>
      <c r="AD511" s="10"/>
      <c r="AE511" s="10"/>
      <c r="AF511" s="10"/>
      <c r="AG511" s="10"/>
      <c r="AH511" s="10"/>
    </row>
    <row r="512" spans="1:34" ht="15.75" customHeight="1">
      <c r="A512" s="13"/>
      <c r="B512" s="14"/>
      <c r="C512" s="14"/>
      <c r="D512" s="14"/>
      <c r="E512" s="15"/>
      <c r="F512" s="14"/>
      <c r="G512" s="14"/>
      <c r="H512" s="17"/>
      <c r="I512" s="17"/>
      <c r="J512" s="17"/>
      <c r="K512" s="21"/>
      <c r="L512" s="17"/>
      <c r="M512" s="17"/>
      <c r="N512" s="14"/>
      <c r="O512" s="14"/>
      <c r="P512" s="14"/>
      <c r="Q512" s="14"/>
      <c r="R512" s="14"/>
      <c r="S512" s="10"/>
      <c r="T512" s="10"/>
      <c r="U512" s="10"/>
      <c r="V512" s="10"/>
      <c r="W512" s="10"/>
      <c r="X512" s="10"/>
      <c r="Y512" s="10"/>
      <c r="Z512" s="10"/>
      <c r="AA512" s="10"/>
      <c r="AB512" s="10"/>
      <c r="AC512" s="10"/>
      <c r="AD512" s="10"/>
      <c r="AE512" s="10"/>
      <c r="AF512" s="10"/>
      <c r="AG512" s="10"/>
      <c r="AH512" s="10"/>
    </row>
    <row r="513" spans="1:34" ht="15.75" customHeight="1">
      <c r="A513" s="13"/>
      <c r="B513" s="14"/>
      <c r="C513" s="14"/>
      <c r="D513" s="14"/>
      <c r="E513" s="15"/>
      <c r="F513" s="14"/>
      <c r="G513" s="14"/>
      <c r="H513" s="17"/>
      <c r="I513" s="17"/>
      <c r="J513" s="17"/>
      <c r="K513" s="21"/>
      <c r="L513" s="17"/>
      <c r="M513" s="17"/>
      <c r="N513" s="14"/>
      <c r="O513" s="14"/>
      <c r="P513" s="14"/>
      <c r="Q513" s="14"/>
      <c r="R513" s="14"/>
      <c r="S513" s="10"/>
      <c r="T513" s="10"/>
      <c r="U513" s="10"/>
      <c r="V513" s="10"/>
      <c r="W513" s="10"/>
      <c r="X513" s="10"/>
      <c r="Y513" s="10"/>
      <c r="Z513" s="10"/>
      <c r="AA513" s="10"/>
      <c r="AB513" s="10"/>
      <c r="AC513" s="10"/>
      <c r="AD513" s="10"/>
      <c r="AE513" s="10"/>
      <c r="AF513" s="10"/>
      <c r="AG513" s="10"/>
      <c r="AH513" s="10"/>
    </row>
    <row r="514" spans="1:34" ht="15.75" customHeight="1">
      <c r="A514" s="13"/>
      <c r="B514" s="14"/>
      <c r="C514" s="14"/>
      <c r="D514" s="14"/>
      <c r="E514" s="15"/>
      <c r="F514" s="14"/>
      <c r="G514" s="14"/>
      <c r="H514" s="17"/>
      <c r="I514" s="17"/>
      <c r="J514" s="17"/>
      <c r="K514" s="21"/>
      <c r="L514" s="17"/>
      <c r="M514" s="17"/>
      <c r="N514" s="14"/>
      <c r="O514" s="14"/>
      <c r="P514" s="14"/>
      <c r="Q514" s="14"/>
      <c r="R514" s="14"/>
      <c r="S514" s="10"/>
      <c r="T514" s="10"/>
      <c r="U514" s="10"/>
      <c r="V514" s="10"/>
      <c r="W514" s="10"/>
      <c r="X514" s="10"/>
      <c r="Y514" s="10"/>
      <c r="Z514" s="10"/>
      <c r="AA514" s="10"/>
      <c r="AB514" s="10"/>
      <c r="AC514" s="10"/>
      <c r="AD514" s="10"/>
      <c r="AE514" s="10"/>
      <c r="AF514" s="10"/>
      <c r="AG514" s="10"/>
      <c r="AH514" s="10"/>
    </row>
    <row r="515" spans="1:34" ht="15.75" customHeight="1">
      <c r="A515" s="13"/>
      <c r="B515" s="14"/>
      <c r="C515" s="14"/>
      <c r="D515" s="14"/>
      <c r="E515" s="15"/>
      <c r="F515" s="14"/>
      <c r="G515" s="14"/>
      <c r="H515" s="17"/>
      <c r="I515" s="17"/>
      <c r="J515" s="17"/>
      <c r="K515" s="21"/>
      <c r="L515" s="17"/>
      <c r="M515" s="17"/>
      <c r="N515" s="14"/>
      <c r="O515" s="14"/>
      <c r="P515" s="14"/>
      <c r="Q515" s="14"/>
      <c r="R515" s="14"/>
      <c r="S515" s="10"/>
      <c r="T515" s="10"/>
      <c r="U515" s="10"/>
      <c r="V515" s="10"/>
      <c r="W515" s="10"/>
      <c r="X515" s="10"/>
      <c r="Y515" s="10"/>
      <c r="Z515" s="10"/>
      <c r="AA515" s="10"/>
      <c r="AB515" s="10"/>
      <c r="AC515" s="10"/>
      <c r="AD515" s="10"/>
      <c r="AE515" s="10"/>
      <c r="AF515" s="10"/>
      <c r="AG515" s="10"/>
      <c r="AH515" s="10"/>
    </row>
    <row r="516" spans="1:34" ht="15.75" customHeight="1">
      <c r="A516" s="13"/>
      <c r="B516" s="14"/>
      <c r="C516" s="14"/>
      <c r="D516" s="14"/>
      <c r="E516" s="15"/>
      <c r="F516" s="14"/>
      <c r="G516" s="14"/>
      <c r="H516" s="17"/>
      <c r="I516" s="17"/>
      <c r="J516" s="17"/>
      <c r="K516" s="21"/>
      <c r="L516" s="17"/>
      <c r="M516" s="17"/>
      <c r="N516" s="14"/>
      <c r="O516" s="14"/>
      <c r="P516" s="14"/>
      <c r="Q516" s="14"/>
      <c r="R516" s="14"/>
      <c r="S516" s="10"/>
      <c r="T516" s="10"/>
      <c r="U516" s="10"/>
      <c r="V516" s="10"/>
      <c r="W516" s="10"/>
      <c r="X516" s="10"/>
      <c r="Y516" s="10"/>
      <c r="Z516" s="10"/>
      <c r="AA516" s="10"/>
      <c r="AB516" s="10"/>
      <c r="AC516" s="10"/>
      <c r="AD516" s="10"/>
      <c r="AE516" s="10"/>
      <c r="AF516" s="10"/>
      <c r="AG516" s="10"/>
      <c r="AH516" s="10"/>
    </row>
    <row r="517" spans="1:34" ht="15.75" customHeight="1">
      <c r="A517" s="13"/>
      <c r="B517" s="14"/>
      <c r="C517" s="14"/>
      <c r="D517" s="14"/>
      <c r="E517" s="15"/>
      <c r="F517" s="14"/>
      <c r="G517" s="14"/>
      <c r="H517" s="17"/>
      <c r="I517" s="17"/>
      <c r="J517" s="17"/>
      <c r="K517" s="21"/>
      <c r="L517" s="17"/>
      <c r="M517" s="17"/>
      <c r="N517" s="14"/>
      <c r="O517" s="14"/>
      <c r="P517" s="14"/>
      <c r="Q517" s="14"/>
      <c r="R517" s="14"/>
      <c r="S517" s="10"/>
      <c r="T517" s="10"/>
      <c r="U517" s="10"/>
      <c r="V517" s="10"/>
      <c r="W517" s="10"/>
      <c r="X517" s="10"/>
      <c r="Y517" s="10"/>
      <c r="Z517" s="10"/>
      <c r="AA517" s="10"/>
      <c r="AB517" s="10"/>
      <c r="AC517" s="10"/>
      <c r="AD517" s="10"/>
      <c r="AE517" s="10"/>
      <c r="AF517" s="10"/>
      <c r="AG517" s="10"/>
      <c r="AH517" s="10"/>
    </row>
    <row r="518" spans="1:34" ht="15.75" customHeight="1">
      <c r="A518" s="13"/>
      <c r="B518" s="14"/>
      <c r="C518" s="14"/>
      <c r="D518" s="14"/>
      <c r="E518" s="15"/>
      <c r="F518" s="14"/>
      <c r="G518" s="14"/>
      <c r="H518" s="17"/>
      <c r="I518" s="17"/>
      <c r="J518" s="17"/>
      <c r="K518" s="21"/>
      <c r="L518" s="17"/>
      <c r="M518" s="17"/>
      <c r="N518" s="14"/>
      <c r="O518" s="14"/>
      <c r="P518" s="14"/>
      <c r="Q518" s="14"/>
      <c r="R518" s="14"/>
      <c r="S518" s="10"/>
      <c r="T518" s="10"/>
      <c r="U518" s="10"/>
      <c r="V518" s="10"/>
      <c r="W518" s="10"/>
      <c r="X518" s="10"/>
      <c r="Y518" s="10"/>
      <c r="Z518" s="10"/>
      <c r="AA518" s="10"/>
      <c r="AB518" s="10"/>
      <c r="AC518" s="10"/>
      <c r="AD518" s="10"/>
      <c r="AE518" s="10"/>
      <c r="AF518" s="10"/>
      <c r="AG518" s="10"/>
      <c r="AH518" s="10"/>
    </row>
    <row r="519" spans="1:34" ht="15.75" customHeight="1">
      <c r="A519" s="13"/>
      <c r="B519" s="14"/>
      <c r="C519" s="14"/>
      <c r="D519" s="14"/>
      <c r="E519" s="15"/>
      <c r="F519" s="14"/>
      <c r="G519" s="14"/>
      <c r="H519" s="17"/>
      <c r="I519" s="17"/>
      <c r="J519" s="17"/>
      <c r="K519" s="21"/>
      <c r="L519" s="17"/>
      <c r="M519" s="17"/>
      <c r="N519" s="14"/>
      <c r="O519" s="14"/>
      <c r="P519" s="14"/>
      <c r="Q519" s="14"/>
      <c r="R519" s="14"/>
      <c r="S519" s="10"/>
      <c r="T519" s="10"/>
      <c r="U519" s="10"/>
      <c r="V519" s="10"/>
      <c r="W519" s="10"/>
      <c r="X519" s="10"/>
      <c r="Y519" s="10"/>
      <c r="Z519" s="10"/>
      <c r="AA519" s="10"/>
      <c r="AB519" s="10"/>
      <c r="AC519" s="10"/>
      <c r="AD519" s="10"/>
      <c r="AE519" s="10"/>
      <c r="AF519" s="10"/>
      <c r="AG519" s="10"/>
      <c r="AH519" s="10"/>
    </row>
    <row r="520" spans="1:34" ht="15.75" customHeight="1">
      <c r="A520" s="13"/>
      <c r="B520" s="14"/>
      <c r="C520" s="14"/>
      <c r="D520" s="14"/>
      <c r="E520" s="15"/>
      <c r="F520" s="14"/>
      <c r="G520" s="14"/>
      <c r="H520" s="17"/>
      <c r="I520" s="17"/>
      <c r="J520" s="17"/>
      <c r="K520" s="21"/>
      <c r="L520" s="17"/>
      <c r="M520" s="17"/>
      <c r="N520" s="14"/>
      <c r="O520" s="14"/>
      <c r="P520" s="14"/>
      <c r="Q520" s="14"/>
      <c r="R520" s="14"/>
      <c r="S520" s="10"/>
      <c r="T520" s="10"/>
      <c r="U520" s="10"/>
      <c r="V520" s="10"/>
      <c r="W520" s="10"/>
      <c r="X520" s="10"/>
      <c r="Y520" s="10"/>
      <c r="Z520" s="10"/>
      <c r="AA520" s="10"/>
      <c r="AB520" s="10"/>
      <c r="AC520" s="10"/>
      <c r="AD520" s="10"/>
      <c r="AE520" s="10"/>
      <c r="AF520" s="10"/>
      <c r="AG520" s="10"/>
      <c r="AH520" s="10"/>
    </row>
    <row r="521" spans="1:34" ht="15.75" customHeight="1">
      <c r="A521" s="13"/>
      <c r="B521" s="14"/>
      <c r="C521" s="14"/>
      <c r="D521" s="14"/>
      <c r="E521" s="15"/>
      <c r="F521" s="14"/>
      <c r="G521" s="14"/>
      <c r="H521" s="17"/>
      <c r="I521" s="17"/>
      <c r="J521" s="17"/>
      <c r="K521" s="21"/>
      <c r="L521" s="17"/>
      <c r="M521" s="17"/>
      <c r="N521" s="14"/>
      <c r="O521" s="14"/>
      <c r="P521" s="14"/>
      <c r="Q521" s="14"/>
      <c r="R521" s="14"/>
      <c r="S521" s="10"/>
      <c r="T521" s="10"/>
      <c r="U521" s="10"/>
      <c r="V521" s="10"/>
      <c r="W521" s="10"/>
      <c r="X521" s="10"/>
      <c r="Y521" s="10"/>
      <c r="Z521" s="10"/>
      <c r="AA521" s="10"/>
      <c r="AB521" s="10"/>
      <c r="AC521" s="10"/>
      <c r="AD521" s="10"/>
      <c r="AE521" s="10"/>
      <c r="AF521" s="10"/>
      <c r="AG521" s="10"/>
      <c r="AH521" s="10"/>
    </row>
    <row r="522" spans="1:34" ht="15.75" customHeight="1">
      <c r="A522" s="13"/>
      <c r="B522" s="14"/>
      <c r="C522" s="14"/>
      <c r="D522" s="14"/>
      <c r="E522" s="15"/>
      <c r="F522" s="14"/>
      <c r="G522" s="14"/>
      <c r="H522" s="17"/>
      <c r="I522" s="17"/>
      <c r="J522" s="17"/>
      <c r="K522" s="21"/>
      <c r="L522" s="17"/>
      <c r="M522" s="17"/>
      <c r="N522" s="14"/>
      <c r="O522" s="14"/>
      <c r="P522" s="14"/>
      <c r="Q522" s="14"/>
      <c r="R522" s="14"/>
      <c r="S522" s="10"/>
      <c r="T522" s="10"/>
      <c r="U522" s="10"/>
      <c r="V522" s="10"/>
      <c r="W522" s="10"/>
      <c r="X522" s="10"/>
      <c r="Y522" s="10"/>
      <c r="Z522" s="10"/>
      <c r="AA522" s="10"/>
      <c r="AB522" s="10"/>
      <c r="AC522" s="10"/>
      <c r="AD522" s="10"/>
      <c r="AE522" s="10"/>
      <c r="AF522" s="10"/>
      <c r="AG522" s="10"/>
      <c r="AH522" s="10"/>
    </row>
    <row r="523" spans="1:34" ht="15.75" customHeight="1">
      <c r="A523" s="13"/>
      <c r="B523" s="14"/>
      <c r="C523" s="14"/>
      <c r="D523" s="14"/>
      <c r="E523" s="15"/>
      <c r="F523" s="14"/>
      <c r="G523" s="14"/>
      <c r="H523" s="17"/>
      <c r="I523" s="17"/>
      <c r="J523" s="17"/>
      <c r="K523" s="21"/>
      <c r="L523" s="17"/>
      <c r="M523" s="17"/>
      <c r="N523" s="14"/>
      <c r="O523" s="14"/>
      <c r="P523" s="14"/>
      <c r="Q523" s="14"/>
      <c r="R523" s="14"/>
      <c r="S523" s="10"/>
      <c r="T523" s="10"/>
      <c r="U523" s="10"/>
      <c r="V523" s="10"/>
      <c r="W523" s="10"/>
      <c r="X523" s="10"/>
      <c r="Y523" s="10"/>
      <c r="Z523" s="10"/>
      <c r="AA523" s="10"/>
      <c r="AB523" s="10"/>
      <c r="AC523" s="10"/>
      <c r="AD523" s="10"/>
      <c r="AE523" s="10"/>
      <c r="AF523" s="10"/>
      <c r="AG523" s="10"/>
      <c r="AH523" s="10"/>
    </row>
    <row r="524" spans="1:34" ht="15.75" customHeight="1">
      <c r="A524" s="13"/>
      <c r="B524" s="14"/>
      <c r="C524" s="14"/>
      <c r="D524" s="14"/>
      <c r="E524" s="15"/>
      <c r="F524" s="14"/>
      <c r="G524" s="14"/>
      <c r="H524" s="17"/>
      <c r="I524" s="17"/>
      <c r="J524" s="17"/>
      <c r="K524" s="21"/>
      <c r="L524" s="17"/>
      <c r="M524" s="17"/>
      <c r="N524" s="14"/>
      <c r="O524" s="14"/>
      <c r="P524" s="14"/>
      <c r="Q524" s="14"/>
      <c r="R524" s="14"/>
      <c r="S524" s="10"/>
      <c r="T524" s="10"/>
      <c r="U524" s="10"/>
      <c r="V524" s="10"/>
      <c r="W524" s="10"/>
      <c r="X524" s="10"/>
      <c r="Y524" s="10"/>
      <c r="Z524" s="10"/>
      <c r="AA524" s="10"/>
      <c r="AB524" s="10"/>
      <c r="AC524" s="10"/>
      <c r="AD524" s="10"/>
      <c r="AE524" s="10"/>
      <c r="AF524" s="10"/>
      <c r="AG524" s="10"/>
      <c r="AH524" s="10"/>
    </row>
    <row r="525" spans="1:34" ht="15.75" customHeight="1">
      <c r="A525" s="13"/>
      <c r="B525" s="14"/>
      <c r="C525" s="14"/>
      <c r="D525" s="14"/>
      <c r="E525" s="15"/>
      <c r="F525" s="14"/>
      <c r="G525" s="14"/>
      <c r="H525" s="17"/>
      <c r="I525" s="17"/>
      <c r="J525" s="17"/>
      <c r="K525" s="21"/>
      <c r="L525" s="17"/>
      <c r="M525" s="17"/>
      <c r="N525" s="14"/>
      <c r="O525" s="14"/>
      <c r="P525" s="14"/>
      <c r="Q525" s="14"/>
      <c r="R525" s="14"/>
      <c r="S525" s="10"/>
      <c r="T525" s="10"/>
      <c r="U525" s="10"/>
      <c r="V525" s="10"/>
      <c r="W525" s="10"/>
      <c r="X525" s="10"/>
      <c r="Y525" s="10"/>
      <c r="Z525" s="10"/>
      <c r="AA525" s="10"/>
      <c r="AB525" s="10"/>
      <c r="AC525" s="10"/>
      <c r="AD525" s="10"/>
      <c r="AE525" s="10"/>
      <c r="AF525" s="10"/>
      <c r="AG525" s="10"/>
      <c r="AH525" s="10"/>
    </row>
    <row r="526" spans="1:34" ht="15.75" customHeight="1">
      <c r="A526" s="13"/>
      <c r="B526" s="14"/>
      <c r="C526" s="14"/>
      <c r="D526" s="14"/>
      <c r="E526" s="15"/>
      <c r="F526" s="14"/>
      <c r="G526" s="14"/>
      <c r="H526" s="17"/>
      <c r="I526" s="17"/>
      <c r="J526" s="17"/>
      <c r="K526" s="21"/>
      <c r="L526" s="17"/>
      <c r="M526" s="17"/>
      <c r="N526" s="14"/>
      <c r="O526" s="14"/>
      <c r="P526" s="14"/>
      <c r="Q526" s="14"/>
      <c r="R526" s="14"/>
      <c r="S526" s="10"/>
      <c r="T526" s="10"/>
      <c r="U526" s="10"/>
      <c r="V526" s="10"/>
      <c r="W526" s="10"/>
      <c r="X526" s="10"/>
      <c r="Y526" s="10"/>
      <c r="Z526" s="10"/>
      <c r="AA526" s="10"/>
      <c r="AB526" s="10"/>
      <c r="AC526" s="10"/>
      <c r="AD526" s="10"/>
      <c r="AE526" s="10"/>
      <c r="AF526" s="10"/>
      <c r="AG526" s="10"/>
      <c r="AH526" s="10"/>
    </row>
    <row r="527" spans="1:34" ht="15.75" customHeight="1">
      <c r="A527" s="13"/>
      <c r="B527" s="14"/>
      <c r="C527" s="14"/>
      <c r="D527" s="14"/>
      <c r="E527" s="15"/>
      <c r="F527" s="14"/>
      <c r="G527" s="14"/>
      <c r="H527" s="17"/>
      <c r="I527" s="17"/>
      <c r="J527" s="17"/>
      <c r="K527" s="21"/>
      <c r="L527" s="17"/>
      <c r="M527" s="17"/>
      <c r="N527" s="14"/>
      <c r="O527" s="14"/>
      <c r="P527" s="14"/>
      <c r="Q527" s="14"/>
      <c r="R527" s="14"/>
      <c r="S527" s="10"/>
      <c r="T527" s="10"/>
      <c r="U527" s="10"/>
      <c r="V527" s="10"/>
      <c r="W527" s="10"/>
      <c r="X527" s="10"/>
      <c r="Y527" s="10"/>
      <c r="Z527" s="10"/>
      <c r="AA527" s="10"/>
      <c r="AB527" s="10"/>
      <c r="AC527" s="10"/>
      <c r="AD527" s="10"/>
      <c r="AE527" s="10"/>
      <c r="AF527" s="10"/>
      <c r="AG527" s="10"/>
      <c r="AH527" s="10"/>
    </row>
    <row r="528" spans="1:34" ht="15.75" customHeight="1">
      <c r="A528" s="13"/>
      <c r="B528" s="14"/>
      <c r="C528" s="14"/>
      <c r="D528" s="14"/>
      <c r="E528" s="15"/>
      <c r="F528" s="14"/>
      <c r="G528" s="14"/>
      <c r="H528" s="17"/>
      <c r="I528" s="17"/>
      <c r="J528" s="17"/>
      <c r="K528" s="21"/>
      <c r="L528" s="17"/>
      <c r="M528" s="17"/>
      <c r="N528" s="14"/>
      <c r="O528" s="14"/>
      <c r="P528" s="14"/>
      <c r="Q528" s="14"/>
      <c r="R528" s="14"/>
      <c r="S528" s="10"/>
      <c r="T528" s="10"/>
      <c r="U528" s="10"/>
      <c r="V528" s="10"/>
      <c r="W528" s="10"/>
      <c r="X528" s="10"/>
      <c r="Y528" s="10"/>
      <c r="Z528" s="10"/>
      <c r="AA528" s="10"/>
      <c r="AB528" s="10"/>
      <c r="AC528" s="10"/>
      <c r="AD528" s="10"/>
      <c r="AE528" s="10"/>
      <c r="AF528" s="10"/>
      <c r="AG528" s="10"/>
      <c r="AH528" s="10"/>
    </row>
    <row r="529" spans="1:34" ht="15.75" customHeight="1">
      <c r="A529" s="13"/>
      <c r="B529" s="14"/>
      <c r="C529" s="14"/>
      <c r="D529" s="14"/>
      <c r="E529" s="15"/>
      <c r="F529" s="14"/>
      <c r="G529" s="14"/>
      <c r="H529" s="17"/>
      <c r="I529" s="17"/>
      <c r="J529" s="17"/>
      <c r="K529" s="21"/>
      <c r="L529" s="17"/>
      <c r="M529" s="17"/>
      <c r="N529" s="14"/>
      <c r="O529" s="14"/>
      <c r="P529" s="14"/>
      <c r="Q529" s="14"/>
      <c r="R529" s="14"/>
      <c r="S529" s="10"/>
      <c r="T529" s="10"/>
      <c r="U529" s="10"/>
      <c r="V529" s="10"/>
      <c r="W529" s="10"/>
      <c r="X529" s="10"/>
      <c r="Y529" s="10"/>
      <c r="Z529" s="10"/>
      <c r="AA529" s="10"/>
      <c r="AB529" s="10"/>
      <c r="AC529" s="10"/>
      <c r="AD529" s="10"/>
      <c r="AE529" s="10"/>
      <c r="AF529" s="10"/>
      <c r="AG529" s="10"/>
      <c r="AH529" s="10"/>
    </row>
    <row r="530" spans="1:34" ht="15.75" customHeight="1">
      <c r="A530" s="13"/>
      <c r="B530" s="14"/>
      <c r="C530" s="14"/>
      <c r="D530" s="14"/>
      <c r="E530" s="15"/>
      <c r="F530" s="14"/>
      <c r="G530" s="14"/>
      <c r="H530" s="17"/>
      <c r="I530" s="17"/>
      <c r="J530" s="17"/>
      <c r="K530" s="21"/>
      <c r="L530" s="17"/>
      <c r="M530" s="17"/>
      <c r="N530" s="14"/>
      <c r="O530" s="14"/>
      <c r="P530" s="14"/>
      <c r="Q530" s="14"/>
      <c r="R530" s="14"/>
      <c r="S530" s="10"/>
      <c r="T530" s="10"/>
      <c r="U530" s="10"/>
      <c r="V530" s="10"/>
      <c r="W530" s="10"/>
      <c r="X530" s="10"/>
      <c r="Y530" s="10"/>
      <c r="Z530" s="10"/>
      <c r="AA530" s="10"/>
      <c r="AB530" s="10"/>
      <c r="AC530" s="10"/>
      <c r="AD530" s="10"/>
      <c r="AE530" s="10"/>
      <c r="AF530" s="10"/>
      <c r="AG530" s="10"/>
      <c r="AH530" s="10"/>
    </row>
    <row r="531" spans="1:34" ht="15.75" customHeight="1">
      <c r="A531" s="13"/>
      <c r="B531" s="14"/>
      <c r="C531" s="14"/>
      <c r="D531" s="14"/>
      <c r="E531" s="15"/>
      <c r="F531" s="14"/>
      <c r="G531" s="14"/>
      <c r="H531" s="17"/>
      <c r="I531" s="17"/>
      <c r="J531" s="17"/>
      <c r="K531" s="21"/>
      <c r="L531" s="17"/>
      <c r="M531" s="17"/>
      <c r="N531" s="14"/>
      <c r="O531" s="14"/>
      <c r="P531" s="14"/>
      <c r="Q531" s="14"/>
      <c r="R531" s="14"/>
      <c r="S531" s="10"/>
      <c r="T531" s="10"/>
      <c r="U531" s="10"/>
      <c r="V531" s="10"/>
      <c r="W531" s="10"/>
      <c r="X531" s="10"/>
      <c r="Y531" s="10"/>
      <c r="Z531" s="10"/>
      <c r="AA531" s="10"/>
      <c r="AB531" s="10"/>
      <c r="AC531" s="10"/>
      <c r="AD531" s="10"/>
      <c r="AE531" s="10"/>
      <c r="AF531" s="10"/>
      <c r="AG531" s="10"/>
      <c r="AH531" s="10"/>
    </row>
    <row r="532" spans="1:34" ht="15.75" customHeight="1">
      <c r="A532" s="13"/>
      <c r="B532" s="14"/>
      <c r="C532" s="14"/>
      <c r="D532" s="14"/>
      <c r="E532" s="15"/>
      <c r="F532" s="14"/>
      <c r="G532" s="14"/>
      <c r="H532" s="17"/>
      <c r="I532" s="17"/>
      <c r="J532" s="17"/>
      <c r="K532" s="21"/>
      <c r="L532" s="17"/>
      <c r="M532" s="17"/>
      <c r="N532" s="14"/>
      <c r="O532" s="14"/>
      <c r="P532" s="14"/>
      <c r="Q532" s="14"/>
      <c r="R532" s="14"/>
      <c r="S532" s="10"/>
      <c r="T532" s="10"/>
      <c r="U532" s="10"/>
      <c r="V532" s="10"/>
      <c r="W532" s="10"/>
      <c r="X532" s="10"/>
      <c r="Y532" s="10"/>
      <c r="Z532" s="10"/>
      <c r="AA532" s="10"/>
      <c r="AB532" s="10"/>
      <c r="AC532" s="10"/>
      <c r="AD532" s="10"/>
      <c r="AE532" s="10"/>
      <c r="AF532" s="10"/>
      <c r="AG532" s="10"/>
      <c r="AH532" s="10"/>
    </row>
    <row r="533" spans="1:34" ht="15.75" customHeight="1">
      <c r="A533" s="13"/>
      <c r="B533" s="14"/>
      <c r="C533" s="14"/>
      <c r="D533" s="14"/>
      <c r="E533" s="15"/>
      <c r="F533" s="14"/>
      <c r="G533" s="14"/>
      <c r="H533" s="17"/>
      <c r="I533" s="17"/>
      <c r="J533" s="17"/>
      <c r="K533" s="21"/>
      <c r="L533" s="17"/>
      <c r="M533" s="17"/>
      <c r="N533" s="14"/>
      <c r="O533" s="14"/>
      <c r="P533" s="14"/>
      <c r="Q533" s="14"/>
      <c r="R533" s="14"/>
      <c r="S533" s="10"/>
      <c r="T533" s="10"/>
      <c r="U533" s="10"/>
      <c r="V533" s="10"/>
      <c r="W533" s="10"/>
      <c r="X533" s="10"/>
      <c r="Y533" s="10"/>
      <c r="Z533" s="10"/>
      <c r="AA533" s="10"/>
      <c r="AB533" s="10"/>
      <c r="AC533" s="10"/>
      <c r="AD533" s="10"/>
      <c r="AE533" s="10"/>
      <c r="AF533" s="10"/>
      <c r="AG533" s="10"/>
      <c r="AH533" s="10"/>
    </row>
    <row r="534" spans="1:34" ht="15.75" customHeight="1">
      <c r="A534" s="13"/>
      <c r="B534" s="14"/>
      <c r="C534" s="14"/>
      <c r="D534" s="14"/>
      <c r="E534" s="15"/>
      <c r="F534" s="14"/>
      <c r="G534" s="14"/>
      <c r="H534" s="17"/>
      <c r="I534" s="17"/>
      <c r="J534" s="17"/>
      <c r="K534" s="21"/>
      <c r="L534" s="17"/>
      <c r="M534" s="17"/>
      <c r="N534" s="14"/>
      <c r="O534" s="14"/>
      <c r="P534" s="14"/>
      <c r="Q534" s="14"/>
      <c r="R534" s="14"/>
      <c r="S534" s="10"/>
      <c r="T534" s="10"/>
      <c r="U534" s="10"/>
      <c r="V534" s="10"/>
      <c r="W534" s="10"/>
      <c r="X534" s="10"/>
      <c r="Y534" s="10"/>
      <c r="Z534" s="10"/>
      <c r="AA534" s="10"/>
      <c r="AB534" s="10"/>
      <c r="AC534" s="10"/>
      <c r="AD534" s="10"/>
      <c r="AE534" s="10"/>
      <c r="AF534" s="10"/>
      <c r="AG534" s="10"/>
      <c r="AH534" s="10"/>
    </row>
    <row r="535" spans="1:34" ht="15.75" customHeight="1">
      <c r="A535" s="13"/>
      <c r="B535" s="14"/>
      <c r="C535" s="14"/>
      <c r="D535" s="14"/>
      <c r="E535" s="15"/>
      <c r="F535" s="14"/>
      <c r="G535" s="14"/>
      <c r="H535" s="17"/>
      <c r="I535" s="17"/>
      <c r="J535" s="17"/>
      <c r="K535" s="21"/>
      <c r="L535" s="17"/>
      <c r="M535" s="17"/>
      <c r="N535" s="14"/>
      <c r="O535" s="14"/>
      <c r="P535" s="14"/>
      <c r="Q535" s="14"/>
      <c r="R535" s="14"/>
      <c r="S535" s="10"/>
      <c r="T535" s="10"/>
      <c r="U535" s="10"/>
      <c r="V535" s="10"/>
      <c r="W535" s="10"/>
      <c r="X535" s="10"/>
      <c r="Y535" s="10"/>
      <c r="Z535" s="10"/>
      <c r="AA535" s="10"/>
      <c r="AB535" s="10"/>
      <c r="AC535" s="10"/>
      <c r="AD535" s="10"/>
      <c r="AE535" s="10"/>
      <c r="AF535" s="10"/>
      <c r="AG535" s="10"/>
      <c r="AH535" s="10"/>
    </row>
    <row r="536" spans="1:34" ht="15.75" customHeight="1">
      <c r="A536" s="13"/>
      <c r="B536" s="14"/>
      <c r="C536" s="14"/>
      <c r="D536" s="14"/>
      <c r="E536" s="15"/>
      <c r="F536" s="14"/>
      <c r="G536" s="14"/>
      <c r="H536" s="17"/>
      <c r="I536" s="17"/>
      <c r="J536" s="17"/>
      <c r="K536" s="21"/>
      <c r="L536" s="17"/>
      <c r="M536" s="17"/>
      <c r="N536" s="14"/>
      <c r="O536" s="14"/>
      <c r="P536" s="14"/>
      <c r="Q536" s="14"/>
      <c r="R536" s="14"/>
      <c r="S536" s="10"/>
      <c r="T536" s="10"/>
      <c r="U536" s="10"/>
      <c r="V536" s="10"/>
      <c r="W536" s="10"/>
      <c r="X536" s="10"/>
      <c r="Y536" s="10"/>
      <c r="Z536" s="10"/>
      <c r="AA536" s="10"/>
      <c r="AB536" s="10"/>
      <c r="AC536" s="10"/>
      <c r="AD536" s="10"/>
      <c r="AE536" s="10"/>
      <c r="AF536" s="10"/>
      <c r="AG536" s="10"/>
      <c r="AH536" s="10"/>
    </row>
    <row r="537" spans="1:34" ht="15.75" customHeight="1">
      <c r="A537" s="13"/>
      <c r="B537" s="14"/>
      <c r="C537" s="14"/>
      <c r="D537" s="14"/>
      <c r="E537" s="15"/>
      <c r="F537" s="14"/>
      <c r="G537" s="14"/>
      <c r="H537" s="17"/>
      <c r="I537" s="17"/>
      <c r="J537" s="17"/>
      <c r="K537" s="21"/>
      <c r="L537" s="17"/>
      <c r="M537" s="17"/>
      <c r="N537" s="14"/>
      <c r="O537" s="14"/>
      <c r="P537" s="14"/>
      <c r="Q537" s="14"/>
      <c r="R537" s="14"/>
      <c r="S537" s="10"/>
      <c r="T537" s="10"/>
      <c r="U537" s="10"/>
      <c r="V537" s="10"/>
      <c r="W537" s="10"/>
      <c r="X537" s="10"/>
      <c r="Y537" s="10"/>
      <c r="Z537" s="10"/>
      <c r="AA537" s="10"/>
      <c r="AB537" s="10"/>
      <c r="AC537" s="10"/>
      <c r="AD537" s="10"/>
      <c r="AE537" s="10"/>
      <c r="AF537" s="10"/>
      <c r="AG537" s="10"/>
      <c r="AH537" s="10"/>
    </row>
    <row r="538" spans="1:34" ht="15.75" customHeight="1">
      <c r="A538" s="13"/>
      <c r="B538" s="14"/>
      <c r="C538" s="14"/>
      <c r="D538" s="14"/>
      <c r="E538" s="15"/>
      <c r="F538" s="14"/>
      <c r="G538" s="14"/>
      <c r="H538" s="17"/>
      <c r="I538" s="17"/>
      <c r="J538" s="17"/>
      <c r="K538" s="21"/>
      <c r="L538" s="17"/>
      <c r="M538" s="17"/>
      <c r="N538" s="14"/>
      <c r="O538" s="14"/>
      <c r="P538" s="14"/>
      <c r="Q538" s="14"/>
      <c r="R538" s="14"/>
      <c r="S538" s="10"/>
      <c r="T538" s="10"/>
      <c r="U538" s="10"/>
      <c r="V538" s="10"/>
      <c r="W538" s="10"/>
      <c r="X538" s="10"/>
      <c r="Y538" s="10"/>
      <c r="Z538" s="10"/>
      <c r="AA538" s="10"/>
      <c r="AB538" s="10"/>
      <c r="AC538" s="10"/>
      <c r="AD538" s="10"/>
      <c r="AE538" s="10"/>
      <c r="AF538" s="10"/>
      <c r="AG538" s="10"/>
      <c r="AH538" s="10"/>
    </row>
    <row r="539" spans="1:34" ht="15.75" customHeight="1">
      <c r="A539" s="13"/>
      <c r="B539" s="14"/>
      <c r="C539" s="14"/>
      <c r="D539" s="14"/>
      <c r="E539" s="15"/>
      <c r="F539" s="14"/>
      <c r="G539" s="14"/>
      <c r="H539" s="17"/>
      <c r="I539" s="17"/>
      <c r="J539" s="17"/>
      <c r="K539" s="21"/>
      <c r="L539" s="17"/>
      <c r="M539" s="17"/>
      <c r="N539" s="14"/>
      <c r="O539" s="14"/>
      <c r="P539" s="14"/>
      <c r="Q539" s="14"/>
      <c r="R539" s="14"/>
      <c r="S539" s="10"/>
      <c r="T539" s="10"/>
      <c r="U539" s="10"/>
      <c r="V539" s="10"/>
      <c r="W539" s="10"/>
      <c r="X539" s="10"/>
      <c r="Y539" s="10"/>
      <c r="Z539" s="10"/>
      <c r="AA539" s="10"/>
      <c r="AB539" s="10"/>
      <c r="AC539" s="10"/>
      <c r="AD539" s="10"/>
      <c r="AE539" s="10"/>
      <c r="AF539" s="10"/>
      <c r="AG539" s="10"/>
      <c r="AH539" s="10"/>
    </row>
    <row r="540" spans="1:34" ht="15.75" customHeight="1">
      <c r="A540" s="13"/>
      <c r="B540" s="14"/>
      <c r="C540" s="14"/>
      <c r="D540" s="14"/>
      <c r="E540" s="15"/>
      <c r="F540" s="14"/>
      <c r="G540" s="14"/>
      <c r="H540" s="17"/>
      <c r="I540" s="17"/>
      <c r="J540" s="17"/>
      <c r="K540" s="21"/>
      <c r="L540" s="17"/>
      <c r="M540" s="17"/>
      <c r="N540" s="14"/>
      <c r="O540" s="14"/>
      <c r="P540" s="14"/>
      <c r="Q540" s="14"/>
      <c r="R540" s="14"/>
      <c r="S540" s="10"/>
      <c r="T540" s="10"/>
      <c r="U540" s="10"/>
      <c r="V540" s="10"/>
      <c r="W540" s="10"/>
      <c r="X540" s="10"/>
      <c r="Y540" s="10"/>
      <c r="Z540" s="10"/>
      <c r="AA540" s="10"/>
      <c r="AB540" s="10"/>
      <c r="AC540" s="10"/>
      <c r="AD540" s="10"/>
      <c r="AE540" s="10"/>
      <c r="AF540" s="10"/>
      <c r="AG540" s="10"/>
      <c r="AH540" s="10"/>
    </row>
    <row r="541" spans="1:34" ht="15.75" customHeight="1">
      <c r="A541" s="13"/>
      <c r="B541" s="14"/>
      <c r="C541" s="14"/>
      <c r="D541" s="14"/>
      <c r="E541" s="15"/>
      <c r="F541" s="14"/>
      <c r="G541" s="14"/>
      <c r="H541" s="17"/>
      <c r="I541" s="17"/>
      <c r="J541" s="17"/>
      <c r="K541" s="21"/>
      <c r="L541" s="17"/>
      <c r="M541" s="17"/>
      <c r="N541" s="14"/>
      <c r="O541" s="14"/>
      <c r="P541" s="14"/>
      <c r="Q541" s="14"/>
      <c r="R541" s="14"/>
      <c r="S541" s="10"/>
      <c r="T541" s="10"/>
      <c r="U541" s="10"/>
      <c r="V541" s="10"/>
      <c r="W541" s="10"/>
      <c r="X541" s="10"/>
      <c r="Y541" s="10"/>
      <c r="Z541" s="10"/>
      <c r="AA541" s="10"/>
      <c r="AB541" s="10"/>
      <c r="AC541" s="10"/>
      <c r="AD541" s="10"/>
      <c r="AE541" s="10"/>
      <c r="AF541" s="10"/>
      <c r="AG541" s="10"/>
      <c r="AH541" s="10"/>
    </row>
    <row r="542" spans="1:34" ht="15.75" customHeight="1">
      <c r="A542" s="13"/>
      <c r="B542" s="14"/>
      <c r="C542" s="14"/>
      <c r="D542" s="14"/>
      <c r="E542" s="15"/>
      <c r="F542" s="14"/>
      <c r="G542" s="14"/>
      <c r="H542" s="17"/>
      <c r="I542" s="17"/>
      <c r="J542" s="17"/>
      <c r="K542" s="21"/>
      <c r="L542" s="17"/>
      <c r="M542" s="17"/>
      <c r="N542" s="14"/>
      <c r="O542" s="14"/>
      <c r="P542" s="14"/>
      <c r="Q542" s="14"/>
      <c r="R542" s="14"/>
      <c r="S542" s="10"/>
      <c r="T542" s="10"/>
      <c r="U542" s="10"/>
      <c r="V542" s="10"/>
      <c r="W542" s="10"/>
      <c r="X542" s="10"/>
      <c r="Y542" s="10"/>
      <c r="Z542" s="10"/>
      <c r="AA542" s="10"/>
      <c r="AB542" s="10"/>
      <c r="AC542" s="10"/>
      <c r="AD542" s="10"/>
      <c r="AE542" s="10"/>
      <c r="AF542" s="10"/>
      <c r="AG542" s="10"/>
      <c r="AH542" s="10"/>
    </row>
    <row r="543" spans="1:34" ht="15.75" customHeight="1">
      <c r="A543" s="13"/>
      <c r="B543" s="14"/>
      <c r="C543" s="14"/>
      <c r="D543" s="14"/>
      <c r="E543" s="15"/>
      <c r="F543" s="14"/>
      <c r="G543" s="14"/>
      <c r="H543" s="17"/>
      <c r="I543" s="17"/>
      <c r="J543" s="17"/>
      <c r="K543" s="21"/>
      <c r="L543" s="17"/>
      <c r="M543" s="17"/>
      <c r="N543" s="14"/>
      <c r="O543" s="14"/>
      <c r="P543" s="14"/>
      <c r="Q543" s="14"/>
      <c r="R543" s="14"/>
      <c r="S543" s="10"/>
      <c r="T543" s="10"/>
      <c r="U543" s="10"/>
      <c r="V543" s="10"/>
      <c r="W543" s="10"/>
      <c r="X543" s="10"/>
      <c r="Y543" s="10"/>
      <c r="Z543" s="10"/>
      <c r="AA543" s="10"/>
      <c r="AB543" s="10"/>
      <c r="AC543" s="10"/>
      <c r="AD543" s="10"/>
      <c r="AE543" s="10"/>
      <c r="AF543" s="10"/>
      <c r="AG543" s="10"/>
      <c r="AH543" s="10"/>
    </row>
    <row r="544" spans="1:34" ht="15.75" customHeight="1">
      <c r="A544" s="13"/>
      <c r="B544" s="14"/>
      <c r="C544" s="14"/>
      <c r="D544" s="14"/>
      <c r="E544" s="15"/>
      <c r="F544" s="14"/>
      <c r="G544" s="14"/>
      <c r="H544" s="17"/>
      <c r="I544" s="17"/>
      <c r="J544" s="17"/>
      <c r="K544" s="21"/>
      <c r="L544" s="17"/>
      <c r="M544" s="17"/>
      <c r="N544" s="14"/>
      <c r="O544" s="14"/>
      <c r="P544" s="14"/>
      <c r="Q544" s="14"/>
      <c r="R544" s="14"/>
      <c r="S544" s="10"/>
      <c r="T544" s="10"/>
      <c r="U544" s="10"/>
      <c r="V544" s="10"/>
      <c r="W544" s="10"/>
      <c r="X544" s="10"/>
      <c r="Y544" s="10"/>
      <c r="Z544" s="10"/>
      <c r="AA544" s="10"/>
      <c r="AB544" s="10"/>
      <c r="AC544" s="10"/>
      <c r="AD544" s="10"/>
      <c r="AE544" s="10"/>
      <c r="AF544" s="10"/>
      <c r="AG544" s="10"/>
      <c r="AH544" s="10"/>
    </row>
    <row r="545" spans="1:34" ht="15.75" customHeight="1">
      <c r="A545" s="13"/>
      <c r="B545" s="14"/>
      <c r="C545" s="14"/>
      <c r="D545" s="14"/>
      <c r="E545" s="15"/>
      <c r="F545" s="14"/>
      <c r="G545" s="14"/>
      <c r="H545" s="17"/>
      <c r="I545" s="17"/>
      <c r="J545" s="17"/>
      <c r="K545" s="21"/>
      <c r="L545" s="17"/>
      <c r="M545" s="17"/>
      <c r="N545" s="14"/>
      <c r="O545" s="14"/>
      <c r="P545" s="14"/>
      <c r="Q545" s="14"/>
      <c r="R545" s="14"/>
      <c r="S545" s="10"/>
      <c r="T545" s="10"/>
      <c r="U545" s="10"/>
      <c r="V545" s="10"/>
      <c r="W545" s="10"/>
      <c r="X545" s="10"/>
      <c r="Y545" s="10"/>
      <c r="Z545" s="10"/>
      <c r="AA545" s="10"/>
      <c r="AB545" s="10"/>
      <c r="AC545" s="10"/>
      <c r="AD545" s="10"/>
      <c r="AE545" s="10"/>
      <c r="AF545" s="10"/>
      <c r="AG545" s="10"/>
      <c r="AH545" s="10"/>
    </row>
    <row r="546" spans="1:34" ht="15.75" customHeight="1">
      <c r="A546" s="13"/>
      <c r="B546" s="14"/>
      <c r="C546" s="14"/>
      <c r="D546" s="14"/>
      <c r="E546" s="15"/>
      <c r="F546" s="14"/>
      <c r="G546" s="14"/>
      <c r="H546" s="17"/>
      <c r="I546" s="17"/>
      <c r="J546" s="17"/>
      <c r="K546" s="21"/>
      <c r="L546" s="17"/>
      <c r="M546" s="17"/>
      <c r="N546" s="14"/>
      <c r="O546" s="14"/>
      <c r="P546" s="14"/>
      <c r="Q546" s="14"/>
      <c r="R546" s="14"/>
      <c r="S546" s="10"/>
      <c r="T546" s="10"/>
      <c r="U546" s="10"/>
      <c r="V546" s="10"/>
      <c r="W546" s="10"/>
      <c r="X546" s="10"/>
      <c r="Y546" s="10"/>
      <c r="Z546" s="10"/>
      <c r="AA546" s="10"/>
      <c r="AB546" s="10"/>
      <c r="AC546" s="10"/>
      <c r="AD546" s="10"/>
      <c r="AE546" s="10"/>
      <c r="AF546" s="10"/>
      <c r="AG546" s="10"/>
      <c r="AH546" s="10"/>
    </row>
    <row r="547" spans="1:34" ht="15.75" customHeight="1">
      <c r="A547" s="13"/>
      <c r="B547" s="14"/>
      <c r="C547" s="14"/>
      <c r="D547" s="14"/>
      <c r="E547" s="15"/>
      <c r="F547" s="14"/>
      <c r="G547" s="14"/>
      <c r="H547" s="17"/>
      <c r="I547" s="17"/>
      <c r="J547" s="17"/>
      <c r="K547" s="21"/>
      <c r="L547" s="17"/>
      <c r="M547" s="17"/>
      <c r="N547" s="14"/>
      <c r="O547" s="14"/>
      <c r="P547" s="14"/>
      <c r="Q547" s="14"/>
      <c r="R547" s="14"/>
      <c r="S547" s="10"/>
      <c r="T547" s="10"/>
      <c r="U547" s="10"/>
      <c r="V547" s="10"/>
      <c r="W547" s="10"/>
      <c r="X547" s="10"/>
      <c r="Y547" s="10"/>
      <c r="Z547" s="10"/>
      <c r="AA547" s="10"/>
      <c r="AB547" s="10"/>
      <c r="AC547" s="10"/>
      <c r="AD547" s="10"/>
      <c r="AE547" s="10"/>
      <c r="AF547" s="10"/>
      <c r="AG547" s="10"/>
      <c r="AH547" s="10"/>
    </row>
    <row r="548" spans="1:34" ht="15.75" customHeight="1">
      <c r="A548" s="13"/>
      <c r="B548" s="14"/>
      <c r="C548" s="14"/>
      <c r="D548" s="14"/>
      <c r="E548" s="15"/>
      <c r="F548" s="14"/>
      <c r="G548" s="14"/>
      <c r="H548" s="17"/>
      <c r="I548" s="17"/>
      <c r="J548" s="17"/>
      <c r="K548" s="21"/>
      <c r="L548" s="17"/>
      <c r="M548" s="17"/>
      <c r="N548" s="14"/>
      <c r="O548" s="14"/>
      <c r="P548" s="14"/>
      <c r="Q548" s="14"/>
      <c r="R548" s="14"/>
      <c r="S548" s="10"/>
      <c r="T548" s="10"/>
      <c r="U548" s="10"/>
      <c r="V548" s="10"/>
      <c r="W548" s="10"/>
      <c r="X548" s="10"/>
      <c r="Y548" s="10"/>
      <c r="Z548" s="10"/>
      <c r="AA548" s="10"/>
      <c r="AB548" s="10"/>
      <c r="AC548" s="10"/>
      <c r="AD548" s="10"/>
      <c r="AE548" s="10"/>
      <c r="AF548" s="10"/>
      <c r="AG548" s="10"/>
      <c r="AH548" s="10"/>
    </row>
    <row r="549" spans="1:34" ht="15.75" customHeight="1">
      <c r="A549" s="13"/>
      <c r="B549" s="14"/>
      <c r="C549" s="14"/>
      <c r="D549" s="14"/>
      <c r="E549" s="15"/>
      <c r="F549" s="14"/>
      <c r="G549" s="14"/>
      <c r="H549" s="17"/>
      <c r="I549" s="17"/>
      <c r="J549" s="17"/>
      <c r="K549" s="21"/>
      <c r="L549" s="17"/>
      <c r="M549" s="17"/>
      <c r="N549" s="14"/>
      <c r="O549" s="14"/>
      <c r="P549" s="14"/>
      <c r="Q549" s="14"/>
      <c r="R549" s="14"/>
      <c r="S549" s="10"/>
      <c r="T549" s="10"/>
      <c r="U549" s="10"/>
      <c r="V549" s="10"/>
      <c r="W549" s="10"/>
      <c r="X549" s="10"/>
      <c r="Y549" s="10"/>
      <c r="Z549" s="10"/>
      <c r="AA549" s="10"/>
      <c r="AB549" s="10"/>
      <c r="AC549" s="10"/>
      <c r="AD549" s="10"/>
      <c r="AE549" s="10"/>
      <c r="AF549" s="10"/>
      <c r="AG549" s="10"/>
      <c r="AH549" s="10"/>
    </row>
    <row r="550" spans="1:34" ht="15.75" customHeight="1">
      <c r="A550" s="13"/>
      <c r="B550" s="14"/>
      <c r="C550" s="14"/>
      <c r="D550" s="14"/>
      <c r="E550" s="15"/>
      <c r="F550" s="14"/>
      <c r="G550" s="14"/>
      <c r="H550" s="17"/>
      <c r="I550" s="17"/>
      <c r="J550" s="17"/>
      <c r="K550" s="21"/>
      <c r="L550" s="17"/>
      <c r="M550" s="17"/>
      <c r="N550" s="14"/>
      <c r="O550" s="14"/>
      <c r="P550" s="14"/>
      <c r="Q550" s="14"/>
      <c r="R550" s="14"/>
      <c r="S550" s="10"/>
      <c r="T550" s="10"/>
      <c r="U550" s="10"/>
      <c r="V550" s="10"/>
      <c r="W550" s="10"/>
      <c r="X550" s="10"/>
      <c r="Y550" s="10"/>
      <c r="Z550" s="10"/>
      <c r="AA550" s="10"/>
      <c r="AB550" s="10"/>
      <c r="AC550" s="10"/>
      <c r="AD550" s="10"/>
      <c r="AE550" s="10"/>
      <c r="AF550" s="10"/>
      <c r="AG550" s="10"/>
      <c r="AH550" s="10"/>
    </row>
    <row r="551" spans="1:34" ht="15.75" customHeight="1">
      <c r="A551" s="13"/>
      <c r="B551" s="14"/>
      <c r="C551" s="14"/>
      <c r="D551" s="14"/>
      <c r="E551" s="15"/>
      <c r="F551" s="14"/>
      <c r="G551" s="14"/>
      <c r="H551" s="17"/>
      <c r="I551" s="17"/>
      <c r="J551" s="17"/>
      <c r="K551" s="21"/>
      <c r="L551" s="17"/>
      <c r="M551" s="17"/>
      <c r="N551" s="14"/>
      <c r="O551" s="14"/>
      <c r="P551" s="14"/>
      <c r="Q551" s="14"/>
      <c r="R551" s="14"/>
      <c r="S551" s="10"/>
      <c r="T551" s="10"/>
      <c r="U551" s="10"/>
      <c r="V551" s="10"/>
      <c r="W551" s="10"/>
      <c r="X551" s="10"/>
      <c r="Y551" s="10"/>
      <c r="Z551" s="10"/>
      <c r="AA551" s="10"/>
      <c r="AB551" s="10"/>
      <c r="AC551" s="10"/>
      <c r="AD551" s="10"/>
      <c r="AE551" s="10"/>
      <c r="AF551" s="10"/>
      <c r="AG551" s="10"/>
      <c r="AH551" s="10"/>
    </row>
    <row r="552" spans="1:34" ht="15.75" customHeight="1">
      <c r="A552" s="13"/>
      <c r="B552" s="14"/>
      <c r="C552" s="14"/>
      <c r="D552" s="14"/>
      <c r="E552" s="15"/>
      <c r="F552" s="14"/>
      <c r="G552" s="14"/>
      <c r="H552" s="17"/>
      <c r="I552" s="17"/>
      <c r="J552" s="17"/>
      <c r="K552" s="21"/>
      <c r="L552" s="17"/>
      <c r="M552" s="17"/>
      <c r="N552" s="14"/>
      <c r="O552" s="14"/>
      <c r="P552" s="14"/>
      <c r="Q552" s="14"/>
      <c r="R552" s="14"/>
      <c r="S552" s="10"/>
      <c r="T552" s="10"/>
      <c r="U552" s="10"/>
      <c r="V552" s="10"/>
      <c r="W552" s="10"/>
      <c r="X552" s="10"/>
      <c r="Y552" s="10"/>
      <c r="Z552" s="10"/>
      <c r="AA552" s="10"/>
      <c r="AB552" s="10"/>
      <c r="AC552" s="10"/>
      <c r="AD552" s="10"/>
      <c r="AE552" s="10"/>
      <c r="AF552" s="10"/>
      <c r="AG552" s="10"/>
      <c r="AH552" s="10"/>
    </row>
    <row r="553" spans="1:34" ht="15.75" customHeight="1">
      <c r="A553" s="13"/>
      <c r="B553" s="14"/>
      <c r="C553" s="14"/>
      <c r="D553" s="14"/>
      <c r="E553" s="15"/>
      <c r="F553" s="14"/>
      <c r="G553" s="14"/>
      <c r="H553" s="17"/>
      <c r="I553" s="17"/>
      <c r="J553" s="17"/>
      <c r="K553" s="21"/>
      <c r="L553" s="17"/>
      <c r="M553" s="17"/>
      <c r="N553" s="14"/>
      <c r="O553" s="14"/>
      <c r="P553" s="14"/>
      <c r="Q553" s="14"/>
      <c r="R553" s="14"/>
      <c r="S553" s="10"/>
      <c r="T553" s="10"/>
      <c r="U553" s="10"/>
      <c r="V553" s="10"/>
      <c r="W553" s="10"/>
      <c r="X553" s="10"/>
      <c r="Y553" s="10"/>
      <c r="Z553" s="10"/>
      <c r="AA553" s="10"/>
      <c r="AB553" s="10"/>
      <c r="AC553" s="10"/>
      <c r="AD553" s="10"/>
      <c r="AE553" s="10"/>
      <c r="AF553" s="10"/>
      <c r="AG553" s="10"/>
      <c r="AH553" s="10"/>
    </row>
    <row r="554" spans="1:34" ht="15.75" customHeight="1">
      <c r="A554" s="13"/>
      <c r="B554" s="14"/>
      <c r="C554" s="14"/>
      <c r="D554" s="14"/>
      <c r="E554" s="15"/>
      <c r="F554" s="14"/>
      <c r="G554" s="14"/>
      <c r="H554" s="17"/>
      <c r="I554" s="17"/>
      <c r="J554" s="17"/>
      <c r="K554" s="21"/>
      <c r="L554" s="17"/>
      <c r="M554" s="17"/>
      <c r="N554" s="14"/>
      <c r="O554" s="14"/>
      <c r="P554" s="14"/>
      <c r="Q554" s="14"/>
      <c r="R554" s="14"/>
      <c r="S554" s="10"/>
      <c r="T554" s="10"/>
      <c r="U554" s="10"/>
      <c r="V554" s="10"/>
      <c r="W554" s="10"/>
      <c r="X554" s="10"/>
      <c r="Y554" s="10"/>
      <c r="Z554" s="10"/>
      <c r="AA554" s="10"/>
      <c r="AB554" s="10"/>
      <c r="AC554" s="10"/>
      <c r="AD554" s="10"/>
      <c r="AE554" s="10"/>
      <c r="AF554" s="10"/>
      <c r="AG554" s="10"/>
      <c r="AH554" s="10"/>
    </row>
    <row r="555" spans="1:34" ht="15.75" customHeight="1">
      <c r="A555" s="13"/>
      <c r="B555" s="14"/>
      <c r="C555" s="14"/>
      <c r="D555" s="14"/>
      <c r="E555" s="15"/>
      <c r="F555" s="14"/>
      <c r="G555" s="14"/>
      <c r="H555" s="17"/>
      <c r="I555" s="17"/>
      <c r="J555" s="17"/>
      <c r="K555" s="21"/>
      <c r="L555" s="17"/>
      <c r="M555" s="17"/>
      <c r="N555" s="14"/>
      <c r="O555" s="14"/>
      <c r="P555" s="14"/>
      <c r="Q555" s="14"/>
      <c r="R555" s="14"/>
      <c r="S555" s="10"/>
      <c r="T555" s="10"/>
      <c r="U555" s="10"/>
      <c r="V555" s="10"/>
      <c r="W555" s="10"/>
      <c r="X555" s="10"/>
      <c r="Y555" s="10"/>
      <c r="Z555" s="10"/>
      <c r="AA555" s="10"/>
      <c r="AB555" s="10"/>
      <c r="AC555" s="10"/>
      <c r="AD555" s="10"/>
      <c r="AE555" s="10"/>
      <c r="AF555" s="10"/>
      <c r="AG555" s="10"/>
      <c r="AH555" s="10"/>
    </row>
    <row r="556" spans="1:34" ht="15.75" customHeight="1">
      <c r="A556" s="13"/>
      <c r="B556" s="14"/>
      <c r="C556" s="14"/>
      <c r="D556" s="14"/>
      <c r="E556" s="15"/>
      <c r="F556" s="14"/>
      <c r="G556" s="14"/>
      <c r="H556" s="17"/>
      <c r="I556" s="17"/>
      <c r="J556" s="17"/>
      <c r="K556" s="21"/>
      <c r="L556" s="17"/>
      <c r="M556" s="17"/>
      <c r="N556" s="14"/>
      <c r="O556" s="14"/>
      <c r="P556" s="14"/>
      <c r="Q556" s="14"/>
      <c r="R556" s="14"/>
      <c r="S556" s="10"/>
      <c r="T556" s="10"/>
      <c r="U556" s="10"/>
      <c r="V556" s="10"/>
      <c r="W556" s="10"/>
      <c r="X556" s="10"/>
      <c r="Y556" s="10"/>
      <c r="Z556" s="10"/>
      <c r="AA556" s="10"/>
      <c r="AB556" s="10"/>
      <c r="AC556" s="10"/>
      <c r="AD556" s="10"/>
      <c r="AE556" s="10"/>
      <c r="AF556" s="10"/>
      <c r="AG556" s="10"/>
      <c r="AH556" s="10"/>
    </row>
    <row r="557" spans="1:34" ht="15.75" customHeight="1">
      <c r="A557" s="13"/>
      <c r="B557" s="14"/>
      <c r="C557" s="14"/>
      <c r="D557" s="14"/>
      <c r="E557" s="15"/>
      <c r="F557" s="14"/>
      <c r="G557" s="14"/>
      <c r="H557" s="17"/>
      <c r="I557" s="17"/>
      <c r="J557" s="17"/>
      <c r="K557" s="21"/>
      <c r="L557" s="17"/>
      <c r="M557" s="17"/>
      <c r="N557" s="14"/>
      <c r="O557" s="14"/>
      <c r="P557" s="14"/>
      <c r="Q557" s="14"/>
      <c r="R557" s="14"/>
      <c r="S557" s="10"/>
      <c r="T557" s="10"/>
      <c r="U557" s="10"/>
      <c r="V557" s="10"/>
      <c r="W557" s="10"/>
      <c r="X557" s="10"/>
      <c r="Y557" s="10"/>
      <c r="Z557" s="10"/>
      <c r="AA557" s="10"/>
      <c r="AB557" s="10"/>
      <c r="AC557" s="10"/>
      <c r="AD557" s="10"/>
      <c r="AE557" s="10"/>
      <c r="AF557" s="10"/>
      <c r="AG557" s="10"/>
      <c r="AH557" s="10"/>
    </row>
    <row r="558" spans="1:34" ht="15.75" customHeight="1">
      <c r="A558" s="13"/>
      <c r="B558" s="14"/>
      <c r="C558" s="14"/>
      <c r="D558" s="14"/>
      <c r="E558" s="15"/>
      <c r="F558" s="14"/>
      <c r="G558" s="14"/>
      <c r="H558" s="17"/>
      <c r="I558" s="17"/>
      <c r="J558" s="17"/>
      <c r="K558" s="21"/>
      <c r="L558" s="17"/>
      <c r="M558" s="17"/>
      <c r="N558" s="14"/>
      <c r="O558" s="14"/>
      <c r="P558" s="14"/>
      <c r="Q558" s="14"/>
      <c r="R558" s="14"/>
      <c r="S558" s="10"/>
      <c r="T558" s="10"/>
      <c r="U558" s="10"/>
      <c r="V558" s="10"/>
      <c r="W558" s="10"/>
      <c r="X558" s="10"/>
      <c r="Y558" s="10"/>
      <c r="Z558" s="10"/>
      <c r="AA558" s="10"/>
      <c r="AB558" s="10"/>
      <c r="AC558" s="10"/>
      <c r="AD558" s="10"/>
      <c r="AE558" s="10"/>
      <c r="AF558" s="10"/>
      <c r="AG558" s="10"/>
      <c r="AH558" s="10"/>
    </row>
    <row r="559" spans="1:34" ht="15.75" customHeight="1">
      <c r="A559" s="13"/>
      <c r="B559" s="14"/>
      <c r="C559" s="14"/>
      <c r="D559" s="14"/>
      <c r="E559" s="15"/>
      <c r="F559" s="14"/>
      <c r="G559" s="14"/>
      <c r="H559" s="17"/>
      <c r="I559" s="17"/>
      <c r="J559" s="17"/>
      <c r="K559" s="21"/>
      <c r="L559" s="17"/>
      <c r="M559" s="17"/>
      <c r="N559" s="14"/>
      <c r="O559" s="14"/>
      <c r="P559" s="14"/>
      <c r="Q559" s="14"/>
      <c r="R559" s="14"/>
      <c r="S559" s="10"/>
      <c r="T559" s="10"/>
      <c r="U559" s="10"/>
      <c r="V559" s="10"/>
      <c r="W559" s="10"/>
      <c r="X559" s="10"/>
      <c r="Y559" s="10"/>
      <c r="Z559" s="10"/>
      <c r="AA559" s="10"/>
      <c r="AB559" s="10"/>
      <c r="AC559" s="10"/>
      <c r="AD559" s="10"/>
      <c r="AE559" s="10"/>
      <c r="AF559" s="10"/>
      <c r="AG559" s="10"/>
      <c r="AH559" s="10"/>
    </row>
    <row r="560" spans="1:34" ht="15.75" customHeight="1">
      <c r="A560" s="13"/>
      <c r="B560" s="14"/>
      <c r="C560" s="14"/>
      <c r="D560" s="14"/>
      <c r="E560" s="15"/>
      <c r="F560" s="14"/>
      <c r="G560" s="14"/>
      <c r="H560" s="17"/>
      <c r="I560" s="17"/>
      <c r="J560" s="17"/>
      <c r="K560" s="21"/>
      <c r="L560" s="17"/>
      <c r="M560" s="17"/>
      <c r="N560" s="14"/>
      <c r="O560" s="14"/>
      <c r="P560" s="14"/>
      <c r="Q560" s="14"/>
      <c r="R560" s="14"/>
      <c r="S560" s="10"/>
      <c r="T560" s="10"/>
      <c r="U560" s="10"/>
      <c r="V560" s="10"/>
      <c r="W560" s="10"/>
      <c r="X560" s="10"/>
      <c r="Y560" s="10"/>
      <c r="Z560" s="10"/>
      <c r="AA560" s="10"/>
      <c r="AB560" s="10"/>
      <c r="AC560" s="10"/>
      <c r="AD560" s="10"/>
      <c r="AE560" s="10"/>
      <c r="AF560" s="10"/>
      <c r="AG560" s="10"/>
      <c r="AH560" s="10"/>
    </row>
    <row r="561" spans="1:34" ht="15.75" customHeight="1">
      <c r="A561" s="13"/>
      <c r="B561" s="14"/>
      <c r="C561" s="14"/>
      <c r="D561" s="14"/>
      <c r="E561" s="15"/>
      <c r="F561" s="14"/>
      <c r="G561" s="14"/>
      <c r="H561" s="17"/>
      <c r="I561" s="17"/>
      <c r="J561" s="17"/>
      <c r="K561" s="21"/>
      <c r="L561" s="17"/>
      <c r="M561" s="17"/>
      <c r="N561" s="14"/>
      <c r="O561" s="14"/>
      <c r="P561" s="14"/>
      <c r="Q561" s="14"/>
      <c r="R561" s="14"/>
      <c r="S561" s="10"/>
      <c r="T561" s="10"/>
      <c r="U561" s="10"/>
      <c r="V561" s="10"/>
      <c r="W561" s="10"/>
      <c r="X561" s="10"/>
      <c r="Y561" s="10"/>
      <c r="Z561" s="10"/>
      <c r="AA561" s="10"/>
      <c r="AB561" s="10"/>
      <c r="AC561" s="10"/>
      <c r="AD561" s="10"/>
      <c r="AE561" s="10"/>
      <c r="AF561" s="10"/>
      <c r="AG561" s="10"/>
      <c r="AH561" s="10"/>
    </row>
    <row r="562" spans="1:34" ht="15.75" customHeight="1">
      <c r="A562" s="13"/>
      <c r="B562" s="14"/>
      <c r="C562" s="14"/>
      <c r="D562" s="14"/>
      <c r="E562" s="15"/>
      <c r="F562" s="14"/>
      <c r="G562" s="14"/>
      <c r="H562" s="17"/>
      <c r="I562" s="17"/>
      <c r="J562" s="17"/>
      <c r="K562" s="21"/>
      <c r="L562" s="17"/>
      <c r="M562" s="17"/>
      <c r="N562" s="14"/>
      <c r="O562" s="14"/>
      <c r="P562" s="14"/>
      <c r="Q562" s="14"/>
      <c r="R562" s="14"/>
      <c r="S562" s="10"/>
      <c r="T562" s="10"/>
      <c r="U562" s="10"/>
      <c r="V562" s="10"/>
      <c r="W562" s="10"/>
      <c r="X562" s="10"/>
      <c r="Y562" s="10"/>
      <c r="Z562" s="10"/>
      <c r="AA562" s="10"/>
      <c r="AB562" s="10"/>
      <c r="AC562" s="10"/>
      <c r="AD562" s="10"/>
      <c r="AE562" s="10"/>
      <c r="AF562" s="10"/>
      <c r="AG562" s="10"/>
      <c r="AH562" s="10"/>
    </row>
    <row r="563" spans="1:34" ht="15.75" customHeight="1">
      <c r="A563" s="13"/>
      <c r="B563" s="14"/>
      <c r="C563" s="14"/>
      <c r="D563" s="14"/>
      <c r="E563" s="15"/>
      <c r="F563" s="14"/>
      <c r="G563" s="14"/>
      <c r="H563" s="17"/>
      <c r="I563" s="17"/>
      <c r="J563" s="17"/>
      <c r="K563" s="21"/>
      <c r="L563" s="17"/>
      <c r="M563" s="17"/>
      <c r="N563" s="14"/>
      <c r="O563" s="14"/>
      <c r="P563" s="14"/>
      <c r="Q563" s="14"/>
      <c r="R563" s="14"/>
      <c r="S563" s="10"/>
      <c r="T563" s="10"/>
      <c r="U563" s="10"/>
      <c r="V563" s="10"/>
      <c r="W563" s="10"/>
      <c r="X563" s="10"/>
      <c r="Y563" s="10"/>
      <c r="Z563" s="10"/>
      <c r="AA563" s="10"/>
      <c r="AB563" s="10"/>
      <c r="AC563" s="10"/>
      <c r="AD563" s="10"/>
      <c r="AE563" s="10"/>
      <c r="AF563" s="10"/>
      <c r="AG563" s="10"/>
      <c r="AH563" s="10"/>
    </row>
    <row r="564" spans="1:34" ht="15.75" customHeight="1">
      <c r="A564" s="13"/>
      <c r="B564" s="14"/>
      <c r="C564" s="14"/>
      <c r="D564" s="14"/>
      <c r="E564" s="15"/>
      <c r="F564" s="14"/>
      <c r="G564" s="14"/>
      <c r="H564" s="17"/>
      <c r="I564" s="17"/>
      <c r="J564" s="17"/>
      <c r="K564" s="21"/>
      <c r="L564" s="17"/>
      <c r="M564" s="17"/>
      <c r="N564" s="14"/>
      <c r="O564" s="14"/>
      <c r="P564" s="14"/>
      <c r="Q564" s="14"/>
      <c r="R564" s="14"/>
      <c r="S564" s="10"/>
      <c r="T564" s="10"/>
      <c r="U564" s="10"/>
      <c r="V564" s="10"/>
      <c r="W564" s="10"/>
      <c r="X564" s="10"/>
      <c r="Y564" s="10"/>
      <c r="Z564" s="10"/>
      <c r="AA564" s="10"/>
      <c r="AB564" s="10"/>
      <c r="AC564" s="10"/>
      <c r="AD564" s="10"/>
      <c r="AE564" s="10"/>
      <c r="AF564" s="10"/>
      <c r="AG564" s="10"/>
      <c r="AH564" s="10"/>
    </row>
    <row r="565" spans="1:34" ht="15.75" customHeight="1">
      <c r="A565" s="13"/>
      <c r="B565" s="14"/>
      <c r="C565" s="14"/>
      <c r="D565" s="14"/>
      <c r="E565" s="15"/>
      <c r="F565" s="14"/>
      <c r="G565" s="14"/>
      <c r="H565" s="17"/>
      <c r="I565" s="17"/>
      <c r="J565" s="17"/>
      <c r="K565" s="21"/>
      <c r="L565" s="17"/>
      <c r="M565" s="17"/>
      <c r="N565" s="14"/>
      <c r="O565" s="14"/>
      <c r="P565" s="14"/>
      <c r="Q565" s="14"/>
      <c r="R565" s="14"/>
      <c r="S565" s="10"/>
      <c r="T565" s="10"/>
      <c r="U565" s="10"/>
      <c r="V565" s="10"/>
      <c r="W565" s="10"/>
      <c r="X565" s="10"/>
      <c r="Y565" s="10"/>
      <c r="Z565" s="10"/>
      <c r="AA565" s="10"/>
      <c r="AB565" s="10"/>
      <c r="AC565" s="10"/>
      <c r="AD565" s="10"/>
      <c r="AE565" s="10"/>
      <c r="AF565" s="10"/>
      <c r="AG565" s="10"/>
      <c r="AH565" s="10"/>
    </row>
    <row r="566" spans="1:34" ht="15.75" customHeight="1">
      <c r="A566" s="13"/>
      <c r="B566" s="14"/>
      <c r="C566" s="14"/>
      <c r="D566" s="14"/>
      <c r="E566" s="15"/>
      <c r="F566" s="14"/>
      <c r="G566" s="14"/>
      <c r="H566" s="17"/>
      <c r="I566" s="17"/>
      <c r="J566" s="17"/>
      <c r="K566" s="21"/>
      <c r="L566" s="17"/>
      <c r="M566" s="17"/>
      <c r="N566" s="14"/>
      <c r="O566" s="14"/>
      <c r="P566" s="14"/>
      <c r="Q566" s="14"/>
      <c r="R566" s="14"/>
      <c r="S566" s="10"/>
      <c r="T566" s="10"/>
      <c r="U566" s="10"/>
      <c r="V566" s="10"/>
      <c r="W566" s="10"/>
      <c r="X566" s="10"/>
      <c r="Y566" s="10"/>
      <c r="Z566" s="10"/>
      <c r="AA566" s="10"/>
      <c r="AB566" s="10"/>
      <c r="AC566" s="10"/>
      <c r="AD566" s="10"/>
      <c r="AE566" s="10"/>
      <c r="AF566" s="10"/>
      <c r="AG566" s="10"/>
      <c r="AH566" s="10"/>
    </row>
    <row r="567" spans="1:34" ht="15.75" customHeight="1">
      <c r="A567" s="13"/>
      <c r="B567" s="14"/>
      <c r="C567" s="14"/>
      <c r="D567" s="14"/>
      <c r="E567" s="15"/>
      <c r="F567" s="14"/>
      <c r="G567" s="14"/>
      <c r="H567" s="17"/>
      <c r="I567" s="17"/>
      <c r="J567" s="17"/>
      <c r="K567" s="21"/>
      <c r="L567" s="17"/>
      <c r="M567" s="17"/>
      <c r="N567" s="14"/>
      <c r="O567" s="14"/>
      <c r="P567" s="14"/>
      <c r="Q567" s="14"/>
      <c r="R567" s="14"/>
      <c r="S567" s="10"/>
      <c r="T567" s="10"/>
      <c r="U567" s="10"/>
      <c r="V567" s="10"/>
      <c r="W567" s="10"/>
      <c r="X567" s="10"/>
      <c r="Y567" s="10"/>
      <c r="Z567" s="10"/>
      <c r="AA567" s="10"/>
      <c r="AB567" s="10"/>
      <c r="AC567" s="10"/>
      <c r="AD567" s="10"/>
      <c r="AE567" s="10"/>
      <c r="AF567" s="10"/>
      <c r="AG567" s="10"/>
      <c r="AH567" s="10"/>
    </row>
    <row r="568" spans="1:34" ht="15.75" customHeight="1">
      <c r="A568" s="13"/>
      <c r="B568" s="14"/>
      <c r="C568" s="14"/>
      <c r="D568" s="14"/>
      <c r="E568" s="15"/>
      <c r="F568" s="14"/>
      <c r="G568" s="14"/>
      <c r="H568" s="17"/>
      <c r="I568" s="17"/>
      <c r="J568" s="17"/>
      <c r="K568" s="21"/>
      <c r="L568" s="17"/>
      <c r="M568" s="17"/>
      <c r="N568" s="14"/>
      <c r="O568" s="14"/>
      <c r="P568" s="14"/>
      <c r="Q568" s="14"/>
      <c r="R568" s="14"/>
      <c r="S568" s="10"/>
      <c r="T568" s="10"/>
      <c r="U568" s="10"/>
      <c r="V568" s="10"/>
      <c r="W568" s="10"/>
      <c r="X568" s="10"/>
      <c r="Y568" s="10"/>
      <c r="Z568" s="10"/>
      <c r="AA568" s="10"/>
      <c r="AB568" s="10"/>
      <c r="AC568" s="10"/>
      <c r="AD568" s="10"/>
      <c r="AE568" s="10"/>
      <c r="AF568" s="10"/>
      <c r="AG568" s="10"/>
      <c r="AH568" s="10"/>
    </row>
    <row r="569" spans="1:34" ht="15.75" customHeight="1">
      <c r="A569" s="13"/>
      <c r="B569" s="14"/>
      <c r="C569" s="14"/>
      <c r="D569" s="14"/>
      <c r="E569" s="15"/>
      <c r="F569" s="14"/>
      <c r="G569" s="14"/>
      <c r="H569" s="17"/>
      <c r="I569" s="17"/>
      <c r="J569" s="17"/>
      <c r="K569" s="21"/>
      <c r="L569" s="17"/>
      <c r="M569" s="17"/>
      <c r="N569" s="14"/>
      <c r="O569" s="14"/>
      <c r="P569" s="14"/>
      <c r="Q569" s="14"/>
      <c r="R569" s="14"/>
      <c r="S569" s="10"/>
      <c r="T569" s="10"/>
      <c r="U569" s="10"/>
      <c r="V569" s="10"/>
      <c r="W569" s="10"/>
      <c r="X569" s="10"/>
      <c r="Y569" s="10"/>
      <c r="Z569" s="10"/>
      <c r="AA569" s="10"/>
      <c r="AB569" s="10"/>
      <c r="AC569" s="10"/>
      <c r="AD569" s="10"/>
      <c r="AE569" s="10"/>
      <c r="AF569" s="10"/>
      <c r="AG569" s="10"/>
      <c r="AH569" s="10"/>
    </row>
    <row r="570" spans="1:34" ht="15.75" customHeight="1">
      <c r="A570" s="13"/>
      <c r="B570" s="14"/>
      <c r="C570" s="14"/>
      <c r="D570" s="14"/>
      <c r="E570" s="15"/>
      <c r="F570" s="14"/>
      <c r="G570" s="14"/>
      <c r="H570" s="17"/>
      <c r="I570" s="17"/>
      <c r="J570" s="17"/>
      <c r="K570" s="21"/>
      <c r="L570" s="17"/>
      <c r="M570" s="17"/>
      <c r="N570" s="14"/>
      <c r="O570" s="14"/>
      <c r="P570" s="14"/>
      <c r="Q570" s="14"/>
      <c r="R570" s="14"/>
      <c r="S570" s="10"/>
      <c r="T570" s="10"/>
      <c r="U570" s="10"/>
      <c r="V570" s="10"/>
      <c r="W570" s="10"/>
      <c r="X570" s="10"/>
      <c r="Y570" s="10"/>
      <c r="Z570" s="10"/>
      <c r="AA570" s="10"/>
      <c r="AB570" s="10"/>
      <c r="AC570" s="10"/>
      <c r="AD570" s="10"/>
      <c r="AE570" s="10"/>
      <c r="AF570" s="10"/>
      <c r="AG570" s="10"/>
      <c r="AH570" s="10"/>
    </row>
    <row r="571" spans="1:34" ht="15.75" customHeight="1">
      <c r="A571" s="13"/>
      <c r="B571" s="14"/>
      <c r="C571" s="14"/>
      <c r="D571" s="14"/>
      <c r="E571" s="15"/>
      <c r="F571" s="14"/>
      <c r="G571" s="14"/>
      <c r="H571" s="17"/>
      <c r="I571" s="17"/>
      <c r="J571" s="17"/>
      <c r="K571" s="21"/>
      <c r="L571" s="17"/>
      <c r="M571" s="17"/>
      <c r="N571" s="14"/>
      <c r="O571" s="14"/>
      <c r="P571" s="14"/>
      <c r="Q571" s="14"/>
      <c r="R571" s="14"/>
      <c r="S571" s="10"/>
      <c r="T571" s="10"/>
      <c r="U571" s="10"/>
      <c r="V571" s="10"/>
      <c r="W571" s="10"/>
      <c r="X571" s="10"/>
      <c r="Y571" s="10"/>
      <c r="Z571" s="10"/>
      <c r="AA571" s="10"/>
      <c r="AB571" s="10"/>
      <c r="AC571" s="10"/>
      <c r="AD571" s="10"/>
      <c r="AE571" s="10"/>
      <c r="AF571" s="10"/>
      <c r="AG571" s="10"/>
      <c r="AH571" s="10"/>
    </row>
    <row r="572" spans="1:34" ht="15.75" customHeight="1">
      <c r="A572" s="13"/>
      <c r="B572" s="14"/>
      <c r="C572" s="14"/>
      <c r="D572" s="14"/>
      <c r="E572" s="15"/>
      <c r="F572" s="14"/>
      <c r="G572" s="14"/>
      <c r="H572" s="17"/>
      <c r="I572" s="17"/>
      <c r="J572" s="17"/>
      <c r="K572" s="21"/>
      <c r="L572" s="17"/>
      <c r="M572" s="17"/>
      <c r="N572" s="14"/>
      <c r="O572" s="14"/>
      <c r="P572" s="14"/>
      <c r="Q572" s="14"/>
      <c r="R572" s="14"/>
      <c r="S572" s="10"/>
      <c r="T572" s="10"/>
      <c r="U572" s="10"/>
      <c r="V572" s="10"/>
      <c r="W572" s="10"/>
      <c r="X572" s="10"/>
      <c r="Y572" s="10"/>
      <c r="Z572" s="10"/>
      <c r="AA572" s="10"/>
      <c r="AB572" s="10"/>
      <c r="AC572" s="10"/>
      <c r="AD572" s="10"/>
      <c r="AE572" s="10"/>
      <c r="AF572" s="10"/>
      <c r="AG572" s="10"/>
      <c r="AH572" s="10"/>
    </row>
    <row r="573" spans="1:34" ht="15.75" customHeight="1">
      <c r="A573" s="13"/>
      <c r="B573" s="14"/>
      <c r="C573" s="14"/>
      <c r="D573" s="14"/>
      <c r="E573" s="15"/>
      <c r="F573" s="14"/>
      <c r="G573" s="14"/>
      <c r="H573" s="17"/>
      <c r="I573" s="17"/>
      <c r="J573" s="17"/>
      <c r="K573" s="21"/>
      <c r="L573" s="17"/>
      <c r="M573" s="17"/>
      <c r="N573" s="14"/>
      <c r="O573" s="14"/>
      <c r="P573" s="14"/>
      <c r="Q573" s="14"/>
      <c r="R573" s="14"/>
      <c r="S573" s="10"/>
      <c r="T573" s="10"/>
      <c r="U573" s="10"/>
      <c r="V573" s="10"/>
      <c r="W573" s="10"/>
      <c r="X573" s="10"/>
      <c r="Y573" s="10"/>
      <c r="Z573" s="10"/>
      <c r="AA573" s="10"/>
      <c r="AB573" s="10"/>
      <c r="AC573" s="10"/>
      <c r="AD573" s="10"/>
      <c r="AE573" s="10"/>
      <c r="AF573" s="10"/>
      <c r="AG573" s="10"/>
      <c r="AH573" s="10"/>
    </row>
    <row r="574" spans="1:34" ht="15.75" customHeight="1">
      <c r="A574" s="13"/>
      <c r="B574" s="14"/>
      <c r="C574" s="14"/>
      <c r="D574" s="14"/>
      <c r="E574" s="15"/>
      <c r="F574" s="14"/>
      <c r="G574" s="14"/>
      <c r="H574" s="17"/>
      <c r="I574" s="17"/>
      <c r="J574" s="17"/>
      <c r="K574" s="21"/>
      <c r="L574" s="17"/>
      <c r="M574" s="17"/>
      <c r="N574" s="14"/>
      <c r="O574" s="14"/>
      <c r="P574" s="14"/>
      <c r="Q574" s="14"/>
      <c r="R574" s="14"/>
      <c r="S574" s="10"/>
      <c r="T574" s="10"/>
      <c r="U574" s="10"/>
      <c r="V574" s="10"/>
      <c r="W574" s="10"/>
      <c r="X574" s="10"/>
      <c r="Y574" s="10"/>
      <c r="Z574" s="10"/>
      <c r="AA574" s="10"/>
      <c r="AB574" s="10"/>
      <c r="AC574" s="10"/>
      <c r="AD574" s="10"/>
      <c r="AE574" s="10"/>
      <c r="AF574" s="10"/>
      <c r="AG574" s="10"/>
      <c r="AH574" s="10"/>
    </row>
    <row r="575" spans="1:34" ht="15.75" customHeight="1">
      <c r="A575" s="13"/>
      <c r="B575" s="14"/>
      <c r="C575" s="14"/>
      <c r="D575" s="14"/>
      <c r="E575" s="15"/>
      <c r="F575" s="14"/>
      <c r="G575" s="14"/>
      <c r="H575" s="17"/>
      <c r="I575" s="17"/>
      <c r="J575" s="17"/>
      <c r="K575" s="21"/>
      <c r="L575" s="17"/>
      <c r="M575" s="17"/>
      <c r="N575" s="14"/>
      <c r="O575" s="14"/>
      <c r="P575" s="14"/>
      <c r="Q575" s="14"/>
      <c r="R575" s="14"/>
      <c r="S575" s="10"/>
      <c r="T575" s="10"/>
      <c r="U575" s="10"/>
      <c r="V575" s="10"/>
      <c r="W575" s="10"/>
      <c r="X575" s="10"/>
      <c r="Y575" s="10"/>
      <c r="Z575" s="10"/>
      <c r="AA575" s="10"/>
      <c r="AB575" s="10"/>
      <c r="AC575" s="10"/>
      <c r="AD575" s="10"/>
      <c r="AE575" s="10"/>
      <c r="AF575" s="10"/>
      <c r="AG575" s="10"/>
      <c r="AH575" s="10"/>
    </row>
    <row r="576" spans="1:34" ht="15.75" customHeight="1">
      <c r="A576" s="13"/>
      <c r="B576" s="14"/>
      <c r="C576" s="14"/>
      <c r="D576" s="14"/>
      <c r="E576" s="15"/>
      <c r="F576" s="14"/>
      <c r="G576" s="14"/>
      <c r="H576" s="17"/>
      <c r="I576" s="17"/>
      <c r="J576" s="17"/>
      <c r="K576" s="21"/>
      <c r="L576" s="17"/>
      <c r="M576" s="17"/>
      <c r="N576" s="14"/>
      <c r="O576" s="14"/>
      <c r="P576" s="14"/>
      <c r="Q576" s="14"/>
      <c r="R576" s="14"/>
      <c r="S576" s="10"/>
      <c r="T576" s="10"/>
      <c r="U576" s="10"/>
      <c r="V576" s="10"/>
      <c r="W576" s="10"/>
      <c r="X576" s="10"/>
      <c r="Y576" s="10"/>
      <c r="Z576" s="10"/>
      <c r="AA576" s="10"/>
      <c r="AB576" s="10"/>
      <c r="AC576" s="10"/>
      <c r="AD576" s="10"/>
      <c r="AE576" s="10"/>
      <c r="AF576" s="10"/>
      <c r="AG576" s="10"/>
      <c r="AH576" s="10"/>
    </row>
    <row r="577" spans="1:34" ht="15.75" customHeight="1">
      <c r="A577" s="13"/>
      <c r="B577" s="14"/>
      <c r="C577" s="14"/>
      <c r="D577" s="14"/>
      <c r="E577" s="15"/>
      <c r="F577" s="14"/>
      <c r="G577" s="14"/>
      <c r="H577" s="17"/>
      <c r="I577" s="17"/>
      <c r="J577" s="17"/>
      <c r="K577" s="21"/>
      <c r="L577" s="17"/>
      <c r="M577" s="17"/>
      <c r="N577" s="14"/>
      <c r="O577" s="14"/>
      <c r="P577" s="14"/>
      <c r="Q577" s="14"/>
      <c r="R577" s="14"/>
      <c r="S577" s="10"/>
      <c r="T577" s="10"/>
      <c r="U577" s="10"/>
      <c r="V577" s="10"/>
      <c r="W577" s="10"/>
      <c r="X577" s="10"/>
      <c r="Y577" s="10"/>
      <c r="Z577" s="10"/>
      <c r="AA577" s="10"/>
      <c r="AB577" s="10"/>
      <c r="AC577" s="10"/>
      <c r="AD577" s="10"/>
      <c r="AE577" s="10"/>
      <c r="AF577" s="10"/>
      <c r="AG577" s="10"/>
      <c r="AH577" s="10"/>
    </row>
    <row r="578" spans="1:34" ht="15.75" customHeight="1">
      <c r="A578" s="13"/>
      <c r="B578" s="14"/>
      <c r="C578" s="14"/>
      <c r="D578" s="14"/>
      <c r="E578" s="15"/>
      <c r="F578" s="14"/>
      <c r="G578" s="14"/>
      <c r="H578" s="17"/>
      <c r="I578" s="17"/>
      <c r="J578" s="17"/>
      <c r="K578" s="21"/>
      <c r="L578" s="17"/>
      <c r="M578" s="17"/>
      <c r="N578" s="14"/>
      <c r="O578" s="14"/>
      <c r="P578" s="14"/>
      <c r="Q578" s="14"/>
      <c r="R578" s="14"/>
      <c r="S578" s="10"/>
      <c r="T578" s="10"/>
      <c r="U578" s="10"/>
      <c r="V578" s="10"/>
      <c r="W578" s="10"/>
      <c r="X578" s="10"/>
      <c r="Y578" s="10"/>
      <c r="Z578" s="10"/>
      <c r="AA578" s="10"/>
      <c r="AB578" s="10"/>
      <c r="AC578" s="10"/>
      <c r="AD578" s="10"/>
      <c r="AE578" s="10"/>
      <c r="AF578" s="10"/>
      <c r="AG578" s="10"/>
      <c r="AH578" s="10"/>
    </row>
    <row r="579" spans="1:34" ht="15.75" customHeight="1">
      <c r="A579" s="13"/>
      <c r="B579" s="14"/>
      <c r="C579" s="14"/>
      <c r="D579" s="14"/>
      <c r="E579" s="15"/>
      <c r="F579" s="14"/>
      <c r="G579" s="14"/>
      <c r="H579" s="17"/>
      <c r="I579" s="17"/>
      <c r="J579" s="17"/>
      <c r="K579" s="21"/>
      <c r="L579" s="17"/>
      <c r="M579" s="17"/>
      <c r="N579" s="14"/>
      <c r="O579" s="14"/>
      <c r="P579" s="14"/>
      <c r="Q579" s="14"/>
      <c r="R579" s="14"/>
      <c r="S579" s="10"/>
      <c r="T579" s="10"/>
      <c r="U579" s="10"/>
      <c r="V579" s="10"/>
      <c r="W579" s="10"/>
      <c r="X579" s="10"/>
      <c r="Y579" s="10"/>
      <c r="Z579" s="10"/>
      <c r="AA579" s="10"/>
      <c r="AB579" s="10"/>
      <c r="AC579" s="10"/>
      <c r="AD579" s="10"/>
      <c r="AE579" s="10"/>
      <c r="AF579" s="10"/>
      <c r="AG579" s="10"/>
      <c r="AH579" s="10"/>
    </row>
    <row r="580" spans="1:34" ht="15.75" customHeight="1">
      <c r="A580" s="13"/>
      <c r="B580" s="14"/>
      <c r="C580" s="14"/>
      <c r="D580" s="14"/>
      <c r="E580" s="15"/>
      <c r="F580" s="14"/>
      <c r="G580" s="14"/>
      <c r="H580" s="17"/>
      <c r="I580" s="17"/>
      <c r="J580" s="17"/>
      <c r="K580" s="21"/>
      <c r="L580" s="17"/>
      <c r="M580" s="17"/>
      <c r="N580" s="14"/>
      <c r="O580" s="14"/>
      <c r="P580" s="14"/>
      <c r="Q580" s="14"/>
      <c r="R580" s="14"/>
      <c r="S580" s="10"/>
      <c r="T580" s="10"/>
      <c r="U580" s="10"/>
      <c r="V580" s="10"/>
      <c r="W580" s="10"/>
      <c r="X580" s="10"/>
      <c r="Y580" s="10"/>
      <c r="Z580" s="10"/>
      <c r="AA580" s="10"/>
      <c r="AB580" s="10"/>
      <c r="AC580" s="10"/>
      <c r="AD580" s="10"/>
      <c r="AE580" s="10"/>
      <c r="AF580" s="10"/>
      <c r="AG580" s="10"/>
      <c r="AH580" s="10"/>
    </row>
    <row r="581" spans="1:34" ht="15.75" customHeight="1">
      <c r="A581" s="13"/>
      <c r="B581" s="14"/>
      <c r="C581" s="14"/>
      <c r="D581" s="14"/>
      <c r="E581" s="15"/>
      <c r="F581" s="14"/>
      <c r="G581" s="14"/>
      <c r="H581" s="17"/>
      <c r="I581" s="17"/>
      <c r="J581" s="17"/>
      <c r="K581" s="21"/>
      <c r="L581" s="17"/>
      <c r="M581" s="17"/>
      <c r="N581" s="14"/>
      <c r="O581" s="14"/>
      <c r="P581" s="14"/>
      <c r="Q581" s="14"/>
      <c r="R581" s="14"/>
      <c r="S581" s="10"/>
      <c r="T581" s="10"/>
      <c r="U581" s="10"/>
      <c r="V581" s="10"/>
      <c r="W581" s="10"/>
      <c r="X581" s="10"/>
      <c r="Y581" s="10"/>
      <c r="Z581" s="10"/>
      <c r="AA581" s="10"/>
      <c r="AB581" s="10"/>
      <c r="AC581" s="10"/>
      <c r="AD581" s="10"/>
      <c r="AE581" s="10"/>
      <c r="AF581" s="10"/>
      <c r="AG581" s="10"/>
      <c r="AH581" s="10"/>
    </row>
    <row r="582" spans="1:34" ht="15.75" customHeight="1">
      <c r="A582" s="13"/>
      <c r="B582" s="14"/>
      <c r="C582" s="14"/>
      <c r="D582" s="14"/>
      <c r="E582" s="15"/>
      <c r="F582" s="14"/>
      <c r="G582" s="14"/>
      <c r="H582" s="17"/>
      <c r="I582" s="17"/>
      <c r="J582" s="17"/>
      <c r="K582" s="21"/>
      <c r="L582" s="17"/>
      <c r="M582" s="17"/>
      <c r="N582" s="14"/>
      <c r="O582" s="14"/>
      <c r="P582" s="14"/>
      <c r="Q582" s="14"/>
      <c r="R582" s="14"/>
      <c r="S582" s="10"/>
      <c r="T582" s="10"/>
      <c r="U582" s="10"/>
      <c r="V582" s="10"/>
      <c r="W582" s="10"/>
      <c r="X582" s="10"/>
      <c r="Y582" s="10"/>
      <c r="Z582" s="10"/>
      <c r="AA582" s="10"/>
      <c r="AB582" s="10"/>
      <c r="AC582" s="10"/>
      <c r="AD582" s="10"/>
      <c r="AE582" s="10"/>
      <c r="AF582" s="10"/>
      <c r="AG582" s="10"/>
      <c r="AH582" s="10"/>
    </row>
    <row r="583" spans="1:34" ht="15.75" customHeight="1">
      <c r="A583" s="13"/>
      <c r="B583" s="14"/>
      <c r="C583" s="14"/>
      <c r="D583" s="14"/>
      <c r="E583" s="15"/>
      <c r="F583" s="14"/>
      <c r="G583" s="14"/>
      <c r="H583" s="17"/>
      <c r="I583" s="17"/>
      <c r="J583" s="17"/>
      <c r="K583" s="21"/>
      <c r="L583" s="17"/>
      <c r="M583" s="17"/>
      <c r="N583" s="14"/>
      <c r="O583" s="14"/>
      <c r="P583" s="14"/>
      <c r="Q583" s="14"/>
      <c r="R583" s="14"/>
      <c r="S583" s="10"/>
      <c r="T583" s="10"/>
      <c r="U583" s="10"/>
      <c r="V583" s="10"/>
      <c r="W583" s="10"/>
      <c r="X583" s="10"/>
      <c r="Y583" s="10"/>
      <c r="Z583" s="10"/>
      <c r="AA583" s="10"/>
      <c r="AB583" s="10"/>
      <c r="AC583" s="10"/>
      <c r="AD583" s="10"/>
      <c r="AE583" s="10"/>
      <c r="AF583" s="10"/>
      <c r="AG583" s="10"/>
      <c r="AH583" s="10"/>
    </row>
    <row r="584" spans="1:34" ht="15.75" customHeight="1">
      <c r="A584" s="13"/>
      <c r="B584" s="14"/>
      <c r="C584" s="14"/>
      <c r="D584" s="14"/>
      <c r="E584" s="15"/>
      <c r="F584" s="14"/>
      <c r="G584" s="14"/>
      <c r="H584" s="17"/>
      <c r="I584" s="17"/>
      <c r="J584" s="17"/>
      <c r="K584" s="21"/>
      <c r="L584" s="17"/>
      <c r="M584" s="17"/>
      <c r="N584" s="14"/>
      <c r="O584" s="14"/>
      <c r="P584" s="14"/>
      <c r="Q584" s="14"/>
      <c r="R584" s="14"/>
      <c r="S584" s="10"/>
      <c r="T584" s="10"/>
      <c r="U584" s="10"/>
      <c r="V584" s="10"/>
      <c r="W584" s="10"/>
      <c r="X584" s="10"/>
      <c r="Y584" s="10"/>
      <c r="Z584" s="10"/>
      <c r="AA584" s="10"/>
      <c r="AB584" s="10"/>
      <c r="AC584" s="10"/>
      <c r="AD584" s="10"/>
      <c r="AE584" s="10"/>
      <c r="AF584" s="10"/>
      <c r="AG584" s="10"/>
      <c r="AH584" s="10"/>
    </row>
    <row r="585" spans="1:34" ht="15.75" customHeight="1">
      <c r="A585" s="13"/>
      <c r="B585" s="14"/>
      <c r="C585" s="14"/>
      <c r="D585" s="14"/>
      <c r="E585" s="15"/>
      <c r="F585" s="14"/>
      <c r="G585" s="14"/>
      <c r="H585" s="17"/>
      <c r="I585" s="17"/>
      <c r="J585" s="17"/>
      <c r="K585" s="21"/>
      <c r="L585" s="17"/>
      <c r="M585" s="17"/>
      <c r="N585" s="14"/>
      <c r="O585" s="14"/>
      <c r="P585" s="14"/>
      <c r="Q585" s="14"/>
      <c r="R585" s="14"/>
      <c r="S585" s="10"/>
      <c r="T585" s="10"/>
      <c r="U585" s="10"/>
      <c r="V585" s="10"/>
      <c r="W585" s="10"/>
      <c r="X585" s="10"/>
      <c r="Y585" s="10"/>
      <c r="Z585" s="10"/>
      <c r="AA585" s="10"/>
      <c r="AB585" s="10"/>
      <c r="AC585" s="10"/>
      <c r="AD585" s="10"/>
      <c r="AE585" s="10"/>
      <c r="AF585" s="10"/>
      <c r="AG585" s="10"/>
      <c r="AH585" s="10"/>
    </row>
    <row r="586" spans="1:34" ht="15.75" customHeight="1">
      <c r="A586" s="13"/>
      <c r="B586" s="14"/>
      <c r="C586" s="14"/>
      <c r="D586" s="14"/>
      <c r="E586" s="15"/>
      <c r="F586" s="14"/>
      <c r="G586" s="14"/>
      <c r="H586" s="17"/>
      <c r="I586" s="17"/>
      <c r="J586" s="17"/>
      <c r="K586" s="21"/>
      <c r="L586" s="17"/>
      <c r="M586" s="17"/>
      <c r="N586" s="14"/>
      <c r="O586" s="14"/>
      <c r="P586" s="14"/>
      <c r="Q586" s="14"/>
      <c r="R586" s="14"/>
      <c r="S586" s="10"/>
      <c r="T586" s="10"/>
      <c r="U586" s="10"/>
      <c r="V586" s="10"/>
      <c r="W586" s="10"/>
      <c r="X586" s="10"/>
      <c r="Y586" s="10"/>
      <c r="Z586" s="10"/>
      <c r="AA586" s="10"/>
      <c r="AB586" s="10"/>
      <c r="AC586" s="10"/>
      <c r="AD586" s="10"/>
      <c r="AE586" s="10"/>
      <c r="AF586" s="10"/>
      <c r="AG586" s="10"/>
      <c r="AH586" s="10"/>
    </row>
    <row r="587" spans="1:34" ht="15.75" customHeight="1">
      <c r="A587" s="13"/>
      <c r="B587" s="14"/>
      <c r="C587" s="14"/>
      <c r="D587" s="14"/>
      <c r="E587" s="15"/>
      <c r="F587" s="14"/>
      <c r="G587" s="14"/>
      <c r="H587" s="17"/>
      <c r="I587" s="17"/>
      <c r="J587" s="17"/>
      <c r="K587" s="21"/>
      <c r="L587" s="17"/>
      <c r="M587" s="17"/>
      <c r="N587" s="14"/>
      <c r="O587" s="14"/>
      <c r="P587" s="14"/>
      <c r="Q587" s="14"/>
      <c r="R587" s="14"/>
      <c r="S587" s="10"/>
      <c r="T587" s="10"/>
      <c r="U587" s="10"/>
      <c r="V587" s="10"/>
      <c r="W587" s="10"/>
      <c r="X587" s="10"/>
      <c r="Y587" s="10"/>
      <c r="Z587" s="10"/>
      <c r="AA587" s="10"/>
      <c r="AB587" s="10"/>
      <c r="AC587" s="10"/>
      <c r="AD587" s="10"/>
      <c r="AE587" s="10"/>
      <c r="AF587" s="10"/>
      <c r="AG587" s="10"/>
      <c r="AH587" s="10"/>
    </row>
    <row r="588" spans="1:34" ht="15.75" customHeight="1">
      <c r="A588" s="13"/>
      <c r="B588" s="14"/>
      <c r="C588" s="14"/>
      <c r="D588" s="14"/>
      <c r="E588" s="15"/>
      <c r="F588" s="14"/>
      <c r="G588" s="14"/>
      <c r="H588" s="17"/>
      <c r="I588" s="17"/>
      <c r="J588" s="17"/>
      <c r="K588" s="21"/>
      <c r="L588" s="17"/>
      <c r="M588" s="17"/>
      <c r="N588" s="14"/>
      <c r="O588" s="14"/>
      <c r="P588" s="14"/>
      <c r="Q588" s="14"/>
      <c r="R588" s="14"/>
      <c r="S588" s="10"/>
      <c r="T588" s="10"/>
      <c r="U588" s="10"/>
      <c r="V588" s="10"/>
      <c r="W588" s="10"/>
      <c r="X588" s="10"/>
      <c r="Y588" s="10"/>
      <c r="Z588" s="10"/>
      <c r="AA588" s="10"/>
      <c r="AB588" s="10"/>
      <c r="AC588" s="10"/>
      <c r="AD588" s="10"/>
      <c r="AE588" s="10"/>
      <c r="AF588" s="10"/>
      <c r="AG588" s="10"/>
      <c r="AH588" s="10"/>
    </row>
    <row r="589" spans="1:34" ht="15.75" customHeight="1">
      <c r="A589" s="13"/>
      <c r="B589" s="14"/>
      <c r="C589" s="14"/>
      <c r="D589" s="14"/>
      <c r="E589" s="15"/>
      <c r="F589" s="14"/>
      <c r="G589" s="14"/>
      <c r="H589" s="17"/>
      <c r="I589" s="17"/>
      <c r="J589" s="17"/>
      <c r="K589" s="21"/>
      <c r="L589" s="17"/>
      <c r="M589" s="17"/>
      <c r="N589" s="14"/>
      <c r="O589" s="14"/>
      <c r="P589" s="14"/>
      <c r="Q589" s="14"/>
      <c r="R589" s="14"/>
      <c r="S589" s="10"/>
      <c r="T589" s="10"/>
      <c r="U589" s="10"/>
      <c r="V589" s="10"/>
      <c r="W589" s="10"/>
      <c r="X589" s="10"/>
      <c r="Y589" s="10"/>
      <c r="Z589" s="10"/>
      <c r="AA589" s="10"/>
      <c r="AB589" s="10"/>
      <c r="AC589" s="10"/>
      <c r="AD589" s="10"/>
      <c r="AE589" s="10"/>
      <c r="AF589" s="10"/>
      <c r="AG589" s="10"/>
      <c r="AH589" s="10"/>
    </row>
    <row r="590" spans="1:34" ht="15.75" customHeight="1">
      <c r="A590" s="13"/>
      <c r="B590" s="14"/>
      <c r="C590" s="14"/>
      <c r="D590" s="14"/>
      <c r="E590" s="15"/>
      <c r="F590" s="14"/>
      <c r="G590" s="14"/>
      <c r="H590" s="17"/>
      <c r="I590" s="17"/>
      <c r="J590" s="17"/>
      <c r="K590" s="21"/>
      <c r="L590" s="17"/>
      <c r="M590" s="17"/>
      <c r="N590" s="14"/>
      <c r="O590" s="14"/>
      <c r="P590" s="14"/>
      <c r="Q590" s="14"/>
      <c r="R590" s="14"/>
      <c r="S590" s="10"/>
      <c r="T590" s="10"/>
      <c r="U590" s="10"/>
      <c r="V590" s="10"/>
      <c r="W590" s="10"/>
      <c r="X590" s="10"/>
      <c r="Y590" s="10"/>
      <c r="Z590" s="10"/>
      <c r="AA590" s="10"/>
      <c r="AB590" s="10"/>
      <c r="AC590" s="10"/>
      <c r="AD590" s="10"/>
      <c r="AE590" s="10"/>
      <c r="AF590" s="10"/>
      <c r="AG590" s="10"/>
      <c r="AH590" s="10"/>
    </row>
    <row r="591" spans="1:34" ht="15.75" customHeight="1">
      <c r="A591" s="13"/>
      <c r="B591" s="14"/>
      <c r="C591" s="14"/>
      <c r="D591" s="14"/>
      <c r="E591" s="15"/>
      <c r="F591" s="14"/>
      <c r="G591" s="14"/>
      <c r="H591" s="17"/>
      <c r="I591" s="17"/>
      <c r="J591" s="17"/>
      <c r="K591" s="21"/>
      <c r="L591" s="17"/>
      <c r="M591" s="17"/>
      <c r="N591" s="14"/>
      <c r="O591" s="14"/>
      <c r="P591" s="14"/>
      <c r="Q591" s="14"/>
      <c r="R591" s="14"/>
      <c r="S591" s="10"/>
      <c r="T591" s="10"/>
      <c r="U591" s="10"/>
      <c r="V591" s="10"/>
      <c r="W591" s="10"/>
      <c r="X591" s="10"/>
      <c r="Y591" s="10"/>
      <c r="Z591" s="10"/>
      <c r="AA591" s="10"/>
      <c r="AB591" s="10"/>
      <c r="AC591" s="10"/>
      <c r="AD591" s="10"/>
      <c r="AE591" s="10"/>
      <c r="AF591" s="10"/>
      <c r="AG591" s="10"/>
      <c r="AH591" s="10"/>
    </row>
    <row r="592" spans="1:34" ht="15.75" customHeight="1">
      <c r="A592" s="13"/>
      <c r="B592" s="14"/>
      <c r="C592" s="14"/>
      <c r="D592" s="14"/>
      <c r="E592" s="15"/>
      <c r="F592" s="14"/>
      <c r="G592" s="14"/>
      <c r="H592" s="17"/>
      <c r="I592" s="17"/>
      <c r="J592" s="17"/>
      <c r="K592" s="21"/>
      <c r="L592" s="17"/>
      <c r="M592" s="17"/>
      <c r="N592" s="14"/>
      <c r="O592" s="14"/>
      <c r="P592" s="14"/>
      <c r="Q592" s="14"/>
      <c r="R592" s="14"/>
      <c r="S592" s="10"/>
      <c r="T592" s="10"/>
      <c r="U592" s="10"/>
      <c r="V592" s="10"/>
      <c r="W592" s="10"/>
      <c r="X592" s="10"/>
      <c r="Y592" s="10"/>
      <c r="Z592" s="10"/>
      <c r="AA592" s="10"/>
      <c r="AB592" s="10"/>
      <c r="AC592" s="10"/>
      <c r="AD592" s="10"/>
      <c r="AE592" s="10"/>
      <c r="AF592" s="10"/>
      <c r="AG592" s="10"/>
      <c r="AH592" s="10"/>
    </row>
    <row r="593" spans="1:34" ht="15.75" customHeight="1">
      <c r="A593" s="13"/>
      <c r="B593" s="14"/>
      <c r="C593" s="14"/>
      <c r="D593" s="14"/>
      <c r="E593" s="15"/>
      <c r="F593" s="14"/>
      <c r="G593" s="14"/>
      <c r="H593" s="17"/>
      <c r="I593" s="17"/>
      <c r="J593" s="17"/>
      <c r="K593" s="21"/>
      <c r="L593" s="17"/>
      <c r="M593" s="17"/>
      <c r="N593" s="14"/>
      <c r="O593" s="14"/>
      <c r="P593" s="14"/>
      <c r="Q593" s="14"/>
      <c r="R593" s="14"/>
      <c r="S593" s="10"/>
      <c r="T593" s="10"/>
      <c r="U593" s="10"/>
      <c r="V593" s="10"/>
      <c r="W593" s="10"/>
      <c r="X593" s="10"/>
      <c r="Y593" s="10"/>
      <c r="Z593" s="10"/>
      <c r="AA593" s="10"/>
      <c r="AB593" s="10"/>
      <c r="AC593" s="10"/>
      <c r="AD593" s="10"/>
      <c r="AE593" s="10"/>
      <c r="AF593" s="10"/>
      <c r="AG593" s="10"/>
      <c r="AH593" s="10"/>
    </row>
    <row r="594" spans="1:34" ht="15.75" customHeight="1">
      <c r="A594" s="13"/>
      <c r="B594" s="14"/>
      <c r="C594" s="14"/>
      <c r="D594" s="14"/>
      <c r="E594" s="15"/>
      <c r="F594" s="14"/>
      <c r="G594" s="14"/>
      <c r="H594" s="17"/>
      <c r="I594" s="17"/>
      <c r="J594" s="17"/>
      <c r="K594" s="21"/>
      <c r="L594" s="17"/>
      <c r="M594" s="17"/>
      <c r="N594" s="14"/>
      <c r="O594" s="14"/>
      <c r="P594" s="14"/>
      <c r="Q594" s="14"/>
      <c r="R594" s="14"/>
      <c r="S594" s="10"/>
      <c r="T594" s="10"/>
      <c r="U594" s="10"/>
      <c r="V594" s="10"/>
      <c r="W594" s="10"/>
      <c r="X594" s="10"/>
      <c r="Y594" s="10"/>
      <c r="Z594" s="10"/>
      <c r="AA594" s="10"/>
      <c r="AB594" s="10"/>
      <c r="AC594" s="10"/>
      <c r="AD594" s="10"/>
      <c r="AE594" s="10"/>
      <c r="AF594" s="10"/>
      <c r="AG594" s="10"/>
      <c r="AH594" s="10"/>
    </row>
    <row r="595" spans="1:34" ht="15.75" customHeight="1">
      <c r="A595" s="13"/>
      <c r="B595" s="14"/>
      <c r="C595" s="14"/>
      <c r="D595" s="14"/>
      <c r="E595" s="15"/>
      <c r="F595" s="14"/>
      <c r="G595" s="14"/>
      <c r="H595" s="17"/>
      <c r="I595" s="17"/>
      <c r="J595" s="17"/>
      <c r="K595" s="21"/>
      <c r="L595" s="17"/>
      <c r="M595" s="17"/>
      <c r="N595" s="14"/>
      <c r="O595" s="14"/>
      <c r="P595" s="14"/>
      <c r="Q595" s="14"/>
      <c r="R595" s="14"/>
      <c r="S595" s="10"/>
      <c r="T595" s="10"/>
      <c r="U595" s="10"/>
      <c r="V595" s="10"/>
      <c r="W595" s="10"/>
      <c r="X595" s="10"/>
      <c r="Y595" s="10"/>
      <c r="Z595" s="10"/>
      <c r="AA595" s="10"/>
      <c r="AB595" s="10"/>
      <c r="AC595" s="10"/>
      <c r="AD595" s="10"/>
      <c r="AE595" s="10"/>
      <c r="AF595" s="10"/>
      <c r="AG595" s="10"/>
      <c r="AH595" s="10"/>
    </row>
    <row r="596" spans="1:34" ht="15.75" customHeight="1">
      <c r="A596" s="13"/>
      <c r="B596" s="14"/>
      <c r="C596" s="14"/>
      <c r="D596" s="14"/>
      <c r="E596" s="15"/>
      <c r="F596" s="14"/>
      <c r="G596" s="14"/>
      <c r="H596" s="17"/>
      <c r="I596" s="17"/>
      <c r="J596" s="17"/>
      <c r="K596" s="21"/>
      <c r="L596" s="17"/>
      <c r="M596" s="17"/>
      <c r="N596" s="14"/>
      <c r="O596" s="14"/>
      <c r="P596" s="14"/>
      <c r="Q596" s="14"/>
      <c r="R596" s="14"/>
      <c r="S596" s="10"/>
      <c r="T596" s="10"/>
      <c r="U596" s="10"/>
      <c r="V596" s="10"/>
      <c r="W596" s="10"/>
      <c r="X596" s="10"/>
      <c r="Y596" s="10"/>
      <c r="Z596" s="10"/>
      <c r="AA596" s="10"/>
      <c r="AB596" s="10"/>
      <c r="AC596" s="10"/>
      <c r="AD596" s="10"/>
      <c r="AE596" s="10"/>
      <c r="AF596" s="10"/>
      <c r="AG596" s="10"/>
      <c r="AH596" s="10"/>
    </row>
    <row r="597" spans="1:34" ht="15.75" customHeight="1">
      <c r="A597" s="13"/>
      <c r="B597" s="14"/>
      <c r="C597" s="14"/>
      <c r="D597" s="14"/>
      <c r="E597" s="15"/>
      <c r="F597" s="14"/>
      <c r="G597" s="14"/>
      <c r="H597" s="17"/>
      <c r="I597" s="17"/>
      <c r="J597" s="17"/>
      <c r="K597" s="21"/>
      <c r="L597" s="17"/>
      <c r="M597" s="17"/>
      <c r="N597" s="14"/>
      <c r="O597" s="14"/>
      <c r="P597" s="14"/>
      <c r="Q597" s="14"/>
      <c r="R597" s="14"/>
      <c r="S597" s="10"/>
      <c r="T597" s="10"/>
      <c r="U597" s="10"/>
      <c r="V597" s="10"/>
      <c r="W597" s="10"/>
      <c r="X597" s="10"/>
      <c r="Y597" s="10"/>
      <c r="Z597" s="10"/>
      <c r="AA597" s="10"/>
      <c r="AB597" s="10"/>
      <c r="AC597" s="10"/>
      <c r="AD597" s="10"/>
      <c r="AE597" s="10"/>
      <c r="AF597" s="10"/>
      <c r="AG597" s="10"/>
      <c r="AH597" s="10"/>
    </row>
    <row r="598" spans="1:34" ht="15.75" customHeight="1">
      <c r="A598" s="13"/>
      <c r="B598" s="14"/>
      <c r="C598" s="14"/>
      <c r="D598" s="14"/>
      <c r="E598" s="15"/>
      <c r="F598" s="14"/>
      <c r="G598" s="14"/>
      <c r="H598" s="17"/>
      <c r="I598" s="17"/>
      <c r="J598" s="17"/>
      <c r="K598" s="21"/>
      <c r="L598" s="17"/>
      <c r="M598" s="17"/>
      <c r="N598" s="14"/>
      <c r="O598" s="14"/>
      <c r="P598" s="14"/>
      <c r="Q598" s="14"/>
      <c r="R598" s="14"/>
      <c r="S598" s="10"/>
      <c r="T598" s="10"/>
      <c r="U598" s="10"/>
      <c r="V598" s="10"/>
      <c r="W598" s="10"/>
      <c r="X598" s="10"/>
      <c r="Y598" s="10"/>
      <c r="Z598" s="10"/>
      <c r="AA598" s="10"/>
      <c r="AB598" s="10"/>
      <c r="AC598" s="10"/>
      <c r="AD598" s="10"/>
      <c r="AE598" s="10"/>
      <c r="AF598" s="10"/>
      <c r="AG598" s="10"/>
      <c r="AH598" s="10"/>
    </row>
    <row r="599" spans="1:34" ht="15.75" customHeight="1">
      <c r="A599" s="13"/>
      <c r="B599" s="14"/>
      <c r="C599" s="14"/>
      <c r="D599" s="14"/>
      <c r="E599" s="15"/>
      <c r="F599" s="14"/>
      <c r="G599" s="14"/>
      <c r="H599" s="17"/>
      <c r="I599" s="17"/>
      <c r="J599" s="17"/>
      <c r="K599" s="21"/>
      <c r="L599" s="17"/>
      <c r="M599" s="17"/>
      <c r="N599" s="14"/>
      <c r="O599" s="14"/>
      <c r="P599" s="14"/>
      <c r="Q599" s="14"/>
      <c r="R599" s="14"/>
      <c r="S599" s="10"/>
      <c r="T599" s="10"/>
      <c r="U599" s="10"/>
      <c r="V599" s="10"/>
      <c r="W599" s="10"/>
      <c r="X599" s="10"/>
      <c r="Y599" s="10"/>
      <c r="Z599" s="10"/>
      <c r="AA599" s="10"/>
      <c r="AB599" s="10"/>
      <c r="AC599" s="10"/>
      <c r="AD599" s="10"/>
      <c r="AE599" s="10"/>
      <c r="AF599" s="10"/>
      <c r="AG599" s="10"/>
      <c r="AH599" s="10"/>
    </row>
    <row r="600" spans="1:34" ht="15.75" customHeight="1">
      <c r="A600" s="13"/>
      <c r="B600" s="14"/>
      <c r="C600" s="14"/>
      <c r="D600" s="14"/>
      <c r="E600" s="15"/>
      <c r="F600" s="14"/>
      <c r="G600" s="14"/>
      <c r="H600" s="17"/>
      <c r="I600" s="17"/>
      <c r="J600" s="17"/>
      <c r="K600" s="21"/>
      <c r="L600" s="17"/>
      <c r="M600" s="17"/>
      <c r="N600" s="14"/>
      <c r="O600" s="14"/>
      <c r="P600" s="14"/>
      <c r="Q600" s="14"/>
      <c r="R600" s="14"/>
      <c r="S600" s="10"/>
      <c r="T600" s="10"/>
      <c r="U600" s="10"/>
      <c r="V600" s="10"/>
      <c r="W600" s="10"/>
      <c r="X600" s="10"/>
      <c r="Y600" s="10"/>
      <c r="Z600" s="10"/>
      <c r="AA600" s="10"/>
      <c r="AB600" s="10"/>
      <c r="AC600" s="10"/>
      <c r="AD600" s="10"/>
      <c r="AE600" s="10"/>
      <c r="AF600" s="10"/>
      <c r="AG600" s="10"/>
      <c r="AH600" s="10"/>
    </row>
    <row r="601" spans="1:34" ht="15.75" customHeight="1">
      <c r="A601" s="13"/>
      <c r="B601" s="14"/>
      <c r="C601" s="14"/>
      <c r="D601" s="14"/>
      <c r="E601" s="15"/>
      <c r="F601" s="14"/>
      <c r="G601" s="14"/>
      <c r="H601" s="17"/>
      <c r="I601" s="17"/>
      <c r="J601" s="17"/>
      <c r="K601" s="21"/>
      <c r="L601" s="17"/>
      <c r="M601" s="17"/>
      <c r="N601" s="14"/>
      <c r="O601" s="14"/>
      <c r="P601" s="14"/>
      <c r="Q601" s="14"/>
      <c r="R601" s="14"/>
      <c r="S601" s="10"/>
      <c r="T601" s="10"/>
      <c r="U601" s="10"/>
      <c r="V601" s="10"/>
      <c r="W601" s="10"/>
      <c r="X601" s="10"/>
      <c r="Y601" s="10"/>
      <c r="Z601" s="10"/>
      <c r="AA601" s="10"/>
      <c r="AB601" s="10"/>
      <c r="AC601" s="10"/>
      <c r="AD601" s="10"/>
      <c r="AE601" s="10"/>
      <c r="AF601" s="10"/>
      <c r="AG601" s="10"/>
      <c r="AH601" s="10"/>
    </row>
    <row r="602" spans="1:34" ht="15.75" customHeight="1">
      <c r="A602" s="13"/>
      <c r="B602" s="14"/>
      <c r="C602" s="14"/>
      <c r="D602" s="14"/>
      <c r="E602" s="15"/>
      <c r="F602" s="14"/>
      <c r="G602" s="14"/>
      <c r="H602" s="17"/>
      <c r="I602" s="17"/>
      <c r="J602" s="17"/>
      <c r="K602" s="21"/>
      <c r="L602" s="17"/>
      <c r="M602" s="17"/>
      <c r="N602" s="14"/>
      <c r="O602" s="14"/>
      <c r="P602" s="14"/>
      <c r="Q602" s="14"/>
      <c r="R602" s="14"/>
      <c r="S602" s="10"/>
      <c r="T602" s="10"/>
      <c r="U602" s="10"/>
      <c r="V602" s="10"/>
      <c r="W602" s="10"/>
      <c r="X602" s="10"/>
      <c r="Y602" s="10"/>
      <c r="Z602" s="10"/>
      <c r="AA602" s="10"/>
      <c r="AB602" s="10"/>
      <c r="AC602" s="10"/>
      <c r="AD602" s="10"/>
      <c r="AE602" s="10"/>
      <c r="AF602" s="10"/>
      <c r="AG602" s="10"/>
      <c r="AH602" s="10"/>
    </row>
    <row r="603" spans="1:34" ht="15.75" customHeight="1">
      <c r="A603" s="13"/>
      <c r="B603" s="14"/>
      <c r="C603" s="14"/>
      <c r="D603" s="14"/>
      <c r="E603" s="15"/>
      <c r="F603" s="14"/>
      <c r="G603" s="14"/>
      <c r="H603" s="17"/>
      <c r="I603" s="17"/>
      <c r="J603" s="17"/>
      <c r="K603" s="21"/>
      <c r="L603" s="17"/>
      <c r="M603" s="17"/>
      <c r="N603" s="14"/>
      <c r="O603" s="14"/>
      <c r="P603" s="14"/>
      <c r="Q603" s="14"/>
      <c r="R603" s="14"/>
      <c r="S603" s="10"/>
      <c r="T603" s="10"/>
      <c r="U603" s="10"/>
      <c r="V603" s="10"/>
      <c r="W603" s="10"/>
      <c r="X603" s="10"/>
      <c r="Y603" s="10"/>
      <c r="Z603" s="10"/>
      <c r="AA603" s="10"/>
      <c r="AB603" s="10"/>
      <c r="AC603" s="10"/>
      <c r="AD603" s="10"/>
      <c r="AE603" s="10"/>
      <c r="AF603" s="10"/>
      <c r="AG603" s="10"/>
      <c r="AH603" s="10"/>
    </row>
    <row r="604" spans="1:34" ht="15.75" customHeight="1">
      <c r="A604" s="13"/>
      <c r="B604" s="14"/>
      <c r="C604" s="14"/>
      <c r="D604" s="14"/>
      <c r="E604" s="15"/>
      <c r="F604" s="14"/>
      <c r="G604" s="14"/>
      <c r="H604" s="17"/>
      <c r="I604" s="17"/>
      <c r="J604" s="17"/>
      <c r="K604" s="21"/>
      <c r="L604" s="17"/>
      <c r="M604" s="17"/>
      <c r="N604" s="14"/>
      <c r="O604" s="14"/>
      <c r="P604" s="14"/>
      <c r="Q604" s="14"/>
      <c r="R604" s="14"/>
      <c r="S604" s="10"/>
      <c r="T604" s="10"/>
      <c r="U604" s="10"/>
      <c r="V604" s="10"/>
      <c r="W604" s="10"/>
      <c r="X604" s="10"/>
      <c r="Y604" s="10"/>
      <c r="Z604" s="10"/>
      <c r="AA604" s="10"/>
      <c r="AB604" s="10"/>
      <c r="AC604" s="10"/>
      <c r="AD604" s="10"/>
      <c r="AE604" s="10"/>
      <c r="AF604" s="10"/>
      <c r="AG604" s="10"/>
      <c r="AH604" s="10"/>
    </row>
    <row r="605" spans="1:34" ht="15.75" customHeight="1">
      <c r="A605" s="13"/>
      <c r="B605" s="14"/>
      <c r="C605" s="14"/>
      <c r="D605" s="14"/>
      <c r="E605" s="15"/>
      <c r="F605" s="14"/>
      <c r="G605" s="14"/>
      <c r="H605" s="17"/>
      <c r="I605" s="17"/>
      <c r="J605" s="17"/>
      <c r="K605" s="21"/>
      <c r="L605" s="17"/>
      <c r="M605" s="17"/>
      <c r="N605" s="14"/>
      <c r="O605" s="14"/>
      <c r="P605" s="14"/>
      <c r="Q605" s="14"/>
      <c r="R605" s="14"/>
      <c r="S605" s="10"/>
      <c r="T605" s="10"/>
      <c r="U605" s="10"/>
      <c r="V605" s="10"/>
      <c r="W605" s="10"/>
      <c r="X605" s="10"/>
      <c r="Y605" s="10"/>
      <c r="Z605" s="10"/>
      <c r="AA605" s="10"/>
      <c r="AB605" s="10"/>
      <c r="AC605" s="10"/>
      <c r="AD605" s="10"/>
      <c r="AE605" s="10"/>
      <c r="AF605" s="10"/>
      <c r="AG605" s="10"/>
      <c r="AH605" s="10"/>
    </row>
    <row r="606" spans="1:34" ht="15.75" customHeight="1">
      <c r="A606" s="13"/>
      <c r="B606" s="14"/>
      <c r="C606" s="14"/>
      <c r="D606" s="14"/>
      <c r="E606" s="15"/>
      <c r="F606" s="14"/>
      <c r="G606" s="14"/>
      <c r="H606" s="17"/>
      <c r="I606" s="17"/>
      <c r="J606" s="17"/>
      <c r="K606" s="21"/>
      <c r="L606" s="17"/>
      <c r="M606" s="17"/>
      <c r="N606" s="14"/>
      <c r="O606" s="14"/>
      <c r="P606" s="14"/>
      <c r="Q606" s="14"/>
      <c r="R606" s="14"/>
      <c r="S606" s="10"/>
      <c r="T606" s="10"/>
      <c r="U606" s="10"/>
      <c r="V606" s="10"/>
      <c r="W606" s="10"/>
      <c r="X606" s="10"/>
      <c r="Y606" s="10"/>
      <c r="Z606" s="10"/>
      <c r="AA606" s="10"/>
      <c r="AB606" s="10"/>
      <c r="AC606" s="10"/>
      <c r="AD606" s="10"/>
      <c r="AE606" s="10"/>
      <c r="AF606" s="10"/>
      <c r="AG606" s="10"/>
      <c r="AH606" s="10"/>
    </row>
    <row r="607" spans="1:34" ht="15.75" customHeight="1">
      <c r="A607" s="13"/>
      <c r="B607" s="14"/>
      <c r="C607" s="14"/>
      <c r="D607" s="14"/>
      <c r="E607" s="15"/>
      <c r="F607" s="14"/>
      <c r="G607" s="14"/>
      <c r="H607" s="17"/>
      <c r="I607" s="17"/>
      <c r="J607" s="17"/>
      <c r="K607" s="21"/>
      <c r="L607" s="17"/>
      <c r="M607" s="17"/>
      <c r="N607" s="14"/>
      <c r="O607" s="14"/>
      <c r="P607" s="14"/>
      <c r="Q607" s="14"/>
      <c r="R607" s="14"/>
      <c r="S607" s="10"/>
      <c r="T607" s="10"/>
      <c r="U607" s="10"/>
      <c r="V607" s="10"/>
      <c r="W607" s="10"/>
      <c r="X607" s="10"/>
      <c r="Y607" s="10"/>
      <c r="Z607" s="10"/>
      <c r="AA607" s="10"/>
      <c r="AB607" s="10"/>
      <c r="AC607" s="10"/>
      <c r="AD607" s="10"/>
      <c r="AE607" s="10"/>
      <c r="AF607" s="10"/>
      <c r="AG607" s="10"/>
      <c r="AH607" s="10"/>
    </row>
    <row r="608" spans="1:34" ht="15.75" customHeight="1">
      <c r="A608" s="13"/>
      <c r="B608" s="14"/>
      <c r="C608" s="14"/>
      <c r="D608" s="14"/>
      <c r="E608" s="15"/>
      <c r="F608" s="14"/>
      <c r="G608" s="14"/>
      <c r="H608" s="17"/>
      <c r="I608" s="17"/>
      <c r="J608" s="17"/>
      <c r="K608" s="21"/>
      <c r="L608" s="17"/>
      <c r="M608" s="17"/>
      <c r="N608" s="14"/>
      <c r="O608" s="14"/>
      <c r="P608" s="14"/>
      <c r="Q608" s="14"/>
      <c r="R608" s="14"/>
      <c r="S608" s="10"/>
      <c r="T608" s="10"/>
      <c r="U608" s="10"/>
      <c r="V608" s="10"/>
      <c r="W608" s="10"/>
      <c r="X608" s="10"/>
      <c r="Y608" s="10"/>
      <c r="Z608" s="10"/>
      <c r="AA608" s="10"/>
      <c r="AB608" s="10"/>
      <c r="AC608" s="10"/>
      <c r="AD608" s="10"/>
      <c r="AE608" s="10"/>
      <c r="AF608" s="10"/>
      <c r="AG608" s="10"/>
      <c r="AH608" s="10"/>
    </row>
    <row r="609" spans="1:34" ht="15.75" customHeight="1">
      <c r="A609" s="13"/>
      <c r="B609" s="14"/>
      <c r="C609" s="14"/>
      <c r="D609" s="14"/>
      <c r="E609" s="15"/>
      <c r="F609" s="14"/>
      <c r="G609" s="14"/>
      <c r="H609" s="17"/>
      <c r="I609" s="17"/>
      <c r="J609" s="17"/>
      <c r="K609" s="21"/>
      <c r="L609" s="17"/>
      <c r="M609" s="17"/>
      <c r="N609" s="14"/>
      <c r="O609" s="14"/>
      <c r="P609" s="14"/>
      <c r="Q609" s="14"/>
      <c r="R609" s="14"/>
      <c r="S609" s="10"/>
      <c r="T609" s="10"/>
      <c r="U609" s="10"/>
      <c r="V609" s="10"/>
      <c r="W609" s="10"/>
      <c r="X609" s="10"/>
      <c r="Y609" s="10"/>
      <c r="Z609" s="10"/>
      <c r="AA609" s="10"/>
      <c r="AB609" s="10"/>
      <c r="AC609" s="10"/>
      <c r="AD609" s="10"/>
      <c r="AE609" s="10"/>
      <c r="AF609" s="10"/>
      <c r="AG609" s="10"/>
      <c r="AH609" s="10"/>
    </row>
    <row r="610" spans="1:34" ht="15.75" customHeight="1">
      <c r="A610" s="13"/>
      <c r="B610" s="14"/>
      <c r="C610" s="14"/>
      <c r="D610" s="14"/>
      <c r="E610" s="15"/>
      <c r="F610" s="14"/>
      <c r="G610" s="14"/>
      <c r="H610" s="17"/>
      <c r="I610" s="17"/>
      <c r="J610" s="17"/>
      <c r="K610" s="21"/>
      <c r="L610" s="17"/>
      <c r="M610" s="17"/>
      <c r="N610" s="14"/>
      <c r="O610" s="14"/>
      <c r="P610" s="14"/>
      <c r="Q610" s="14"/>
      <c r="R610" s="14"/>
      <c r="S610" s="10"/>
      <c r="T610" s="10"/>
      <c r="U610" s="10"/>
      <c r="V610" s="10"/>
      <c r="W610" s="10"/>
      <c r="X610" s="10"/>
      <c r="Y610" s="10"/>
      <c r="Z610" s="10"/>
      <c r="AA610" s="10"/>
      <c r="AB610" s="10"/>
      <c r="AC610" s="10"/>
      <c r="AD610" s="10"/>
      <c r="AE610" s="10"/>
      <c r="AF610" s="10"/>
      <c r="AG610" s="10"/>
      <c r="AH610" s="10"/>
    </row>
    <row r="611" spans="1:34" ht="15.75" customHeight="1">
      <c r="A611" s="13"/>
      <c r="B611" s="14"/>
      <c r="C611" s="14"/>
      <c r="D611" s="14"/>
      <c r="E611" s="15"/>
      <c r="F611" s="14"/>
      <c r="G611" s="14"/>
      <c r="H611" s="17"/>
      <c r="I611" s="17"/>
      <c r="J611" s="17"/>
      <c r="K611" s="21"/>
      <c r="L611" s="17"/>
      <c r="M611" s="17"/>
      <c r="N611" s="14"/>
      <c r="O611" s="14"/>
      <c r="P611" s="14"/>
      <c r="Q611" s="14"/>
      <c r="R611" s="14"/>
      <c r="S611" s="10"/>
      <c r="T611" s="10"/>
      <c r="U611" s="10"/>
      <c r="V611" s="10"/>
      <c r="W611" s="10"/>
      <c r="X611" s="10"/>
      <c r="Y611" s="10"/>
      <c r="Z611" s="10"/>
      <c r="AA611" s="10"/>
      <c r="AB611" s="10"/>
      <c r="AC611" s="10"/>
      <c r="AD611" s="10"/>
      <c r="AE611" s="10"/>
      <c r="AF611" s="10"/>
      <c r="AG611" s="10"/>
      <c r="AH611" s="10"/>
    </row>
    <row r="612" spans="1:34" ht="15.75" customHeight="1">
      <c r="A612" s="13"/>
      <c r="B612" s="14"/>
      <c r="C612" s="14"/>
      <c r="D612" s="14"/>
      <c r="E612" s="15"/>
      <c r="F612" s="14"/>
      <c r="G612" s="14"/>
      <c r="H612" s="17"/>
      <c r="I612" s="17"/>
      <c r="J612" s="17"/>
      <c r="K612" s="21"/>
      <c r="L612" s="17"/>
      <c r="M612" s="17"/>
      <c r="N612" s="14"/>
      <c r="O612" s="14"/>
      <c r="P612" s="14"/>
      <c r="Q612" s="14"/>
      <c r="R612" s="14"/>
      <c r="S612" s="10"/>
      <c r="T612" s="10"/>
      <c r="U612" s="10"/>
      <c r="V612" s="10"/>
      <c r="W612" s="10"/>
      <c r="X612" s="10"/>
      <c r="Y612" s="10"/>
      <c r="Z612" s="10"/>
      <c r="AA612" s="10"/>
      <c r="AB612" s="10"/>
      <c r="AC612" s="10"/>
      <c r="AD612" s="10"/>
      <c r="AE612" s="10"/>
      <c r="AF612" s="10"/>
      <c r="AG612" s="10"/>
      <c r="AH612" s="10"/>
    </row>
    <row r="613" spans="1:34" ht="15.75" customHeight="1">
      <c r="A613" s="13"/>
      <c r="B613" s="14"/>
      <c r="C613" s="14"/>
      <c r="D613" s="14"/>
      <c r="E613" s="15"/>
      <c r="F613" s="14"/>
      <c r="G613" s="14"/>
      <c r="H613" s="17"/>
      <c r="I613" s="17"/>
      <c r="J613" s="17"/>
      <c r="K613" s="21"/>
      <c r="L613" s="17"/>
      <c r="M613" s="17"/>
      <c r="N613" s="14"/>
      <c r="O613" s="14"/>
      <c r="P613" s="14"/>
      <c r="Q613" s="14"/>
      <c r="R613" s="14"/>
      <c r="S613" s="10"/>
      <c r="T613" s="10"/>
      <c r="U613" s="10"/>
      <c r="V613" s="10"/>
      <c r="W613" s="10"/>
      <c r="X613" s="10"/>
      <c r="Y613" s="10"/>
      <c r="Z613" s="10"/>
      <c r="AA613" s="10"/>
      <c r="AB613" s="10"/>
      <c r="AC613" s="10"/>
      <c r="AD613" s="10"/>
      <c r="AE613" s="10"/>
      <c r="AF613" s="10"/>
      <c r="AG613" s="10"/>
      <c r="AH613" s="10"/>
    </row>
    <row r="614" spans="1:34" ht="15.75" customHeight="1">
      <c r="A614" s="13"/>
      <c r="B614" s="14"/>
      <c r="C614" s="14"/>
      <c r="D614" s="14"/>
      <c r="E614" s="15"/>
      <c r="F614" s="14"/>
      <c r="G614" s="14"/>
      <c r="H614" s="17"/>
      <c r="I614" s="17"/>
      <c r="J614" s="17"/>
      <c r="K614" s="21"/>
      <c r="L614" s="17"/>
      <c r="M614" s="17"/>
      <c r="N614" s="14"/>
      <c r="O614" s="14"/>
      <c r="P614" s="14"/>
      <c r="Q614" s="14"/>
      <c r="R614" s="14"/>
      <c r="S614" s="10"/>
      <c r="T614" s="10"/>
      <c r="U614" s="10"/>
      <c r="V614" s="10"/>
      <c r="W614" s="10"/>
      <c r="X614" s="10"/>
      <c r="Y614" s="10"/>
      <c r="Z614" s="10"/>
      <c r="AA614" s="10"/>
      <c r="AB614" s="10"/>
      <c r="AC614" s="10"/>
      <c r="AD614" s="10"/>
      <c r="AE614" s="10"/>
      <c r="AF614" s="10"/>
      <c r="AG614" s="10"/>
      <c r="AH614" s="10"/>
    </row>
    <row r="615" spans="1:34" ht="15.75" customHeight="1">
      <c r="A615" s="13"/>
      <c r="B615" s="14"/>
      <c r="C615" s="14"/>
      <c r="D615" s="14"/>
      <c r="E615" s="15"/>
      <c r="F615" s="14"/>
      <c r="G615" s="14"/>
      <c r="H615" s="17"/>
      <c r="I615" s="17"/>
      <c r="J615" s="17"/>
      <c r="K615" s="21"/>
      <c r="L615" s="17"/>
      <c r="M615" s="17"/>
      <c r="N615" s="14"/>
      <c r="O615" s="14"/>
      <c r="P615" s="14"/>
      <c r="Q615" s="14"/>
      <c r="R615" s="14"/>
      <c r="S615" s="10"/>
      <c r="T615" s="10"/>
      <c r="U615" s="10"/>
      <c r="V615" s="10"/>
      <c r="W615" s="10"/>
      <c r="X615" s="10"/>
      <c r="Y615" s="10"/>
      <c r="Z615" s="10"/>
      <c r="AA615" s="10"/>
      <c r="AB615" s="10"/>
      <c r="AC615" s="10"/>
      <c r="AD615" s="10"/>
      <c r="AE615" s="10"/>
      <c r="AF615" s="10"/>
      <c r="AG615" s="10"/>
      <c r="AH615" s="10"/>
    </row>
    <row r="616" spans="1:34" ht="15.75" customHeight="1">
      <c r="A616" s="13"/>
      <c r="B616" s="14"/>
      <c r="C616" s="14"/>
      <c r="D616" s="14"/>
      <c r="E616" s="15"/>
      <c r="F616" s="14"/>
      <c r="G616" s="14"/>
      <c r="H616" s="17"/>
      <c r="I616" s="17"/>
      <c r="J616" s="17"/>
      <c r="K616" s="21"/>
      <c r="L616" s="17"/>
      <c r="M616" s="17"/>
      <c r="N616" s="14"/>
      <c r="O616" s="14"/>
      <c r="P616" s="14"/>
      <c r="Q616" s="14"/>
      <c r="R616" s="14"/>
      <c r="S616" s="10"/>
      <c r="T616" s="10"/>
      <c r="U616" s="10"/>
      <c r="V616" s="10"/>
      <c r="W616" s="10"/>
      <c r="X616" s="10"/>
      <c r="Y616" s="10"/>
      <c r="Z616" s="10"/>
      <c r="AA616" s="10"/>
      <c r="AB616" s="10"/>
      <c r="AC616" s="10"/>
      <c r="AD616" s="10"/>
      <c r="AE616" s="10"/>
      <c r="AF616" s="10"/>
      <c r="AG616" s="10"/>
      <c r="AH616" s="10"/>
    </row>
    <row r="617" spans="1:34" ht="15.75" customHeight="1">
      <c r="A617" s="13"/>
      <c r="B617" s="14"/>
      <c r="C617" s="14"/>
      <c r="D617" s="14"/>
      <c r="E617" s="15"/>
      <c r="F617" s="14"/>
      <c r="G617" s="14"/>
      <c r="H617" s="17"/>
      <c r="I617" s="17"/>
      <c r="J617" s="17"/>
      <c r="K617" s="21"/>
      <c r="L617" s="17"/>
      <c r="M617" s="17"/>
      <c r="N617" s="14"/>
      <c r="O617" s="14"/>
      <c r="P617" s="14"/>
      <c r="Q617" s="14"/>
      <c r="R617" s="14"/>
      <c r="S617" s="10"/>
      <c r="T617" s="10"/>
      <c r="U617" s="10"/>
      <c r="V617" s="10"/>
      <c r="W617" s="10"/>
      <c r="X617" s="10"/>
      <c r="Y617" s="10"/>
      <c r="Z617" s="10"/>
      <c r="AA617" s="10"/>
      <c r="AB617" s="10"/>
      <c r="AC617" s="10"/>
      <c r="AD617" s="10"/>
      <c r="AE617" s="10"/>
      <c r="AF617" s="10"/>
      <c r="AG617" s="10"/>
      <c r="AH617" s="10"/>
    </row>
    <row r="618" spans="1:34" ht="15.75" customHeight="1">
      <c r="A618" s="13"/>
      <c r="B618" s="14"/>
      <c r="C618" s="14"/>
      <c r="D618" s="14"/>
      <c r="E618" s="15"/>
      <c r="F618" s="14"/>
      <c r="G618" s="14"/>
      <c r="H618" s="17"/>
      <c r="I618" s="17"/>
      <c r="J618" s="17"/>
      <c r="K618" s="21"/>
      <c r="L618" s="17"/>
      <c r="M618" s="17"/>
      <c r="N618" s="14"/>
      <c r="O618" s="14"/>
      <c r="P618" s="14"/>
      <c r="Q618" s="14"/>
      <c r="R618" s="14"/>
      <c r="S618" s="10"/>
      <c r="T618" s="10"/>
      <c r="U618" s="10"/>
      <c r="V618" s="10"/>
      <c r="W618" s="10"/>
      <c r="X618" s="10"/>
      <c r="Y618" s="10"/>
      <c r="Z618" s="10"/>
      <c r="AA618" s="10"/>
      <c r="AB618" s="10"/>
      <c r="AC618" s="10"/>
      <c r="AD618" s="10"/>
      <c r="AE618" s="10"/>
      <c r="AF618" s="10"/>
      <c r="AG618" s="10"/>
      <c r="AH618" s="10"/>
    </row>
    <row r="619" spans="1:34" ht="15.75" customHeight="1">
      <c r="A619" s="13"/>
      <c r="B619" s="14"/>
      <c r="C619" s="14"/>
      <c r="D619" s="14"/>
      <c r="E619" s="15"/>
      <c r="F619" s="14"/>
      <c r="G619" s="14"/>
      <c r="H619" s="17"/>
      <c r="I619" s="17"/>
      <c r="J619" s="17"/>
      <c r="K619" s="21"/>
      <c r="L619" s="17"/>
      <c r="M619" s="17"/>
      <c r="N619" s="14"/>
      <c r="O619" s="14"/>
      <c r="P619" s="14"/>
      <c r="Q619" s="14"/>
      <c r="R619" s="14"/>
      <c r="S619" s="10"/>
      <c r="T619" s="10"/>
      <c r="U619" s="10"/>
      <c r="V619" s="10"/>
      <c r="W619" s="10"/>
      <c r="X619" s="10"/>
      <c r="Y619" s="10"/>
      <c r="Z619" s="10"/>
      <c r="AA619" s="10"/>
      <c r="AB619" s="10"/>
      <c r="AC619" s="10"/>
      <c r="AD619" s="10"/>
      <c r="AE619" s="10"/>
      <c r="AF619" s="10"/>
      <c r="AG619" s="10"/>
      <c r="AH619" s="10"/>
    </row>
    <row r="620" spans="1:34" ht="15.75" customHeight="1">
      <c r="A620" s="13"/>
      <c r="B620" s="14"/>
      <c r="C620" s="14"/>
      <c r="D620" s="14"/>
      <c r="E620" s="15"/>
      <c r="F620" s="14"/>
      <c r="G620" s="14"/>
      <c r="H620" s="17"/>
      <c r="I620" s="17"/>
      <c r="J620" s="17"/>
      <c r="K620" s="21"/>
      <c r="L620" s="17"/>
      <c r="M620" s="17"/>
      <c r="N620" s="14"/>
      <c r="O620" s="14"/>
      <c r="P620" s="14"/>
      <c r="Q620" s="14"/>
      <c r="R620" s="14"/>
      <c r="S620" s="10"/>
      <c r="T620" s="10"/>
      <c r="U620" s="10"/>
      <c r="V620" s="10"/>
      <c r="W620" s="10"/>
      <c r="X620" s="10"/>
      <c r="Y620" s="10"/>
      <c r="Z620" s="10"/>
      <c r="AA620" s="10"/>
      <c r="AB620" s="10"/>
      <c r="AC620" s="10"/>
      <c r="AD620" s="10"/>
      <c r="AE620" s="10"/>
      <c r="AF620" s="10"/>
      <c r="AG620" s="10"/>
      <c r="AH620" s="10"/>
    </row>
    <row r="621" spans="1:34" ht="15.75" customHeight="1">
      <c r="A621" s="13"/>
      <c r="B621" s="14"/>
      <c r="C621" s="14"/>
      <c r="D621" s="14"/>
      <c r="E621" s="15"/>
      <c r="F621" s="14"/>
      <c r="G621" s="14"/>
      <c r="H621" s="17"/>
      <c r="I621" s="17"/>
      <c r="J621" s="17"/>
      <c r="K621" s="21"/>
      <c r="L621" s="17"/>
      <c r="M621" s="17"/>
      <c r="N621" s="14"/>
      <c r="O621" s="14"/>
      <c r="P621" s="14"/>
      <c r="Q621" s="14"/>
      <c r="R621" s="14"/>
      <c r="S621" s="10"/>
      <c r="T621" s="10"/>
      <c r="U621" s="10"/>
      <c r="V621" s="10"/>
      <c r="W621" s="10"/>
      <c r="X621" s="10"/>
      <c r="Y621" s="10"/>
      <c r="Z621" s="10"/>
      <c r="AA621" s="10"/>
      <c r="AB621" s="10"/>
      <c r="AC621" s="10"/>
      <c r="AD621" s="10"/>
      <c r="AE621" s="10"/>
      <c r="AF621" s="10"/>
      <c r="AG621" s="10"/>
      <c r="AH621" s="10"/>
    </row>
    <row r="622" spans="1:34" ht="15.75" customHeight="1">
      <c r="A622" s="13"/>
      <c r="B622" s="14"/>
      <c r="C622" s="14"/>
      <c r="D622" s="14"/>
      <c r="E622" s="15"/>
      <c r="F622" s="14"/>
      <c r="G622" s="14"/>
      <c r="H622" s="17"/>
      <c r="I622" s="17"/>
      <c r="J622" s="17"/>
      <c r="K622" s="21"/>
      <c r="L622" s="17"/>
      <c r="M622" s="17"/>
      <c r="N622" s="14"/>
      <c r="O622" s="14"/>
      <c r="P622" s="14"/>
      <c r="Q622" s="14"/>
      <c r="R622" s="14"/>
      <c r="S622" s="10"/>
      <c r="T622" s="10"/>
      <c r="U622" s="10"/>
      <c r="V622" s="10"/>
      <c r="W622" s="10"/>
      <c r="X622" s="10"/>
      <c r="Y622" s="10"/>
      <c r="Z622" s="10"/>
      <c r="AA622" s="10"/>
      <c r="AB622" s="10"/>
      <c r="AC622" s="10"/>
      <c r="AD622" s="10"/>
      <c r="AE622" s="10"/>
      <c r="AF622" s="10"/>
      <c r="AG622" s="10"/>
      <c r="AH622" s="10"/>
    </row>
    <row r="623" spans="1:34" ht="15.75" customHeight="1">
      <c r="A623" s="13"/>
      <c r="B623" s="14"/>
      <c r="C623" s="14"/>
      <c r="D623" s="14"/>
      <c r="E623" s="15"/>
      <c r="F623" s="14"/>
      <c r="G623" s="14"/>
      <c r="H623" s="17"/>
      <c r="I623" s="17"/>
      <c r="J623" s="17"/>
      <c r="K623" s="21"/>
      <c r="L623" s="17"/>
      <c r="M623" s="17"/>
      <c r="N623" s="14"/>
      <c r="O623" s="14"/>
      <c r="P623" s="14"/>
      <c r="Q623" s="14"/>
      <c r="R623" s="14"/>
      <c r="S623" s="10"/>
      <c r="T623" s="10"/>
      <c r="U623" s="10"/>
      <c r="V623" s="10"/>
      <c r="W623" s="10"/>
      <c r="X623" s="10"/>
      <c r="Y623" s="10"/>
      <c r="Z623" s="10"/>
      <c r="AA623" s="10"/>
      <c r="AB623" s="10"/>
      <c r="AC623" s="10"/>
      <c r="AD623" s="10"/>
      <c r="AE623" s="10"/>
      <c r="AF623" s="10"/>
      <c r="AG623" s="10"/>
      <c r="AH623" s="10"/>
    </row>
    <row r="624" spans="1:34" ht="15.75" customHeight="1">
      <c r="A624" s="13"/>
      <c r="B624" s="14"/>
      <c r="C624" s="14"/>
      <c r="D624" s="14"/>
      <c r="E624" s="15"/>
      <c r="F624" s="14"/>
      <c r="G624" s="14"/>
      <c r="H624" s="17"/>
      <c r="I624" s="17"/>
      <c r="J624" s="17"/>
      <c r="K624" s="21"/>
      <c r="L624" s="17"/>
      <c r="M624" s="17"/>
      <c r="N624" s="14"/>
      <c r="O624" s="14"/>
      <c r="P624" s="14"/>
      <c r="Q624" s="14"/>
      <c r="R624" s="14"/>
      <c r="S624" s="10"/>
      <c r="T624" s="10"/>
      <c r="U624" s="10"/>
      <c r="V624" s="10"/>
      <c r="W624" s="10"/>
      <c r="X624" s="10"/>
      <c r="Y624" s="10"/>
      <c r="Z624" s="10"/>
      <c r="AA624" s="10"/>
      <c r="AB624" s="10"/>
      <c r="AC624" s="10"/>
      <c r="AD624" s="10"/>
      <c r="AE624" s="10"/>
      <c r="AF624" s="10"/>
      <c r="AG624" s="10"/>
      <c r="AH624" s="10"/>
    </row>
    <row r="625" spans="1:34" ht="15.75" customHeight="1">
      <c r="A625" s="13"/>
      <c r="B625" s="14"/>
      <c r="C625" s="14"/>
      <c r="D625" s="14"/>
      <c r="E625" s="15"/>
      <c r="F625" s="14"/>
      <c r="G625" s="14"/>
      <c r="H625" s="17"/>
      <c r="I625" s="17"/>
      <c r="J625" s="17"/>
      <c r="K625" s="21"/>
      <c r="L625" s="17"/>
      <c r="M625" s="17"/>
      <c r="N625" s="14"/>
      <c r="O625" s="14"/>
      <c r="P625" s="14"/>
      <c r="Q625" s="14"/>
      <c r="R625" s="14"/>
      <c r="S625" s="10"/>
      <c r="T625" s="10"/>
      <c r="U625" s="10"/>
      <c r="V625" s="10"/>
      <c r="W625" s="10"/>
      <c r="X625" s="10"/>
      <c r="Y625" s="10"/>
      <c r="Z625" s="10"/>
      <c r="AA625" s="10"/>
      <c r="AB625" s="10"/>
      <c r="AC625" s="10"/>
      <c r="AD625" s="10"/>
      <c r="AE625" s="10"/>
      <c r="AF625" s="10"/>
      <c r="AG625" s="10"/>
      <c r="AH625" s="10"/>
    </row>
    <row r="626" spans="1:34" ht="15.75" customHeight="1">
      <c r="A626" s="13"/>
      <c r="B626" s="14"/>
      <c r="C626" s="14"/>
      <c r="D626" s="14"/>
      <c r="E626" s="15"/>
      <c r="F626" s="14"/>
      <c r="G626" s="14"/>
      <c r="H626" s="17"/>
      <c r="I626" s="17"/>
      <c r="J626" s="17"/>
      <c r="K626" s="21"/>
      <c r="L626" s="17"/>
      <c r="M626" s="17"/>
      <c r="N626" s="14"/>
      <c r="O626" s="14"/>
      <c r="P626" s="14"/>
      <c r="Q626" s="14"/>
      <c r="R626" s="14"/>
      <c r="S626" s="10"/>
      <c r="T626" s="10"/>
      <c r="U626" s="10"/>
      <c r="V626" s="10"/>
      <c r="W626" s="10"/>
      <c r="X626" s="10"/>
      <c r="Y626" s="10"/>
      <c r="Z626" s="10"/>
      <c r="AA626" s="10"/>
      <c r="AB626" s="10"/>
      <c r="AC626" s="10"/>
      <c r="AD626" s="10"/>
      <c r="AE626" s="10"/>
      <c r="AF626" s="10"/>
      <c r="AG626" s="10"/>
      <c r="AH626" s="10"/>
    </row>
    <row r="627" spans="1:34" ht="15.75" customHeight="1">
      <c r="A627" s="13"/>
      <c r="B627" s="14"/>
      <c r="C627" s="14"/>
      <c r="D627" s="14"/>
      <c r="E627" s="15"/>
      <c r="F627" s="14"/>
      <c r="G627" s="14"/>
      <c r="H627" s="17"/>
      <c r="I627" s="17"/>
      <c r="J627" s="17"/>
      <c r="K627" s="21"/>
      <c r="L627" s="17"/>
      <c r="M627" s="17"/>
      <c r="N627" s="14"/>
      <c r="O627" s="14"/>
      <c r="P627" s="14"/>
      <c r="Q627" s="14"/>
      <c r="R627" s="14"/>
      <c r="S627" s="10"/>
      <c r="T627" s="10"/>
      <c r="U627" s="10"/>
      <c r="V627" s="10"/>
      <c r="W627" s="10"/>
      <c r="X627" s="10"/>
      <c r="Y627" s="10"/>
      <c r="Z627" s="10"/>
      <c r="AA627" s="10"/>
      <c r="AB627" s="10"/>
      <c r="AC627" s="10"/>
      <c r="AD627" s="10"/>
      <c r="AE627" s="10"/>
      <c r="AF627" s="10"/>
      <c r="AG627" s="10"/>
      <c r="AH627" s="10"/>
    </row>
    <row r="628" spans="1:34" ht="15.75" customHeight="1">
      <c r="A628" s="13"/>
      <c r="B628" s="14"/>
      <c r="C628" s="14"/>
      <c r="D628" s="14"/>
      <c r="E628" s="15"/>
      <c r="F628" s="14"/>
      <c r="G628" s="14"/>
      <c r="H628" s="17"/>
      <c r="I628" s="17"/>
      <c r="J628" s="17"/>
      <c r="K628" s="21"/>
      <c r="L628" s="17"/>
      <c r="M628" s="17"/>
      <c r="N628" s="14"/>
      <c r="O628" s="14"/>
      <c r="P628" s="14"/>
      <c r="Q628" s="14"/>
      <c r="R628" s="14"/>
      <c r="S628" s="10"/>
      <c r="T628" s="10"/>
      <c r="U628" s="10"/>
      <c r="V628" s="10"/>
      <c r="W628" s="10"/>
      <c r="X628" s="10"/>
      <c r="Y628" s="10"/>
      <c r="Z628" s="10"/>
      <c r="AA628" s="10"/>
      <c r="AB628" s="10"/>
      <c r="AC628" s="10"/>
      <c r="AD628" s="10"/>
      <c r="AE628" s="10"/>
      <c r="AF628" s="10"/>
      <c r="AG628" s="10"/>
      <c r="AH628" s="10"/>
    </row>
    <row r="629" spans="1:34" ht="15.75" customHeight="1">
      <c r="A629" s="13"/>
      <c r="B629" s="14"/>
      <c r="C629" s="14"/>
      <c r="D629" s="14"/>
      <c r="E629" s="15"/>
      <c r="F629" s="14"/>
      <c r="G629" s="14"/>
      <c r="H629" s="17"/>
      <c r="I629" s="17"/>
      <c r="J629" s="17"/>
      <c r="K629" s="21"/>
      <c r="L629" s="17"/>
      <c r="M629" s="17"/>
      <c r="N629" s="14"/>
      <c r="O629" s="14"/>
      <c r="P629" s="14"/>
      <c r="Q629" s="14"/>
      <c r="R629" s="14"/>
      <c r="S629" s="10"/>
      <c r="T629" s="10"/>
      <c r="U629" s="10"/>
      <c r="V629" s="10"/>
      <c r="W629" s="10"/>
      <c r="X629" s="10"/>
      <c r="Y629" s="10"/>
      <c r="Z629" s="10"/>
      <c r="AA629" s="10"/>
      <c r="AB629" s="10"/>
      <c r="AC629" s="10"/>
      <c r="AD629" s="10"/>
      <c r="AE629" s="10"/>
      <c r="AF629" s="10"/>
      <c r="AG629" s="10"/>
      <c r="AH629" s="10"/>
    </row>
    <row r="630" spans="1:34" ht="15.75" customHeight="1">
      <c r="A630" s="13"/>
      <c r="B630" s="14"/>
      <c r="C630" s="14"/>
      <c r="D630" s="14"/>
      <c r="E630" s="15"/>
      <c r="F630" s="14"/>
      <c r="G630" s="14"/>
      <c r="H630" s="17"/>
      <c r="I630" s="17"/>
      <c r="J630" s="17"/>
      <c r="K630" s="21"/>
      <c r="L630" s="17"/>
      <c r="M630" s="17"/>
      <c r="N630" s="14"/>
      <c r="O630" s="14"/>
      <c r="P630" s="14"/>
      <c r="Q630" s="14"/>
      <c r="R630" s="14"/>
      <c r="S630" s="10"/>
      <c r="T630" s="10"/>
      <c r="U630" s="10"/>
      <c r="V630" s="10"/>
      <c r="W630" s="10"/>
      <c r="X630" s="10"/>
      <c r="Y630" s="10"/>
      <c r="Z630" s="10"/>
      <c r="AA630" s="10"/>
      <c r="AB630" s="10"/>
      <c r="AC630" s="10"/>
      <c r="AD630" s="10"/>
      <c r="AE630" s="10"/>
      <c r="AF630" s="10"/>
      <c r="AG630" s="10"/>
      <c r="AH630" s="10"/>
    </row>
    <row r="631" spans="1:34" ht="15.75" customHeight="1">
      <c r="A631" s="13"/>
      <c r="B631" s="14"/>
      <c r="C631" s="14"/>
      <c r="D631" s="14"/>
      <c r="E631" s="15"/>
      <c r="F631" s="14"/>
      <c r="G631" s="14"/>
      <c r="H631" s="17"/>
      <c r="I631" s="17"/>
      <c r="J631" s="17"/>
      <c r="K631" s="21"/>
      <c r="L631" s="17"/>
      <c r="M631" s="17"/>
      <c r="N631" s="14"/>
      <c r="O631" s="14"/>
      <c r="P631" s="14"/>
      <c r="Q631" s="14"/>
      <c r="R631" s="14"/>
      <c r="S631" s="10"/>
      <c r="T631" s="10"/>
      <c r="U631" s="10"/>
      <c r="V631" s="10"/>
      <c r="W631" s="10"/>
      <c r="X631" s="10"/>
      <c r="Y631" s="10"/>
      <c r="Z631" s="10"/>
      <c r="AA631" s="10"/>
      <c r="AB631" s="10"/>
      <c r="AC631" s="10"/>
      <c r="AD631" s="10"/>
      <c r="AE631" s="10"/>
      <c r="AF631" s="10"/>
      <c r="AG631" s="10"/>
      <c r="AH631" s="10"/>
    </row>
    <row r="632" spans="1:34" ht="15.75" customHeight="1">
      <c r="A632" s="13"/>
      <c r="B632" s="14"/>
      <c r="C632" s="14"/>
      <c r="D632" s="14"/>
      <c r="E632" s="15"/>
      <c r="F632" s="14"/>
      <c r="G632" s="14"/>
      <c r="H632" s="17"/>
      <c r="I632" s="17"/>
      <c r="J632" s="17"/>
      <c r="K632" s="21"/>
      <c r="L632" s="17"/>
      <c r="M632" s="17"/>
      <c r="N632" s="14"/>
      <c r="O632" s="14"/>
      <c r="P632" s="14"/>
      <c r="Q632" s="14"/>
      <c r="R632" s="14"/>
      <c r="S632" s="10"/>
      <c r="T632" s="10"/>
      <c r="U632" s="10"/>
      <c r="V632" s="10"/>
      <c r="W632" s="10"/>
      <c r="X632" s="10"/>
      <c r="Y632" s="10"/>
      <c r="Z632" s="10"/>
      <c r="AA632" s="10"/>
      <c r="AB632" s="10"/>
      <c r="AC632" s="10"/>
      <c r="AD632" s="10"/>
      <c r="AE632" s="10"/>
      <c r="AF632" s="10"/>
      <c r="AG632" s="10"/>
      <c r="AH632" s="10"/>
    </row>
    <row r="633" spans="1:34" ht="15.75" customHeight="1">
      <c r="A633" s="13"/>
      <c r="B633" s="14"/>
      <c r="C633" s="14"/>
      <c r="D633" s="14"/>
      <c r="E633" s="15"/>
      <c r="F633" s="14"/>
      <c r="G633" s="14"/>
      <c r="H633" s="17"/>
      <c r="I633" s="17"/>
      <c r="J633" s="17"/>
      <c r="K633" s="21"/>
      <c r="L633" s="17"/>
      <c r="M633" s="17"/>
      <c r="N633" s="14"/>
      <c r="O633" s="14"/>
      <c r="P633" s="14"/>
      <c r="Q633" s="14"/>
      <c r="R633" s="14"/>
      <c r="S633" s="10"/>
      <c r="T633" s="10"/>
      <c r="U633" s="10"/>
      <c r="V633" s="10"/>
      <c r="W633" s="10"/>
      <c r="X633" s="10"/>
      <c r="Y633" s="10"/>
      <c r="Z633" s="10"/>
      <c r="AA633" s="10"/>
      <c r="AB633" s="10"/>
      <c r="AC633" s="10"/>
      <c r="AD633" s="10"/>
      <c r="AE633" s="10"/>
      <c r="AF633" s="10"/>
      <c r="AG633" s="10"/>
      <c r="AH633" s="10"/>
    </row>
    <row r="634" spans="1:34" ht="15.75" customHeight="1">
      <c r="A634" s="13"/>
      <c r="B634" s="14"/>
      <c r="C634" s="14"/>
      <c r="D634" s="14"/>
      <c r="E634" s="15"/>
      <c r="F634" s="14"/>
      <c r="G634" s="14"/>
      <c r="H634" s="17"/>
      <c r="I634" s="17"/>
      <c r="J634" s="17"/>
      <c r="K634" s="21"/>
      <c r="L634" s="17"/>
      <c r="M634" s="17"/>
      <c r="N634" s="14"/>
      <c r="O634" s="14"/>
      <c r="P634" s="14"/>
      <c r="Q634" s="14"/>
      <c r="R634" s="14"/>
      <c r="S634" s="10"/>
      <c r="T634" s="10"/>
      <c r="U634" s="10"/>
      <c r="V634" s="10"/>
      <c r="W634" s="10"/>
      <c r="X634" s="10"/>
      <c r="Y634" s="10"/>
      <c r="Z634" s="10"/>
      <c r="AA634" s="10"/>
      <c r="AB634" s="10"/>
      <c r="AC634" s="10"/>
      <c r="AD634" s="10"/>
      <c r="AE634" s="10"/>
      <c r="AF634" s="10"/>
      <c r="AG634" s="10"/>
      <c r="AH634" s="10"/>
    </row>
    <row r="635" spans="1:34" ht="15.75" customHeight="1">
      <c r="A635" s="13"/>
      <c r="B635" s="14"/>
      <c r="C635" s="14"/>
      <c r="D635" s="14"/>
      <c r="E635" s="15"/>
      <c r="F635" s="14"/>
      <c r="G635" s="14"/>
      <c r="H635" s="17"/>
      <c r="I635" s="17"/>
      <c r="J635" s="17"/>
      <c r="K635" s="21"/>
      <c r="L635" s="17"/>
      <c r="M635" s="17"/>
      <c r="N635" s="14"/>
      <c r="O635" s="14"/>
      <c r="P635" s="14"/>
      <c r="Q635" s="14"/>
      <c r="R635" s="14"/>
      <c r="S635" s="10"/>
      <c r="T635" s="10"/>
      <c r="U635" s="10"/>
      <c r="V635" s="10"/>
      <c r="W635" s="10"/>
      <c r="X635" s="10"/>
      <c r="Y635" s="10"/>
      <c r="Z635" s="10"/>
      <c r="AA635" s="10"/>
      <c r="AB635" s="10"/>
      <c r="AC635" s="10"/>
      <c r="AD635" s="10"/>
      <c r="AE635" s="10"/>
      <c r="AF635" s="10"/>
      <c r="AG635" s="10"/>
      <c r="AH635" s="10"/>
    </row>
    <row r="636" spans="1:34" ht="15.75" customHeight="1">
      <c r="A636" s="13"/>
      <c r="B636" s="14"/>
      <c r="C636" s="14"/>
      <c r="D636" s="14"/>
      <c r="E636" s="15"/>
      <c r="F636" s="14"/>
      <c r="G636" s="14"/>
      <c r="H636" s="17"/>
      <c r="I636" s="17"/>
      <c r="J636" s="17"/>
      <c r="K636" s="21"/>
      <c r="L636" s="17"/>
      <c r="M636" s="17"/>
      <c r="N636" s="14"/>
      <c r="O636" s="14"/>
      <c r="P636" s="14"/>
      <c r="Q636" s="14"/>
      <c r="R636" s="14"/>
      <c r="S636" s="10"/>
      <c r="T636" s="10"/>
      <c r="U636" s="10"/>
      <c r="V636" s="10"/>
      <c r="W636" s="10"/>
      <c r="X636" s="10"/>
      <c r="Y636" s="10"/>
      <c r="Z636" s="10"/>
      <c r="AA636" s="10"/>
      <c r="AB636" s="10"/>
      <c r="AC636" s="10"/>
      <c r="AD636" s="10"/>
      <c r="AE636" s="10"/>
      <c r="AF636" s="10"/>
      <c r="AG636" s="10"/>
      <c r="AH636" s="10"/>
    </row>
    <row r="637" spans="1:34" ht="15.75" customHeight="1">
      <c r="A637" s="13"/>
      <c r="B637" s="14"/>
      <c r="C637" s="14"/>
      <c r="D637" s="14"/>
      <c r="E637" s="15"/>
      <c r="F637" s="14"/>
      <c r="G637" s="14"/>
      <c r="H637" s="17"/>
      <c r="I637" s="17"/>
      <c r="J637" s="17"/>
      <c r="K637" s="21"/>
      <c r="L637" s="17"/>
      <c r="M637" s="17"/>
      <c r="N637" s="14"/>
      <c r="O637" s="14"/>
      <c r="P637" s="14"/>
      <c r="Q637" s="14"/>
      <c r="R637" s="14"/>
      <c r="S637" s="10"/>
      <c r="T637" s="10"/>
      <c r="U637" s="10"/>
      <c r="V637" s="10"/>
      <c r="W637" s="10"/>
      <c r="X637" s="10"/>
      <c r="Y637" s="10"/>
      <c r="Z637" s="10"/>
      <c r="AA637" s="10"/>
      <c r="AB637" s="10"/>
      <c r="AC637" s="10"/>
      <c r="AD637" s="10"/>
      <c r="AE637" s="10"/>
      <c r="AF637" s="10"/>
      <c r="AG637" s="10"/>
      <c r="AH637" s="10"/>
    </row>
    <row r="638" spans="1:34" ht="15.75" customHeight="1">
      <c r="A638" s="13"/>
      <c r="B638" s="14"/>
      <c r="C638" s="14"/>
      <c r="D638" s="14"/>
      <c r="E638" s="15"/>
      <c r="F638" s="14"/>
      <c r="G638" s="14"/>
      <c r="H638" s="17"/>
      <c r="I638" s="17"/>
      <c r="J638" s="17"/>
      <c r="K638" s="21"/>
      <c r="L638" s="17"/>
      <c r="M638" s="17"/>
      <c r="N638" s="14"/>
      <c r="O638" s="14"/>
      <c r="P638" s="14"/>
      <c r="Q638" s="14"/>
      <c r="R638" s="14"/>
      <c r="S638" s="10"/>
      <c r="T638" s="10"/>
      <c r="U638" s="10"/>
      <c r="V638" s="10"/>
      <c r="W638" s="10"/>
      <c r="X638" s="10"/>
      <c r="Y638" s="10"/>
      <c r="Z638" s="10"/>
      <c r="AA638" s="10"/>
      <c r="AB638" s="10"/>
      <c r="AC638" s="10"/>
      <c r="AD638" s="10"/>
      <c r="AE638" s="10"/>
      <c r="AF638" s="10"/>
      <c r="AG638" s="10"/>
      <c r="AH638" s="10"/>
    </row>
    <row r="639" spans="1:34" ht="15.75" customHeight="1">
      <c r="A639" s="13"/>
      <c r="B639" s="14"/>
      <c r="C639" s="14"/>
      <c r="D639" s="14"/>
      <c r="E639" s="15"/>
      <c r="F639" s="14"/>
      <c r="G639" s="14"/>
      <c r="H639" s="17"/>
      <c r="I639" s="17"/>
      <c r="J639" s="17"/>
      <c r="K639" s="21"/>
      <c r="L639" s="17"/>
      <c r="M639" s="17"/>
      <c r="N639" s="14"/>
      <c r="O639" s="14"/>
      <c r="P639" s="14"/>
      <c r="Q639" s="14"/>
      <c r="R639" s="14"/>
      <c r="S639" s="10"/>
      <c r="T639" s="10"/>
      <c r="U639" s="10"/>
      <c r="V639" s="10"/>
      <c r="W639" s="10"/>
      <c r="X639" s="10"/>
      <c r="Y639" s="10"/>
      <c r="Z639" s="10"/>
      <c r="AA639" s="10"/>
      <c r="AB639" s="10"/>
      <c r="AC639" s="10"/>
      <c r="AD639" s="10"/>
      <c r="AE639" s="10"/>
      <c r="AF639" s="10"/>
      <c r="AG639" s="10"/>
      <c r="AH639" s="10"/>
    </row>
    <row r="640" spans="1:34" ht="15.75" customHeight="1">
      <c r="A640" s="13"/>
      <c r="B640" s="14"/>
      <c r="C640" s="14"/>
      <c r="D640" s="14"/>
      <c r="E640" s="15"/>
      <c r="F640" s="14"/>
      <c r="G640" s="14"/>
      <c r="H640" s="17"/>
      <c r="I640" s="17"/>
      <c r="J640" s="17"/>
      <c r="K640" s="21"/>
      <c r="L640" s="17"/>
      <c r="M640" s="17"/>
      <c r="N640" s="14"/>
      <c r="O640" s="14"/>
      <c r="P640" s="14"/>
      <c r="Q640" s="14"/>
      <c r="R640" s="14"/>
      <c r="S640" s="10"/>
      <c r="T640" s="10"/>
      <c r="U640" s="10"/>
      <c r="V640" s="10"/>
      <c r="W640" s="10"/>
      <c r="X640" s="10"/>
      <c r="Y640" s="10"/>
      <c r="Z640" s="10"/>
      <c r="AA640" s="10"/>
      <c r="AB640" s="10"/>
      <c r="AC640" s="10"/>
      <c r="AD640" s="10"/>
      <c r="AE640" s="10"/>
      <c r="AF640" s="10"/>
      <c r="AG640" s="10"/>
      <c r="AH640" s="10"/>
    </row>
    <row r="641" spans="1:34" ht="15.75" customHeight="1">
      <c r="A641" s="13"/>
      <c r="B641" s="14"/>
      <c r="C641" s="14"/>
      <c r="D641" s="14"/>
      <c r="E641" s="15"/>
      <c r="F641" s="14"/>
      <c r="G641" s="14"/>
      <c r="H641" s="17"/>
      <c r="I641" s="17"/>
      <c r="J641" s="17"/>
      <c r="K641" s="21"/>
      <c r="L641" s="17"/>
      <c r="M641" s="17"/>
      <c r="N641" s="14"/>
      <c r="O641" s="14"/>
      <c r="P641" s="14"/>
      <c r="Q641" s="14"/>
      <c r="R641" s="14"/>
      <c r="S641" s="10"/>
      <c r="T641" s="10"/>
      <c r="U641" s="10"/>
      <c r="V641" s="10"/>
      <c r="W641" s="10"/>
      <c r="X641" s="10"/>
      <c r="Y641" s="10"/>
      <c r="Z641" s="10"/>
      <c r="AA641" s="10"/>
      <c r="AB641" s="10"/>
      <c r="AC641" s="10"/>
      <c r="AD641" s="10"/>
      <c r="AE641" s="10"/>
      <c r="AF641" s="10"/>
      <c r="AG641" s="10"/>
      <c r="AH641" s="10"/>
    </row>
    <row r="642" spans="1:34" ht="15.75" customHeight="1">
      <c r="A642" s="13"/>
      <c r="B642" s="14"/>
      <c r="C642" s="14"/>
      <c r="D642" s="14"/>
      <c r="E642" s="15"/>
      <c r="F642" s="14"/>
      <c r="G642" s="14"/>
      <c r="H642" s="17"/>
      <c r="I642" s="17"/>
      <c r="J642" s="17"/>
      <c r="K642" s="21"/>
      <c r="L642" s="17"/>
      <c r="M642" s="17"/>
      <c r="N642" s="14"/>
      <c r="O642" s="14"/>
      <c r="P642" s="14"/>
      <c r="Q642" s="14"/>
      <c r="R642" s="14"/>
      <c r="S642" s="10"/>
      <c r="T642" s="10"/>
      <c r="U642" s="10"/>
      <c r="V642" s="10"/>
      <c r="W642" s="10"/>
      <c r="X642" s="10"/>
      <c r="Y642" s="10"/>
      <c r="Z642" s="10"/>
      <c r="AA642" s="10"/>
      <c r="AB642" s="10"/>
      <c r="AC642" s="10"/>
      <c r="AD642" s="10"/>
      <c r="AE642" s="10"/>
      <c r="AF642" s="10"/>
      <c r="AG642" s="10"/>
      <c r="AH642" s="10"/>
    </row>
    <row r="643" spans="1:34" ht="15.75" customHeight="1">
      <c r="A643" s="13"/>
      <c r="B643" s="14"/>
      <c r="C643" s="14"/>
      <c r="D643" s="14"/>
      <c r="E643" s="15"/>
      <c r="F643" s="14"/>
      <c r="G643" s="14"/>
      <c r="H643" s="17"/>
      <c r="I643" s="17"/>
      <c r="J643" s="17"/>
      <c r="K643" s="21"/>
      <c r="L643" s="17"/>
      <c r="M643" s="17"/>
      <c r="N643" s="14"/>
      <c r="O643" s="14"/>
      <c r="P643" s="14"/>
      <c r="Q643" s="14"/>
      <c r="R643" s="14"/>
      <c r="S643" s="10"/>
      <c r="T643" s="10"/>
      <c r="U643" s="10"/>
      <c r="V643" s="10"/>
      <c r="W643" s="10"/>
      <c r="X643" s="10"/>
      <c r="Y643" s="10"/>
      <c r="Z643" s="10"/>
      <c r="AA643" s="10"/>
      <c r="AB643" s="10"/>
      <c r="AC643" s="10"/>
      <c r="AD643" s="10"/>
      <c r="AE643" s="10"/>
      <c r="AF643" s="10"/>
      <c r="AG643" s="10"/>
      <c r="AH643" s="10"/>
    </row>
    <row r="644" spans="1:34" ht="15.75" customHeight="1">
      <c r="A644" s="13"/>
      <c r="B644" s="14"/>
      <c r="C644" s="14"/>
      <c r="D644" s="14"/>
      <c r="E644" s="15"/>
      <c r="F644" s="14"/>
      <c r="G644" s="14"/>
      <c r="H644" s="17"/>
      <c r="I644" s="17"/>
      <c r="J644" s="17"/>
      <c r="K644" s="21"/>
      <c r="L644" s="17"/>
      <c r="M644" s="17"/>
      <c r="N644" s="14"/>
      <c r="O644" s="14"/>
      <c r="P644" s="14"/>
      <c r="Q644" s="14"/>
      <c r="R644" s="14"/>
      <c r="S644" s="10"/>
      <c r="T644" s="10"/>
      <c r="U644" s="10"/>
      <c r="V644" s="10"/>
      <c r="W644" s="10"/>
      <c r="X644" s="10"/>
      <c r="Y644" s="10"/>
      <c r="Z644" s="10"/>
      <c r="AA644" s="10"/>
      <c r="AB644" s="10"/>
      <c r="AC644" s="10"/>
      <c r="AD644" s="10"/>
      <c r="AE644" s="10"/>
      <c r="AF644" s="10"/>
      <c r="AG644" s="10"/>
      <c r="AH644" s="10"/>
    </row>
    <row r="645" spans="1:34" ht="15.75" customHeight="1">
      <c r="A645" s="13"/>
      <c r="B645" s="14"/>
      <c r="C645" s="14"/>
      <c r="D645" s="14"/>
      <c r="E645" s="15"/>
      <c r="F645" s="14"/>
      <c r="G645" s="14"/>
      <c r="H645" s="17"/>
      <c r="I645" s="17"/>
      <c r="J645" s="17"/>
      <c r="K645" s="21"/>
      <c r="L645" s="17"/>
      <c r="M645" s="17"/>
      <c r="N645" s="14"/>
      <c r="O645" s="14"/>
      <c r="P645" s="14"/>
      <c r="Q645" s="14"/>
      <c r="R645" s="14"/>
      <c r="S645" s="10"/>
      <c r="T645" s="10"/>
      <c r="U645" s="10"/>
      <c r="V645" s="10"/>
      <c r="W645" s="10"/>
      <c r="X645" s="10"/>
      <c r="Y645" s="10"/>
      <c r="Z645" s="10"/>
      <c r="AA645" s="10"/>
      <c r="AB645" s="10"/>
      <c r="AC645" s="10"/>
      <c r="AD645" s="10"/>
      <c r="AE645" s="10"/>
      <c r="AF645" s="10"/>
      <c r="AG645" s="10"/>
      <c r="AH645" s="10"/>
    </row>
    <row r="646" spans="1:34" ht="15.75" customHeight="1">
      <c r="A646" s="13"/>
      <c r="B646" s="14"/>
      <c r="C646" s="14"/>
      <c r="D646" s="14"/>
      <c r="E646" s="15"/>
      <c r="F646" s="14"/>
      <c r="G646" s="14"/>
      <c r="H646" s="17"/>
      <c r="I646" s="17"/>
      <c r="J646" s="17"/>
      <c r="K646" s="21"/>
      <c r="L646" s="17"/>
      <c r="M646" s="17"/>
      <c r="N646" s="14"/>
      <c r="O646" s="14"/>
      <c r="P646" s="14"/>
      <c r="Q646" s="14"/>
      <c r="R646" s="14"/>
      <c r="S646" s="10"/>
      <c r="T646" s="10"/>
      <c r="U646" s="10"/>
      <c r="V646" s="10"/>
      <c r="W646" s="10"/>
      <c r="X646" s="10"/>
      <c r="Y646" s="10"/>
      <c r="Z646" s="10"/>
      <c r="AA646" s="10"/>
      <c r="AB646" s="10"/>
      <c r="AC646" s="10"/>
      <c r="AD646" s="10"/>
      <c r="AE646" s="10"/>
      <c r="AF646" s="10"/>
      <c r="AG646" s="10"/>
      <c r="AH646" s="10"/>
    </row>
    <row r="647" spans="1:34" ht="15.75" customHeight="1">
      <c r="A647" s="13"/>
      <c r="B647" s="14"/>
      <c r="C647" s="14"/>
      <c r="D647" s="14"/>
      <c r="E647" s="15"/>
      <c r="F647" s="14"/>
      <c r="G647" s="14"/>
      <c r="H647" s="17"/>
      <c r="I647" s="17"/>
      <c r="J647" s="17"/>
      <c r="K647" s="21"/>
      <c r="L647" s="17"/>
      <c r="M647" s="17"/>
      <c r="N647" s="14"/>
      <c r="O647" s="14"/>
      <c r="P647" s="14"/>
      <c r="Q647" s="14"/>
      <c r="R647" s="14"/>
      <c r="S647" s="10"/>
      <c r="T647" s="10"/>
      <c r="U647" s="10"/>
      <c r="V647" s="10"/>
      <c r="W647" s="10"/>
      <c r="X647" s="10"/>
      <c r="Y647" s="10"/>
      <c r="Z647" s="10"/>
      <c r="AA647" s="10"/>
      <c r="AB647" s="10"/>
      <c r="AC647" s="10"/>
      <c r="AD647" s="10"/>
      <c r="AE647" s="10"/>
      <c r="AF647" s="10"/>
      <c r="AG647" s="10"/>
      <c r="AH647" s="10"/>
    </row>
    <row r="648" spans="1:34" ht="15.75" customHeight="1">
      <c r="A648" s="13"/>
      <c r="B648" s="14"/>
      <c r="C648" s="14"/>
      <c r="D648" s="14"/>
      <c r="E648" s="15"/>
      <c r="F648" s="14"/>
      <c r="G648" s="14"/>
      <c r="H648" s="17"/>
      <c r="I648" s="17"/>
      <c r="J648" s="17"/>
      <c r="K648" s="21"/>
      <c r="L648" s="17"/>
      <c r="M648" s="17"/>
      <c r="N648" s="14"/>
      <c r="O648" s="14"/>
      <c r="P648" s="14"/>
      <c r="Q648" s="14"/>
      <c r="R648" s="14"/>
      <c r="S648" s="10"/>
      <c r="T648" s="10"/>
      <c r="U648" s="10"/>
      <c r="V648" s="10"/>
      <c r="W648" s="10"/>
      <c r="X648" s="10"/>
      <c r="Y648" s="10"/>
      <c r="Z648" s="10"/>
      <c r="AA648" s="10"/>
      <c r="AB648" s="10"/>
      <c r="AC648" s="10"/>
      <c r="AD648" s="10"/>
      <c r="AE648" s="10"/>
      <c r="AF648" s="10"/>
      <c r="AG648" s="10"/>
      <c r="AH648" s="10"/>
    </row>
    <row r="649" spans="1:34" ht="15.75" customHeight="1">
      <c r="A649" s="13"/>
      <c r="B649" s="14"/>
      <c r="C649" s="14"/>
      <c r="D649" s="14"/>
      <c r="E649" s="15"/>
      <c r="F649" s="14"/>
      <c r="G649" s="14"/>
      <c r="H649" s="17"/>
      <c r="I649" s="17"/>
      <c r="J649" s="17"/>
      <c r="K649" s="21"/>
      <c r="L649" s="17"/>
      <c r="M649" s="17"/>
      <c r="N649" s="14"/>
      <c r="O649" s="14"/>
      <c r="P649" s="14"/>
      <c r="Q649" s="14"/>
      <c r="R649" s="14"/>
      <c r="S649" s="10"/>
      <c r="T649" s="10"/>
      <c r="U649" s="10"/>
      <c r="V649" s="10"/>
      <c r="W649" s="10"/>
      <c r="X649" s="10"/>
      <c r="Y649" s="10"/>
      <c r="Z649" s="10"/>
      <c r="AA649" s="10"/>
      <c r="AB649" s="10"/>
      <c r="AC649" s="10"/>
      <c r="AD649" s="10"/>
      <c r="AE649" s="10"/>
      <c r="AF649" s="10"/>
      <c r="AG649" s="10"/>
      <c r="AH649" s="10"/>
    </row>
    <row r="650" spans="1:34" ht="15.75" customHeight="1">
      <c r="A650" s="13"/>
      <c r="B650" s="14"/>
      <c r="C650" s="14"/>
      <c r="D650" s="14"/>
      <c r="E650" s="15"/>
      <c r="F650" s="14"/>
      <c r="G650" s="14"/>
      <c r="H650" s="17"/>
      <c r="I650" s="17"/>
      <c r="J650" s="17"/>
      <c r="K650" s="21"/>
      <c r="L650" s="17"/>
      <c r="M650" s="17"/>
      <c r="N650" s="14"/>
      <c r="O650" s="14"/>
      <c r="P650" s="14"/>
      <c r="Q650" s="14"/>
      <c r="R650" s="14"/>
      <c r="S650" s="10"/>
      <c r="T650" s="10"/>
      <c r="U650" s="10"/>
      <c r="V650" s="10"/>
      <c r="W650" s="10"/>
      <c r="X650" s="10"/>
      <c r="Y650" s="10"/>
      <c r="Z650" s="10"/>
      <c r="AA650" s="10"/>
      <c r="AB650" s="10"/>
      <c r="AC650" s="10"/>
      <c r="AD650" s="10"/>
      <c r="AE650" s="10"/>
      <c r="AF650" s="10"/>
      <c r="AG650" s="10"/>
      <c r="AH650" s="10"/>
    </row>
    <row r="651" spans="1:34" ht="15.75" customHeight="1">
      <c r="A651" s="13"/>
      <c r="B651" s="14"/>
      <c r="C651" s="14"/>
      <c r="D651" s="14"/>
      <c r="E651" s="15"/>
      <c r="F651" s="14"/>
      <c r="G651" s="14"/>
      <c r="H651" s="17"/>
      <c r="I651" s="17"/>
      <c r="J651" s="17"/>
      <c r="K651" s="21"/>
      <c r="L651" s="17"/>
      <c r="M651" s="17"/>
      <c r="N651" s="14"/>
      <c r="O651" s="14"/>
      <c r="P651" s="14"/>
      <c r="Q651" s="14"/>
      <c r="R651" s="14"/>
      <c r="S651" s="10"/>
      <c r="T651" s="10"/>
      <c r="U651" s="10"/>
      <c r="V651" s="10"/>
      <c r="W651" s="10"/>
      <c r="X651" s="10"/>
      <c r="Y651" s="10"/>
      <c r="Z651" s="10"/>
      <c r="AA651" s="10"/>
      <c r="AB651" s="10"/>
      <c r="AC651" s="10"/>
      <c r="AD651" s="10"/>
      <c r="AE651" s="10"/>
      <c r="AF651" s="10"/>
      <c r="AG651" s="10"/>
      <c r="AH651" s="10"/>
    </row>
    <row r="652" spans="1:34" ht="15.75" customHeight="1">
      <c r="A652" s="13"/>
      <c r="B652" s="14"/>
      <c r="C652" s="14"/>
      <c r="D652" s="14"/>
      <c r="E652" s="15"/>
      <c r="F652" s="14"/>
      <c r="G652" s="14"/>
      <c r="H652" s="17"/>
      <c r="I652" s="17"/>
      <c r="J652" s="17"/>
      <c r="K652" s="21"/>
      <c r="L652" s="17"/>
      <c r="M652" s="17"/>
      <c r="N652" s="14"/>
      <c r="O652" s="14"/>
      <c r="P652" s="14"/>
      <c r="Q652" s="14"/>
      <c r="R652" s="14"/>
      <c r="S652" s="10"/>
      <c r="T652" s="10"/>
      <c r="U652" s="10"/>
      <c r="V652" s="10"/>
      <c r="W652" s="10"/>
      <c r="X652" s="10"/>
      <c r="Y652" s="10"/>
      <c r="Z652" s="10"/>
      <c r="AA652" s="10"/>
      <c r="AB652" s="10"/>
      <c r="AC652" s="10"/>
      <c r="AD652" s="10"/>
      <c r="AE652" s="10"/>
      <c r="AF652" s="10"/>
      <c r="AG652" s="10"/>
      <c r="AH652" s="10"/>
    </row>
    <row r="653" spans="1:34" ht="15.75" customHeight="1">
      <c r="A653" s="13"/>
      <c r="B653" s="14"/>
      <c r="C653" s="14"/>
      <c r="D653" s="14"/>
      <c r="E653" s="15"/>
      <c r="F653" s="14"/>
      <c r="G653" s="14"/>
      <c r="H653" s="17"/>
      <c r="I653" s="17"/>
      <c r="J653" s="17"/>
      <c r="K653" s="21"/>
      <c r="L653" s="17"/>
      <c r="M653" s="17"/>
      <c r="N653" s="14"/>
      <c r="O653" s="14"/>
      <c r="P653" s="14"/>
      <c r="Q653" s="14"/>
      <c r="R653" s="14"/>
      <c r="S653" s="10"/>
      <c r="T653" s="10"/>
      <c r="U653" s="10"/>
      <c r="V653" s="10"/>
      <c r="W653" s="10"/>
      <c r="X653" s="10"/>
      <c r="Y653" s="10"/>
      <c r="Z653" s="10"/>
      <c r="AA653" s="10"/>
      <c r="AB653" s="10"/>
      <c r="AC653" s="10"/>
      <c r="AD653" s="10"/>
      <c r="AE653" s="10"/>
      <c r="AF653" s="10"/>
      <c r="AG653" s="10"/>
      <c r="AH653" s="10"/>
    </row>
    <row r="654" spans="1:34" ht="15.75" customHeight="1">
      <c r="A654" s="13"/>
      <c r="B654" s="14"/>
      <c r="C654" s="14"/>
      <c r="D654" s="14"/>
      <c r="E654" s="15"/>
      <c r="F654" s="14"/>
      <c r="G654" s="14"/>
      <c r="H654" s="17"/>
      <c r="I654" s="17"/>
      <c r="J654" s="17"/>
      <c r="K654" s="21"/>
      <c r="L654" s="17"/>
      <c r="M654" s="17"/>
      <c r="N654" s="14"/>
      <c r="O654" s="14"/>
      <c r="P654" s="14"/>
      <c r="Q654" s="14"/>
      <c r="R654" s="14"/>
      <c r="S654" s="10"/>
      <c r="T654" s="10"/>
      <c r="U654" s="10"/>
      <c r="V654" s="10"/>
      <c r="W654" s="10"/>
      <c r="X654" s="10"/>
      <c r="Y654" s="10"/>
      <c r="Z654" s="10"/>
      <c r="AA654" s="10"/>
      <c r="AB654" s="10"/>
      <c r="AC654" s="10"/>
      <c r="AD654" s="10"/>
      <c r="AE654" s="10"/>
      <c r="AF654" s="10"/>
      <c r="AG654" s="10"/>
      <c r="AH654" s="10"/>
    </row>
    <row r="655" spans="1:34" ht="15.75" customHeight="1">
      <c r="A655" s="13"/>
      <c r="B655" s="14"/>
      <c r="C655" s="14"/>
      <c r="D655" s="14"/>
      <c r="E655" s="15"/>
      <c r="F655" s="14"/>
      <c r="G655" s="14"/>
      <c r="H655" s="17"/>
      <c r="I655" s="17"/>
      <c r="J655" s="17"/>
      <c r="K655" s="21"/>
      <c r="L655" s="17"/>
      <c r="M655" s="17"/>
      <c r="N655" s="14"/>
      <c r="O655" s="14"/>
      <c r="P655" s="14"/>
      <c r="Q655" s="14"/>
      <c r="R655" s="14"/>
      <c r="S655" s="10"/>
      <c r="T655" s="10"/>
      <c r="U655" s="10"/>
      <c r="V655" s="10"/>
      <c r="W655" s="10"/>
      <c r="X655" s="10"/>
      <c r="Y655" s="10"/>
      <c r="Z655" s="10"/>
      <c r="AA655" s="10"/>
      <c r="AB655" s="10"/>
      <c r="AC655" s="10"/>
      <c r="AD655" s="10"/>
      <c r="AE655" s="10"/>
      <c r="AF655" s="10"/>
      <c r="AG655" s="10"/>
      <c r="AH655" s="10"/>
    </row>
    <row r="656" spans="1:34" ht="15.75" customHeight="1">
      <c r="A656" s="13"/>
      <c r="B656" s="14"/>
      <c r="C656" s="14"/>
      <c r="D656" s="14"/>
      <c r="E656" s="15"/>
      <c r="F656" s="14"/>
      <c r="G656" s="14"/>
      <c r="H656" s="17"/>
      <c r="I656" s="17"/>
      <c r="J656" s="17"/>
      <c r="K656" s="21"/>
      <c r="L656" s="17"/>
      <c r="M656" s="17"/>
      <c r="N656" s="14"/>
      <c r="O656" s="14"/>
      <c r="P656" s="14"/>
      <c r="Q656" s="14"/>
      <c r="R656" s="14"/>
      <c r="S656" s="10"/>
      <c r="T656" s="10"/>
      <c r="U656" s="10"/>
      <c r="V656" s="10"/>
      <c r="W656" s="10"/>
      <c r="X656" s="10"/>
      <c r="Y656" s="10"/>
      <c r="Z656" s="10"/>
      <c r="AA656" s="10"/>
      <c r="AB656" s="10"/>
      <c r="AC656" s="10"/>
      <c r="AD656" s="10"/>
      <c r="AE656" s="10"/>
      <c r="AF656" s="10"/>
      <c r="AG656" s="10"/>
      <c r="AH656" s="10"/>
    </row>
    <row r="657" spans="1:34" ht="15.75" customHeight="1">
      <c r="A657" s="13"/>
      <c r="B657" s="14"/>
      <c r="C657" s="14"/>
      <c r="D657" s="14"/>
      <c r="E657" s="15"/>
      <c r="F657" s="14"/>
      <c r="G657" s="14"/>
      <c r="H657" s="17"/>
      <c r="I657" s="17"/>
      <c r="J657" s="17"/>
      <c r="K657" s="21"/>
      <c r="L657" s="17"/>
      <c r="M657" s="17"/>
      <c r="N657" s="14"/>
      <c r="O657" s="14"/>
      <c r="P657" s="14"/>
      <c r="Q657" s="14"/>
      <c r="R657" s="14"/>
      <c r="S657" s="10"/>
      <c r="T657" s="10"/>
      <c r="U657" s="10"/>
      <c r="V657" s="10"/>
      <c r="W657" s="10"/>
      <c r="X657" s="10"/>
      <c r="Y657" s="10"/>
      <c r="Z657" s="10"/>
      <c r="AA657" s="10"/>
      <c r="AB657" s="10"/>
      <c r="AC657" s="10"/>
      <c r="AD657" s="10"/>
      <c r="AE657" s="10"/>
      <c r="AF657" s="10"/>
      <c r="AG657" s="10"/>
      <c r="AH657" s="10"/>
    </row>
    <row r="658" spans="1:34" ht="15.75" customHeight="1">
      <c r="A658" s="13"/>
      <c r="B658" s="14"/>
      <c r="C658" s="14"/>
      <c r="D658" s="14"/>
      <c r="E658" s="15"/>
      <c r="F658" s="14"/>
      <c r="G658" s="14"/>
      <c r="H658" s="17"/>
      <c r="I658" s="17"/>
      <c r="J658" s="17"/>
      <c r="K658" s="21"/>
      <c r="L658" s="17"/>
      <c r="M658" s="17"/>
      <c r="N658" s="14"/>
      <c r="O658" s="14"/>
      <c r="P658" s="14"/>
      <c r="Q658" s="14"/>
      <c r="R658" s="14"/>
      <c r="S658" s="10"/>
      <c r="T658" s="10"/>
      <c r="U658" s="10"/>
      <c r="V658" s="10"/>
      <c r="W658" s="10"/>
      <c r="X658" s="10"/>
      <c r="Y658" s="10"/>
      <c r="Z658" s="10"/>
      <c r="AA658" s="10"/>
      <c r="AB658" s="10"/>
      <c r="AC658" s="10"/>
      <c r="AD658" s="10"/>
      <c r="AE658" s="10"/>
      <c r="AF658" s="10"/>
      <c r="AG658" s="10"/>
      <c r="AH658" s="10"/>
    </row>
    <row r="659" spans="1:34" ht="15.75" customHeight="1">
      <c r="A659" s="13"/>
      <c r="B659" s="14"/>
      <c r="C659" s="14"/>
      <c r="D659" s="14"/>
      <c r="E659" s="15"/>
      <c r="F659" s="14"/>
      <c r="G659" s="14"/>
      <c r="H659" s="17"/>
      <c r="I659" s="17"/>
      <c r="J659" s="17"/>
      <c r="K659" s="21"/>
      <c r="L659" s="17"/>
      <c r="M659" s="17"/>
      <c r="N659" s="14"/>
      <c r="O659" s="14"/>
      <c r="P659" s="14"/>
      <c r="Q659" s="14"/>
      <c r="R659" s="14"/>
      <c r="S659" s="10"/>
      <c r="T659" s="10"/>
      <c r="U659" s="10"/>
      <c r="V659" s="10"/>
      <c r="W659" s="10"/>
      <c r="X659" s="10"/>
      <c r="Y659" s="10"/>
      <c r="Z659" s="10"/>
      <c r="AA659" s="10"/>
      <c r="AB659" s="10"/>
      <c r="AC659" s="10"/>
      <c r="AD659" s="10"/>
      <c r="AE659" s="10"/>
      <c r="AF659" s="10"/>
      <c r="AG659" s="10"/>
      <c r="AH659" s="10"/>
    </row>
    <row r="660" spans="1:34" ht="15.75" customHeight="1">
      <c r="A660" s="13"/>
      <c r="B660" s="14"/>
      <c r="C660" s="14"/>
      <c r="D660" s="14"/>
      <c r="E660" s="15"/>
      <c r="F660" s="14"/>
      <c r="G660" s="14"/>
      <c r="H660" s="17"/>
      <c r="I660" s="17"/>
      <c r="J660" s="17"/>
      <c r="K660" s="21"/>
      <c r="L660" s="17"/>
      <c r="M660" s="17"/>
      <c r="N660" s="14"/>
      <c r="O660" s="14"/>
      <c r="P660" s="14"/>
      <c r="Q660" s="14"/>
      <c r="R660" s="14"/>
      <c r="S660" s="10"/>
      <c r="T660" s="10"/>
      <c r="U660" s="10"/>
      <c r="V660" s="10"/>
      <c r="W660" s="10"/>
      <c r="X660" s="10"/>
      <c r="Y660" s="10"/>
      <c r="Z660" s="10"/>
      <c r="AA660" s="10"/>
      <c r="AB660" s="10"/>
      <c r="AC660" s="10"/>
      <c r="AD660" s="10"/>
      <c r="AE660" s="10"/>
      <c r="AF660" s="10"/>
      <c r="AG660" s="10"/>
      <c r="AH660" s="10"/>
    </row>
    <row r="661" spans="1:34" ht="15.75" customHeight="1">
      <c r="A661" s="13"/>
      <c r="B661" s="14"/>
      <c r="C661" s="14"/>
      <c r="D661" s="14"/>
      <c r="E661" s="15"/>
      <c r="F661" s="14"/>
      <c r="G661" s="14"/>
      <c r="H661" s="17"/>
      <c r="I661" s="17"/>
      <c r="J661" s="17"/>
      <c r="K661" s="21"/>
      <c r="L661" s="17"/>
      <c r="M661" s="17"/>
      <c r="N661" s="14"/>
      <c r="O661" s="14"/>
      <c r="P661" s="14"/>
      <c r="Q661" s="14"/>
      <c r="R661" s="14"/>
      <c r="S661" s="10"/>
      <c r="T661" s="10"/>
      <c r="U661" s="10"/>
      <c r="V661" s="10"/>
      <c r="W661" s="10"/>
      <c r="X661" s="10"/>
      <c r="Y661" s="10"/>
      <c r="Z661" s="10"/>
      <c r="AA661" s="10"/>
      <c r="AB661" s="10"/>
      <c r="AC661" s="10"/>
      <c r="AD661" s="10"/>
      <c r="AE661" s="10"/>
      <c r="AF661" s="10"/>
      <c r="AG661" s="10"/>
      <c r="AH661" s="10"/>
    </row>
    <row r="662" spans="1:34" ht="15.75" customHeight="1">
      <c r="A662" s="13"/>
      <c r="B662" s="14"/>
      <c r="C662" s="14"/>
      <c r="D662" s="14"/>
      <c r="E662" s="15"/>
      <c r="F662" s="14"/>
      <c r="G662" s="14"/>
      <c r="H662" s="17"/>
      <c r="I662" s="17"/>
      <c r="J662" s="17"/>
      <c r="K662" s="21"/>
      <c r="L662" s="17"/>
      <c r="M662" s="17"/>
      <c r="N662" s="14"/>
      <c r="O662" s="14"/>
      <c r="P662" s="14"/>
      <c r="Q662" s="14"/>
      <c r="R662" s="14"/>
      <c r="S662" s="10"/>
      <c r="T662" s="10"/>
      <c r="U662" s="10"/>
      <c r="V662" s="10"/>
      <c r="W662" s="10"/>
      <c r="X662" s="10"/>
      <c r="Y662" s="10"/>
      <c r="Z662" s="10"/>
      <c r="AA662" s="10"/>
      <c r="AB662" s="10"/>
      <c r="AC662" s="10"/>
      <c r="AD662" s="10"/>
      <c r="AE662" s="10"/>
      <c r="AF662" s="10"/>
      <c r="AG662" s="10"/>
      <c r="AH662" s="10"/>
    </row>
    <row r="663" spans="1:34" ht="15.75" customHeight="1">
      <c r="A663" s="13"/>
      <c r="B663" s="14"/>
      <c r="C663" s="14"/>
      <c r="D663" s="14"/>
      <c r="E663" s="15"/>
      <c r="F663" s="14"/>
      <c r="G663" s="14"/>
      <c r="H663" s="17"/>
      <c r="I663" s="17"/>
      <c r="J663" s="17"/>
      <c r="K663" s="21"/>
      <c r="L663" s="17"/>
      <c r="M663" s="17"/>
      <c r="N663" s="14"/>
      <c r="O663" s="14"/>
      <c r="P663" s="14"/>
      <c r="Q663" s="14"/>
      <c r="R663" s="14"/>
      <c r="S663" s="10"/>
      <c r="T663" s="10"/>
      <c r="U663" s="10"/>
      <c r="V663" s="10"/>
      <c r="W663" s="10"/>
      <c r="X663" s="10"/>
      <c r="Y663" s="10"/>
      <c r="Z663" s="10"/>
      <c r="AA663" s="10"/>
      <c r="AB663" s="10"/>
      <c r="AC663" s="10"/>
      <c r="AD663" s="10"/>
      <c r="AE663" s="10"/>
      <c r="AF663" s="10"/>
      <c r="AG663" s="10"/>
      <c r="AH663" s="10"/>
    </row>
    <row r="664" spans="1:34" ht="15.75" customHeight="1">
      <c r="A664" s="13"/>
      <c r="B664" s="14"/>
      <c r="C664" s="14"/>
      <c r="D664" s="14"/>
      <c r="E664" s="15"/>
      <c r="F664" s="14"/>
      <c r="G664" s="14"/>
      <c r="H664" s="14"/>
      <c r="I664" s="14"/>
      <c r="J664" s="14"/>
      <c r="K664" s="23"/>
      <c r="L664" s="14"/>
      <c r="M664" s="14"/>
      <c r="N664" s="14"/>
      <c r="O664" s="14"/>
      <c r="P664" s="14"/>
      <c r="Q664" s="14"/>
      <c r="R664" s="14"/>
      <c r="S664" s="10"/>
      <c r="T664" s="10"/>
      <c r="U664" s="10"/>
      <c r="V664" s="10"/>
      <c r="W664" s="10"/>
      <c r="X664" s="10"/>
      <c r="Y664" s="10"/>
      <c r="Z664" s="10"/>
      <c r="AA664" s="10"/>
      <c r="AB664" s="10"/>
      <c r="AC664" s="10"/>
      <c r="AD664" s="10"/>
      <c r="AE664" s="10"/>
      <c r="AF664" s="10"/>
      <c r="AG664" s="10"/>
      <c r="AH664" s="10"/>
    </row>
    <row r="665" spans="1:34" ht="15.75" customHeight="1">
      <c r="A665" s="13"/>
      <c r="B665" s="14"/>
      <c r="C665" s="14"/>
      <c r="D665" s="14"/>
      <c r="E665" s="15"/>
      <c r="F665" s="14"/>
      <c r="G665" s="14"/>
      <c r="H665" s="14"/>
      <c r="I665" s="14"/>
      <c r="J665" s="14"/>
      <c r="K665" s="23"/>
      <c r="L665" s="14"/>
      <c r="M665" s="14"/>
      <c r="N665" s="14"/>
      <c r="O665" s="14"/>
      <c r="P665" s="14"/>
      <c r="Q665" s="14"/>
      <c r="R665" s="14"/>
      <c r="S665" s="10"/>
      <c r="T665" s="10"/>
      <c r="U665" s="10"/>
      <c r="V665" s="10"/>
      <c r="W665" s="10"/>
      <c r="X665" s="10"/>
      <c r="Y665" s="10"/>
      <c r="Z665" s="10"/>
      <c r="AA665" s="10"/>
      <c r="AB665" s="10"/>
      <c r="AC665" s="10"/>
      <c r="AD665" s="10"/>
      <c r="AE665" s="10"/>
      <c r="AF665" s="10"/>
      <c r="AG665" s="10"/>
      <c r="AH665" s="10"/>
    </row>
    <row r="666" spans="1:34" ht="15.75" customHeight="1">
      <c r="A666" s="13"/>
      <c r="B666" s="14"/>
      <c r="C666" s="14"/>
      <c r="D666" s="14"/>
      <c r="E666" s="15"/>
      <c r="F666" s="14"/>
      <c r="G666" s="14"/>
      <c r="H666" s="14"/>
      <c r="I666" s="14"/>
      <c r="J666" s="14"/>
      <c r="K666" s="23"/>
      <c r="L666" s="14"/>
      <c r="M666" s="14"/>
      <c r="N666" s="14"/>
      <c r="O666" s="14"/>
      <c r="P666" s="14"/>
      <c r="Q666" s="14"/>
      <c r="R666" s="14"/>
      <c r="S666" s="10"/>
      <c r="T666" s="10"/>
      <c r="U666" s="10"/>
      <c r="V666" s="10"/>
      <c r="W666" s="10"/>
      <c r="X666" s="10"/>
      <c r="Y666" s="10"/>
      <c r="Z666" s="10"/>
      <c r="AA666" s="10"/>
      <c r="AB666" s="10"/>
      <c r="AC666" s="10"/>
      <c r="AD666" s="10"/>
      <c r="AE666" s="10"/>
      <c r="AF666" s="10"/>
      <c r="AG666" s="10"/>
      <c r="AH666" s="10"/>
    </row>
    <row r="667" spans="1:34" ht="15.75" customHeight="1">
      <c r="A667" s="13"/>
      <c r="B667" s="14"/>
      <c r="C667" s="14"/>
      <c r="D667" s="14"/>
      <c r="E667" s="15"/>
      <c r="F667" s="14"/>
      <c r="G667" s="14"/>
      <c r="H667" s="14"/>
      <c r="I667" s="14"/>
      <c r="J667" s="14"/>
      <c r="K667" s="23"/>
      <c r="L667" s="14"/>
      <c r="M667" s="14"/>
      <c r="N667" s="14"/>
      <c r="O667" s="14"/>
      <c r="P667" s="14"/>
      <c r="Q667" s="14"/>
      <c r="R667" s="14"/>
      <c r="S667" s="10"/>
      <c r="T667" s="10"/>
      <c r="U667" s="10"/>
      <c r="V667" s="10"/>
      <c r="W667" s="10"/>
      <c r="X667" s="10"/>
      <c r="Y667" s="10"/>
      <c r="Z667" s="10"/>
      <c r="AA667" s="10"/>
      <c r="AB667" s="10"/>
      <c r="AC667" s="10"/>
      <c r="AD667" s="10"/>
      <c r="AE667" s="10"/>
      <c r="AF667" s="10"/>
      <c r="AG667" s="10"/>
      <c r="AH667" s="10"/>
    </row>
    <row r="668" spans="1:34" ht="15.75" customHeight="1">
      <c r="A668" s="13"/>
      <c r="B668" s="14"/>
      <c r="C668" s="14"/>
      <c r="D668" s="14"/>
      <c r="E668" s="15"/>
      <c r="F668" s="14"/>
      <c r="G668" s="14"/>
      <c r="H668" s="14"/>
      <c r="I668" s="14"/>
      <c r="J668" s="14"/>
      <c r="K668" s="23"/>
      <c r="L668" s="14"/>
      <c r="M668" s="14"/>
      <c r="N668" s="14"/>
      <c r="O668" s="14"/>
      <c r="P668" s="14"/>
      <c r="Q668" s="14"/>
      <c r="R668" s="14"/>
      <c r="S668" s="10"/>
      <c r="T668" s="10"/>
      <c r="U668" s="10"/>
      <c r="V668" s="10"/>
      <c r="W668" s="10"/>
      <c r="X668" s="10"/>
      <c r="Y668" s="10"/>
      <c r="Z668" s="10"/>
      <c r="AA668" s="10"/>
      <c r="AB668" s="10"/>
      <c r="AC668" s="10"/>
      <c r="AD668" s="10"/>
      <c r="AE668" s="10"/>
      <c r="AF668" s="10"/>
      <c r="AG668" s="10"/>
      <c r="AH668" s="10"/>
    </row>
    <row r="669" spans="1:34" ht="15.75" customHeight="1">
      <c r="A669" s="13"/>
      <c r="B669" s="14"/>
      <c r="C669" s="14"/>
      <c r="D669" s="14"/>
      <c r="E669" s="15"/>
      <c r="F669" s="14"/>
      <c r="G669" s="14"/>
      <c r="H669" s="14"/>
      <c r="I669" s="14"/>
      <c r="J669" s="14"/>
      <c r="K669" s="23"/>
      <c r="L669" s="14"/>
      <c r="M669" s="14"/>
      <c r="N669" s="14"/>
      <c r="O669" s="14"/>
      <c r="P669" s="14"/>
      <c r="Q669" s="14"/>
      <c r="R669" s="14"/>
      <c r="S669" s="10"/>
      <c r="T669" s="10"/>
      <c r="U669" s="10"/>
      <c r="V669" s="10"/>
      <c r="W669" s="10"/>
      <c r="X669" s="10"/>
      <c r="Y669" s="10"/>
      <c r="Z669" s="10"/>
      <c r="AA669" s="10"/>
      <c r="AB669" s="10"/>
      <c r="AC669" s="10"/>
      <c r="AD669" s="10"/>
      <c r="AE669" s="10"/>
      <c r="AF669" s="10"/>
      <c r="AG669" s="10"/>
      <c r="AH669" s="10"/>
    </row>
    <row r="670" spans="1:34" ht="15.75" customHeight="1">
      <c r="A670" s="13"/>
      <c r="B670" s="14"/>
      <c r="C670" s="14"/>
      <c r="D670" s="14"/>
      <c r="E670" s="15"/>
      <c r="F670" s="14"/>
      <c r="G670" s="14"/>
      <c r="H670" s="14"/>
      <c r="I670" s="14"/>
      <c r="J670" s="14"/>
      <c r="K670" s="23"/>
      <c r="L670" s="14"/>
      <c r="M670" s="14"/>
      <c r="N670" s="14"/>
      <c r="O670" s="14"/>
      <c r="P670" s="14"/>
      <c r="Q670" s="14"/>
      <c r="R670" s="14"/>
      <c r="S670" s="10"/>
      <c r="T670" s="10"/>
      <c r="U670" s="10"/>
      <c r="V670" s="10"/>
      <c r="W670" s="10"/>
      <c r="X670" s="10"/>
      <c r="Y670" s="10"/>
      <c r="Z670" s="10"/>
      <c r="AA670" s="10"/>
      <c r="AB670" s="10"/>
      <c r="AC670" s="10"/>
      <c r="AD670" s="10"/>
      <c r="AE670" s="10"/>
      <c r="AF670" s="10"/>
      <c r="AG670" s="10"/>
      <c r="AH670" s="10"/>
    </row>
    <row r="671" spans="1:34" ht="15.75" customHeight="1">
      <c r="A671" s="13"/>
      <c r="B671" s="14"/>
      <c r="C671" s="14"/>
      <c r="D671" s="14"/>
      <c r="E671" s="15"/>
      <c r="F671" s="14"/>
      <c r="G671" s="14"/>
      <c r="H671" s="14"/>
      <c r="I671" s="14"/>
      <c r="J671" s="14"/>
      <c r="K671" s="23"/>
      <c r="L671" s="14"/>
      <c r="M671" s="14"/>
      <c r="N671" s="14"/>
      <c r="O671" s="14"/>
      <c r="P671" s="14"/>
      <c r="Q671" s="14"/>
      <c r="R671" s="14"/>
      <c r="S671" s="10"/>
      <c r="T671" s="10"/>
      <c r="U671" s="10"/>
      <c r="V671" s="10"/>
      <c r="W671" s="10"/>
      <c r="X671" s="10"/>
      <c r="Y671" s="10"/>
      <c r="Z671" s="10"/>
      <c r="AA671" s="10"/>
      <c r="AB671" s="10"/>
      <c r="AC671" s="10"/>
      <c r="AD671" s="10"/>
      <c r="AE671" s="10"/>
      <c r="AF671" s="10"/>
      <c r="AG671" s="10"/>
      <c r="AH671" s="10"/>
    </row>
    <row r="672" spans="1:34" ht="15.75" customHeight="1">
      <c r="A672" s="13"/>
      <c r="B672" s="14"/>
      <c r="C672" s="14"/>
      <c r="D672" s="14"/>
      <c r="E672" s="15"/>
      <c r="F672" s="14"/>
      <c r="G672" s="14"/>
      <c r="H672" s="14"/>
      <c r="I672" s="14"/>
      <c r="J672" s="14"/>
      <c r="K672" s="23"/>
      <c r="L672" s="14"/>
      <c r="M672" s="14"/>
      <c r="N672" s="14"/>
      <c r="O672" s="14"/>
      <c r="P672" s="14"/>
      <c r="Q672" s="14"/>
      <c r="R672" s="14"/>
      <c r="S672" s="10"/>
      <c r="T672" s="10"/>
      <c r="U672" s="10"/>
      <c r="V672" s="10"/>
      <c r="W672" s="10"/>
      <c r="X672" s="10"/>
      <c r="Y672" s="10"/>
      <c r="Z672" s="10"/>
      <c r="AA672" s="10"/>
      <c r="AB672" s="10"/>
      <c r="AC672" s="10"/>
      <c r="AD672" s="10"/>
      <c r="AE672" s="10"/>
      <c r="AF672" s="10"/>
      <c r="AG672" s="10"/>
      <c r="AH672" s="10"/>
    </row>
    <row r="673" spans="1:34" ht="15.75" customHeight="1">
      <c r="A673" s="13"/>
      <c r="B673" s="14"/>
      <c r="C673" s="14"/>
      <c r="D673" s="14"/>
      <c r="E673" s="15"/>
      <c r="F673" s="14"/>
      <c r="G673" s="14"/>
      <c r="H673" s="14"/>
      <c r="I673" s="14"/>
      <c r="J673" s="14"/>
      <c r="K673" s="23"/>
      <c r="L673" s="14"/>
      <c r="M673" s="14"/>
      <c r="N673" s="14"/>
      <c r="O673" s="14"/>
      <c r="P673" s="14"/>
      <c r="Q673" s="14"/>
      <c r="R673" s="14"/>
      <c r="S673" s="10"/>
      <c r="T673" s="10"/>
      <c r="U673" s="10"/>
      <c r="V673" s="10"/>
      <c r="W673" s="10"/>
      <c r="X673" s="10"/>
      <c r="Y673" s="10"/>
      <c r="Z673" s="10"/>
      <c r="AA673" s="10"/>
      <c r="AB673" s="10"/>
      <c r="AC673" s="10"/>
      <c r="AD673" s="10"/>
      <c r="AE673" s="10"/>
      <c r="AF673" s="10"/>
      <c r="AG673" s="10"/>
      <c r="AH673" s="10"/>
    </row>
    <row r="674" spans="1:34" ht="15.75" customHeight="1">
      <c r="A674" s="13"/>
      <c r="B674" s="14"/>
      <c r="C674" s="14"/>
      <c r="D674" s="14"/>
      <c r="E674" s="15"/>
      <c r="F674" s="14"/>
      <c r="G674" s="14"/>
      <c r="H674" s="14"/>
      <c r="I674" s="14"/>
      <c r="J674" s="14"/>
      <c r="K674" s="23"/>
      <c r="L674" s="14"/>
      <c r="M674" s="14"/>
      <c r="N674" s="14"/>
      <c r="O674" s="14"/>
      <c r="P674" s="14"/>
      <c r="Q674" s="14"/>
      <c r="R674" s="14"/>
      <c r="S674" s="10"/>
      <c r="T674" s="10"/>
      <c r="U674" s="10"/>
      <c r="V674" s="10"/>
      <c r="W674" s="10"/>
      <c r="X674" s="10"/>
      <c r="Y674" s="10"/>
      <c r="Z674" s="10"/>
      <c r="AA674" s="10"/>
      <c r="AB674" s="10"/>
      <c r="AC674" s="10"/>
      <c r="AD674" s="10"/>
      <c r="AE674" s="10"/>
      <c r="AF674" s="10"/>
      <c r="AG674" s="10"/>
      <c r="AH674" s="10"/>
    </row>
    <row r="675" spans="1:34" ht="15.75" customHeight="1">
      <c r="A675" s="13"/>
      <c r="B675" s="14"/>
      <c r="C675" s="14"/>
      <c r="D675" s="14"/>
      <c r="E675" s="15"/>
      <c r="F675" s="14"/>
      <c r="G675" s="14"/>
      <c r="H675" s="14"/>
      <c r="I675" s="14"/>
      <c r="J675" s="14"/>
      <c r="K675" s="23"/>
      <c r="L675" s="14"/>
      <c r="M675" s="14"/>
      <c r="N675" s="14"/>
      <c r="O675" s="14"/>
      <c r="P675" s="14"/>
      <c r="Q675" s="14"/>
      <c r="R675" s="14"/>
      <c r="S675" s="10"/>
      <c r="T675" s="10"/>
      <c r="U675" s="10"/>
      <c r="V675" s="10"/>
      <c r="W675" s="10"/>
      <c r="X675" s="10"/>
      <c r="Y675" s="10"/>
      <c r="Z675" s="10"/>
      <c r="AA675" s="10"/>
      <c r="AB675" s="10"/>
      <c r="AC675" s="10"/>
      <c r="AD675" s="10"/>
      <c r="AE675" s="10"/>
      <c r="AF675" s="10"/>
      <c r="AG675" s="10"/>
      <c r="AH675" s="10"/>
    </row>
    <row r="676" spans="1:34" ht="15.75" customHeight="1">
      <c r="A676" s="13"/>
      <c r="B676" s="14"/>
      <c r="C676" s="14"/>
      <c r="D676" s="14"/>
      <c r="E676" s="15"/>
      <c r="F676" s="14"/>
      <c r="G676" s="14"/>
      <c r="H676" s="14"/>
      <c r="I676" s="14"/>
      <c r="J676" s="14"/>
      <c r="K676" s="23"/>
      <c r="L676" s="14"/>
      <c r="M676" s="14"/>
      <c r="N676" s="14"/>
      <c r="O676" s="14"/>
      <c r="P676" s="14"/>
      <c r="Q676" s="14"/>
      <c r="R676" s="14"/>
      <c r="S676" s="10"/>
      <c r="T676" s="10"/>
      <c r="U676" s="10"/>
      <c r="V676" s="10"/>
      <c r="W676" s="10"/>
      <c r="X676" s="10"/>
      <c r="Y676" s="10"/>
      <c r="Z676" s="10"/>
      <c r="AA676" s="10"/>
      <c r="AB676" s="10"/>
      <c r="AC676" s="10"/>
      <c r="AD676" s="10"/>
      <c r="AE676" s="10"/>
      <c r="AF676" s="10"/>
      <c r="AG676" s="10"/>
      <c r="AH676" s="10"/>
    </row>
    <row r="677" spans="1:34" ht="15.75" customHeight="1">
      <c r="A677" s="13"/>
      <c r="B677" s="14"/>
      <c r="C677" s="14"/>
      <c r="D677" s="14"/>
      <c r="E677" s="15"/>
      <c r="F677" s="14"/>
      <c r="G677" s="14"/>
      <c r="H677" s="14"/>
      <c r="I677" s="14"/>
      <c r="J677" s="14"/>
      <c r="K677" s="23"/>
      <c r="L677" s="14"/>
      <c r="M677" s="14"/>
      <c r="N677" s="14"/>
      <c r="O677" s="14"/>
      <c r="P677" s="14"/>
      <c r="Q677" s="14"/>
      <c r="R677" s="14"/>
      <c r="S677" s="10"/>
      <c r="T677" s="10"/>
      <c r="U677" s="10"/>
      <c r="V677" s="10"/>
      <c r="W677" s="10"/>
      <c r="X677" s="10"/>
      <c r="Y677" s="10"/>
      <c r="Z677" s="10"/>
      <c r="AA677" s="10"/>
      <c r="AB677" s="10"/>
      <c r="AC677" s="10"/>
      <c r="AD677" s="10"/>
      <c r="AE677" s="10"/>
      <c r="AF677" s="10"/>
      <c r="AG677" s="10"/>
      <c r="AH677" s="10"/>
    </row>
    <row r="678" spans="1:34" ht="15.75" customHeight="1">
      <c r="A678" s="13"/>
      <c r="B678" s="14"/>
      <c r="C678" s="14"/>
      <c r="D678" s="14"/>
      <c r="E678" s="15"/>
      <c r="F678" s="14"/>
      <c r="G678" s="14"/>
      <c r="H678" s="14"/>
      <c r="I678" s="14"/>
      <c r="J678" s="14"/>
      <c r="K678" s="23"/>
      <c r="L678" s="14"/>
      <c r="M678" s="14"/>
      <c r="N678" s="14"/>
      <c r="O678" s="14"/>
      <c r="P678" s="14"/>
      <c r="Q678" s="14"/>
      <c r="R678" s="14"/>
      <c r="S678" s="10"/>
      <c r="T678" s="10"/>
      <c r="U678" s="10"/>
      <c r="V678" s="10"/>
      <c r="W678" s="10"/>
      <c r="X678" s="10"/>
      <c r="Y678" s="10"/>
      <c r="Z678" s="10"/>
      <c r="AA678" s="10"/>
      <c r="AB678" s="10"/>
      <c r="AC678" s="10"/>
      <c r="AD678" s="10"/>
      <c r="AE678" s="10"/>
      <c r="AF678" s="10"/>
      <c r="AG678" s="10"/>
      <c r="AH678" s="10"/>
    </row>
    <row r="679" spans="1:34" ht="15.75" customHeight="1">
      <c r="A679" s="13"/>
      <c r="B679" s="14"/>
      <c r="C679" s="14"/>
      <c r="D679" s="14"/>
      <c r="E679" s="15"/>
      <c r="F679" s="14"/>
      <c r="G679" s="14"/>
      <c r="H679" s="14"/>
      <c r="I679" s="14"/>
      <c r="J679" s="14"/>
      <c r="K679" s="23"/>
      <c r="L679" s="14"/>
      <c r="M679" s="14"/>
      <c r="N679" s="14"/>
      <c r="O679" s="14"/>
      <c r="P679" s="14"/>
      <c r="Q679" s="14"/>
      <c r="R679" s="14"/>
      <c r="S679" s="10"/>
      <c r="T679" s="10"/>
      <c r="U679" s="10"/>
      <c r="V679" s="10"/>
      <c r="W679" s="10"/>
      <c r="X679" s="10"/>
      <c r="Y679" s="10"/>
      <c r="Z679" s="10"/>
      <c r="AA679" s="10"/>
      <c r="AB679" s="10"/>
      <c r="AC679" s="10"/>
      <c r="AD679" s="10"/>
      <c r="AE679" s="10"/>
      <c r="AF679" s="10"/>
      <c r="AG679" s="10"/>
      <c r="AH679" s="10"/>
    </row>
    <row r="680" spans="1:34" ht="15.75" customHeight="1">
      <c r="A680" s="13"/>
      <c r="B680" s="14"/>
      <c r="C680" s="14"/>
      <c r="D680" s="14"/>
      <c r="E680" s="15"/>
      <c r="F680" s="14"/>
      <c r="G680" s="14"/>
      <c r="H680" s="14"/>
      <c r="I680" s="14"/>
      <c r="J680" s="14"/>
      <c r="K680" s="23"/>
      <c r="L680" s="14"/>
      <c r="M680" s="14"/>
      <c r="N680" s="14"/>
      <c r="O680" s="14"/>
      <c r="P680" s="14"/>
      <c r="Q680" s="14"/>
      <c r="R680" s="14"/>
      <c r="S680" s="10"/>
      <c r="T680" s="10"/>
      <c r="U680" s="10"/>
      <c r="V680" s="10"/>
      <c r="W680" s="10"/>
      <c r="X680" s="10"/>
      <c r="Y680" s="10"/>
      <c r="Z680" s="10"/>
      <c r="AA680" s="10"/>
      <c r="AB680" s="10"/>
      <c r="AC680" s="10"/>
      <c r="AD680" s="10"/>
      <c r="AE680" s="10"/>
      <c r="AF680" s="10"/>
      <c r="AG680" s="10"/>
      <c r="AH680" s="10"/>
    </row>
    <row r="681" spans="1:34" ht="15.75" customHeight="1">
      <c r="A681" s="13"/>
      <c r="B681" s="14"/>
      <c r="C681" s="14"/>
      <c r="D681" s="14"/>
      <c r="E681" s="15"/>
      <c r="F681" s="14"/>
      <c r="G681" s="14"/>
      <c r="H681" s="14"/>
      <c r="I681" s="14"/>
      <c r="J681" s="14"/>
      <c r="K681" s="23"/>
      <c r="L681" s="14"/>
      <c r="M681" s="14"/>
      <c r="N681" s="14"/>
      <c r="O681" s="14"/>
      <c r="P681" s="14"/>
      <c r="Q681" s="14"/>
      <c r="R681" s="14"/>
      <c r="S681" s="10"/>
      <c r="T681" s="10"/>
      <c r="U681" s="10"/>
      <c r="V681" s="10"/>
      <c r="W681" s="10"/>
      <c r="X681" s="10"/>
      <c r="Y681" s="10"/>
      <c r="Z681" s="10"/>
      <c r="AA681" s="10"/>
      <c r="AB681" s="10"/>
      <c r="AC681" s="10"/>
      <c r="AD681" s="10"/>
      <c r="AE681" s="10"/>
      <c r="AF681" s="10"/>
      <c r="AG681" s="10"/>
      <c r="AH681" s="10"/>
    </row>
    <row r="682" spans="1:34" ht="15.75" customHeight="1">
      <c r="A682" s="13"/>
      <c r="B682" s="14"/>
      <c r="C682" s="14"/>
      <c r="D682" s="14"/>
      <c r="E682" s="15"/>
      <c r="F682" s="14"/>
      <c r="G682" s="14"/>
      <c r="H682" s="14"/>
      <c r="I682" s="14"/>
      <c r="J682" s="14"/>
      <c r="K682" s="23"/>
      <c r="L682" s="14"/>
      <c r="M682" s="14"/>
      <c r="N682" s="14"/>
      <c r="O682" s="14"/>
      <c r="P682" s="14"/>
      <c r="Q682" s="14"/>
      <c r="R682" s="14"/>
      <c r="S682" s="10"/>
      <c r="T682" s="10"/>
      <c r="U682" s="10"/>
      <c r="V682" s="10"/>
      <c r="W682" s="10"/>
      <c r="X682" s="10"/>
      <c r="Y682" s="10"/>
      <c r="Z682" s="10"/>
      <c r="AA682" s="10"/>
      <c r="AB682" s="10"/>
      <c r="AC682" s="10"/>
      <c r="AD682" s="10"/>
      <c r="AE682" s="10"/>
      <c r="AF682" s="10"/>
      <c r="AG682" s="10"/>
      <c r="AH682" s="10"/>
    </row>
    <row r="683" spans="1:34" ht="15.75" customHeight="1">
      <c r="A683" s="13"/>
      <c r="B683" s="14"/>
      <c r="C683" s="14"/>
      <c r="D683" s="14"/>
      <c r="E683" s="15"/>
      <c r="F683" s="14"/>
      <c r="G683" s="14"/>
      <c r="H683" s="14"/>
      <c r="I683" s="14"/>
      <c r="J683" s="14"/>
      <c r="K683" s="23"/>
      <c r="L683" s="14"/>
      <c r="M683" s="14"/>
      <c r="N683" s="14"/>
      <c r="O683" s="14"/>
      <c r="P683" s="14"/>
      <c r="Q683" s="14"/>
      <c r="R683" s="14"/>
      <c r="S683" s="10"/>
      <c r="T683" s="10"/>
      <c r="U683" s="10"/>
      <c r="V683" s="10"/>
      <c r="W683" s="10"/>
      <c r="X683" s="10"/>
      <c r="Y683" s="10"/>
      <c r="Z683" s="10"/>
      <c r="AA683" s="10"/>
      <c r="AB683" s="10"/>
      <c r="AC683" s="10"/>
      <c r="AD683" s="10"/>
      <c r="AE683" s="10"/>
      <c r="AF683" s="10"/>
      <c r="AG683" s="10"/>
      <c r="AH683" s="10"/>
    </row>
    <row r="684" spans="1:34" ht="15.75" customHeight="1">
      <c r="A684" s="13"/>
      <c r="B684" s="14"/>
      <c r="C684" s="14"/>
      <c r="D684" s="14"/>
      <c r="E684" s="15"/>
      <c r="F684" s="14"/>
      <c r="G684" s="14"/>
      <c r="H684" s="14"/>
      <c r="I684" s="14"/>
      <c r="J684" s="14"/>
      <c r="K684" s="23"/>
      <c r="L684" s="14"/>
      <c r="M684" s="14"/>
      <c r="N684" s="14"/>
      <c r="O684" s="14"/>
      <c r="P684" s="14"/>
      <c r="Q684" s="14"/>
      <c r="R684" s="14"/>
      <c r="S684" s="10"/>
      <c r="T684" s="10"/>
      <c r="U684" s="10"/>
      <c r="V684" s="10"/>
      <c r="W684" s="10"/>
      <c r="X684" s="10"/>
      <c r="Y684" s="10"/>
      <c r="Z684" s="10"/>
      <c r="AA684" s="10"/>
      <c r="AB684" s="10"/>
      <c r="AC684" s="10"/>
      <c r="AD684" s="10"/>
      <c r="AE684" s="10"/>
      <c r="AF684" s="10"/>
      <c r="AG684" s="10"/>
      <c r="AH684" s="10"/>
    </row>
    <row r="685" spans="1:34" ht="15.75" customHeight="1">
      <c r="A685" s="13"/>
      <c r="B685" s="14"/>
      <c r="C685" s="14"/>
      <c r="D685" s="14"/>
      <c r="E685" s="15"/>
      <c r="F685" s="14"/>
      <c r="G685" s="14"/>
      <c r="H685" s="14"/>
      <c r="I685" s="14"/>
      <c r="J685" s="14"/>
      <c r="K685" s="23"/>
      <c r="L685" s="14"/>
      <c r="M685" s="14"/>
      <c r="N685" s="14"/>
      <c r="O685" s="14"/>
      <c r="P685" s="14"/>
      <c r="Q685" s="14"/>
      <c r="R685" s="14"/>
      <c r="S685" s="10"/>
      <c r="T685" s="10"/>
      <c r="U685" s="10"/>
      <c r="V685" s="10"/>
      <c r="W685" s="10"/>
      <c r="X685" s="10"/>
      <c r="Y685" s="10"/>
      <c r="Z685" s="10"/>
      <c r="AA685" s="10"/>
      <c r="AB685" s="10"/>
      <c r="AC685" s="10"/>
      <c r="AD685" s="10"/>
      <c r="AE685" s="10"/>
      <c r="AF685" s="10"/>
      <c r="AG685" s="10"/>
      <c r="AH685" s="10"/>
    </row>
    <row r="686" spans="1:34" ht="15.75" customHeight="1">
      <c r="A686" s="13"/>
      <c r="B686" s="14"/>
      <c r="C686" s="14"/>
      <c r="D686" s="14"/>
      <c r="E686" s="15"/>
      <c r="F686" s="14"/>
      <c r="G686" s="14"/>
      <c r="H686" s="14"/>
      <c r="I686" s="14"/>
      <c r="J686" s="14"/>
      <c r="K686" s="23"/>
      <c r="L686" s="14"/>
      <c r="M686" s="14"/>
      <c r="N686" s="14"/>
      <c r="O686" s="14"/>
      <c r="P686" s="14"/>
      <c r="Q686" s="14"/>
      <c r="R686" s="14"/>
      <c r="S686" s="10"/>
      <c r="T686" s="10"/>
      <c r="U686" s="10"/>
      <c r="V686" s="10"/>
      <c r="W686" s="10"/>
      <c r="X686" s="10"/>
      <c r="Y686" s="10"/>
      <c r="Z686" s="10"/>
      <c r="AA686" s="10"/>
      <c r="AB686" s="10"/>
      <c r="AC686" s="10"/>
      <c r="AD686" s="10"/>
      <c r="AE686" s="10"/>
      <c r="AF686" s="10"/>
      <c r="AG686" s="10"/>
      <c r="AH686" s="10"/>
    </row>
    <row r="687" spans="1:34" ht="15.75" customHeight="1">
      <c r="A687" s="13"/>
      <c r="B687" s="14"/>
      <c r="C687" s="14"/>
      <c r="D687" s="14"/>
      <c r="E687" s="15"/>
      <c r="F687" s="14"/>
      <c r="G687" s="14"/>
      <c r="H687" s="14"/>
      <c r="I687" s="14"/>
      <c r="J687" s="14"/>
      <c r="K687" s="23"/>
      <c r="L687" s="14"/>
      <c r="M687" s="14"/>
      <c r="N687" s="14"/>
      <c r="O687" s="14"/>
      <c r="P687" s="14"/>
      <c r="Q687" s="14"/>
      <c r="R687" s="14"/>
      <c r="S687" s="10"/>
      <c r="T687" s="10"/>
      <c r="U687" s="10"/>
      <c r="V687" s="10"/>
      <c r="W687" s="10"/>
      <c r="X687" s="10"/>
      <c r="Y687" s="10"/>
      <c r="Z687" s="10"/>
      <c r="AA687" s="10"/>
      <c r="AB687" s="10"/>
      <c r="AC687" s="10"/>
      <c r="AD687" s="10"/>
      <c r="AE687" s="10"/>
      <c r="AF687" s="10"/>
      <c r="AG687" s="10"/>
      <c r="AH687" s="10"/>
    </row>
    <row r="688" spans="1:34" ht="15.75" customHeight="1">
      <c r="A688" s="13"/>
      <c r="B688" s="14"/>
      <c r="C688" s="14"/>
      <c r="D688" s="14"/>
      <c r="E688" s="15"/>
      <c r="F688" s="14"/>
      <c r="G688" s="14"/>
      <c r="H688" s="14"/>
      <c r="I688" s="14"/>
      <c r="J688" s="14"/>
      <c r="K688" s="23"/>
      <c r="L688" s="14"/>
      <c r="M688" s="14"/>
      <c r="N688" s="14"/>
      <c r="O688" s="14"/>
      <c r="P688" s="14"/>
      <c r="Q688" s="14"/>
      <c r="R688" s="14"/>
      <c r="S688" s="10"/>
      <c r="T688" s="10"/>
      <c r="U688" s="10"/>
      <c r="V688" s="10"/>
      <c r="W688" s="10"/>
      <c r="X688" s="10"/>
      <c r="Y688" s="10"/>
      <c r="Z688" s="10"/>
      <c r="AA688" s="10"/>
      <c r="AB688" s="10"/>
      <c r="AC688" s="10"/>
      <c r="AD688" s="10"/>
      <c r="AE688" s="10"/>
      <c r="AF688" s="10"/>
      <c r="AG688" s="10"/>
      <c r="AH688" s="10"/>
    </row>
    <row r="689" spans="1:34" ht="15.75" customHeight="1">
      <c r="A689" s="13"/>
      <c r="B689" s="14"/>
      <c r="C689" s="14"/>
      <c r="D689" s="14"/>
      <c r="E689" s="15"/>
      <c r="F689" s="14"/>
      <c r="G689" s="14"/>
      <c r="H689" s="14"/>
      <c r="I689" s="14"/>
      <c r="J689" s="14"/>
      <c r="K689" s="23"/>
      <c r="L689" s="14"/>
      <c r="M689" s="14"/>
      <c r="N689" s="14"/>
      <c r="O689" s="14"/>
      <c r="P689" s="14"/>
      <c r="Q689" s="14"/>
      <c r="R689" s="14"/>
      <c r="S689" s="10"/>
      <c r="T689" s="10"/>
      <c r="U689" s="10"/>
      <c r="V689" s="10"/>
      <c r="W689" s="10"/>
      <c r="X689" s="10"/>
      <c r="Y689" s="10"/>
      <c r="Z689" s="10"/>
      <c r="AA689" s="10"/>
      <c r="AB689" s="10"/>
      <c r="AC689" s="10"/>
      <c r="AD689" s="10"/>
      <c r="AE689" s="10"/>
      <c r="AF689" s="10"/>
      <c r="AG689" s="10"/>
      <c r="AH689" s="10"/>
    </row>
    <row r="690" spans="1:34" ht="15.75" customHeight="1">
      <c r="A690" s="13"/>
      <c r="B690" s="14"/>
      <c r="C690" s="14"/>
      <c r="D690" s="14"/>
      <c r="E690" s="15"/>
      <c r="F690" s="14"/>
      <c r="G690" s="14"/>
      <c r="H690" s="14"/>
      <c r="I690" s="14"/>
      <c r="J690" s="14"/>
      <c r="K690" s="23"/>
      <c r="L690" s="14"/>
      <c r="M690" s="14"/>
      <c r="N690" s="14"/>
      <c r="O690" s="14"/>
      <c r="P690" s="14"/>
      <c r="Q690" s="14"/>
      <c r="R690" s="14"/>
      <c r="S690" s="10"/>
      <c r="T690" s="10"/>
      <c r="U690" s="10"/>
      <c r="V690" s="10"/>
      <c r="W690" s="10"/>
      <c r="X690" s="10"/>
      <c r="Y690" s="10"/>
      <c r="Z690" s="10"/>
      <c r="AA690" s="10"/>
      <c r="AB690" s="10"/>
      <c r="AC690" s="10"/>
      <c r="AD690" s="10"/>
      <c r="AE690" s="10"/>
      <c r="AF690" s="10"/>
      <c r="AG690" s="10"/>
      <c r="AH690" s="10"/>
    </row>
    <row r="691" spans="1:34" ht="15.75" customHeight="1">
      <c r="A691" s="13"/>
      <c r="B691" s="14"/>
      <c r="C691" s="14"/>
      <c r="D691" s="14"/>
      <c r="E691" s="15"/>
      <c r="F691" s="14"/>
      <c r="G691" s="14"/>
      <c r="H691" s="14"/>
      <c r="I691" s="14"/>
      <c r="J691" s="14"/>
      <c r="K691" s="23"/>
      <c r="L691" s="14"/>
      <c r="M691" s="14"/>
      <c r="N691" s="14"/>
      <c r="O691" s="14"/>
      <c r="P691" s="14"/>
      <c r="Q691" s="14"/>
      <c r="R691" s="14"/>
      <c r="S691" s="10"/>
      <c r="T691" s="10"/>
      <c r="U691" s="10"/>
      <c r="V691" s="10"/>
      <c r="W691" s="10"/>
      <c r="X691" s="10"/>
      <c r="Y691" s="10"/>
      <c r="Z691" s="10"/>
      <c r="AA691" s="10"/>
      <c r="AB691" s="10"/>
      <c r="AC691" s="10"/>
      <c r="AD691" s="10"/>
      <c r="AE691" s="10"/>
      <c r="AF691" s="10"/>
      <c r="AG691" s="10"/>
      <c r="AH691" s="10"/>
    </row>
    <row r="692" spans="1:34" ht="15.75" customHeight="1">
      <c r="A692" s="13"/>
      <c r="B692" s="14"/>
      <c r="C692" s="14"/>
      <c r="D692" s="14"/>
      <c r="E692" s="15"/>
      <c r="F692" s="14"/>
      <c r="G692" s="14"/>
      <c r="H692" s="14"/>
      <c r="I692" s="14"/>
      <c r="J692" s="14"/>
      <c r="K692" s="23"/>
      <c r="L692" s="14"/>
      <c r="M692" s="14"/>
      <c r="N692" s="14"/>
      <c r="O692" s="14"/>
      <c r="P692" s="14"/>
      <c r="Q692" s="14"/>
      <c r="R692" s="14"/>
      <c r="S692" s="10"/>
      <c r="T692" s="10"/>
      <c r="U692" s="10"/>
      <c r="V692" s="10"/>
      <c r="W692" s="10"/>
      <c r="X692" s="10"/>
      <c r="Y692" s="10"/>
      <c r="Z692" s="10"/>
      <c r="AA692" s="10"/>
      <c r="AB692" s="10"/>
      <c r="AC692" s="10"/>
      <c r="AD692" s="10"/>
      <c r="AE692" s="10"/>
      <c r="AF692" s="10"/>
      <c r="AG692" s="10"/>
      <c r="AH692" s="10"/>
    </row>
    <row r="693" spans="1:34" ht="15.75" customHeight="1">
      <c r="A693" s="13"/>
      <c r="B693" s="14"/>
      <c r="C693" s="14"/>
      <c r="D693" s="14"/>
      <c r="E693" s="15"/>
      <c r="F693" s="14"/>
      <c r="G693" s="14"/>
      <c r="H693" s="14"/>
      <c r="I693" s="14"/>
      <c r="J693" s="14"/>
      <c r="K693" s="23"/>
      <c r="L693" s="14"/>
      <c r="M693" s="14"/>
      <c r="N693" s="14"/>
      <c r="O693" s="14"/>
      <c r="P693" s="14"/>
      <c r="Q693" s="14"/>
      <c r="R693" s="14"/>
      <c r="S693" s="10"/>
      <c r="T693" s="10"/>
      <c r="U693" s="10"/>
      <c r="V693" s="10"/>
      <c r="W693" s="10"/>
      <c r="X693" s="10"/>
      <c r="Y693" s="10"/>
      <c r="Z693" s="10"/>
      <c r="AA693" s="10"/>
      <c r="AB693" s="10"/>
      <c r="AC693" s="10"/>
      <c r="AD693" s="10"/>
      <c r="AE693" s="10"/>
      <c r="AF693" s="10"/>
      <c r="AG693" s="10"/>
      <c r="AH693" s="10"/>
    </row>
    <row r="694" spans="1:34" ht="15.75" customHeight="1">
      <c r="A694" s="13"/>
      <c r="B694" s="14"/>
      <c r="C694" s="14"/>
      <c r="D694" s="14"/>
      <c r="E694" s="15"/>
      <c r="F694" s="14"/>
      <c r="G694" s="14"/>
      <c r="H694" s="14"/>
      <c r="I694" s="14"/>
      <c r="J694" s="14"/>
      <c r="K694" s="23"/>
      <c r="L694" s="14"/>
      <c r="M694" s="14"/>
      <c r="N694" s="14"/>
      <c r="O694" s="14"/>
      <c r="P694" s="14"/>
      <c r="Q694" s="14"/>
      <c r="R694" s="14"/>
      <c r="S694" s="10"/>
      <c r="T694" s="10"/>
      <c r="U694" s="10"/>
      <c r="V694" s="10"/>
      <c r="W694" s="10"/>
      <c r="X694" s="10"/>
      <c r="Y694" s="10"/>
      <c r="Z694" s="10"/>
      <c r="AA694" s="10"/>
      <c r="AB694" s="10"/>
      <c r="AC694" s="10"/>
      <c r="AD694" s="10"/>
      <c r="AE694" s="10"/>
      <c r="AF694" s="10"/>
      <c r="AG694" s="10"/>
      <c r="AH694" s="10"/>
    </row>
    <row r="695" spans="1:34" ht="15.75" customHeight="1">
      <c r="A695" s="13"/>
      <c r="B695" s="14"/>
      <c r="C695" s="14"/>
      <c r="D695" s="14"/>
      <c r="E695" s="15"/>
      <c r="F695" s="14"/>
      <c r="G695" s="14"/>
      <c r="H695" s="14"/>
      <c r="I695" s="14"/>
      <c r="J695" s="14"/>
      <c r="K695" s="23"/>
      <c r="L695" s="14"/>
      <c r="M695" s="14"/>
      <c r="N695" s="14"/>
      <c r="O695" s="14"/>
      <c r="P695" s="14"/>
      <c r="Q695" s="14"/>
      <c r="R695" s="14"/>
      <c r="S695" s="10"/>
      <c r="T695" s="10"/>
      <c r="U695" s="10"/>
      <c r="V695" s="10"/>
      <c r="W695" s="10"/>
      <c r="X695" s="10"/>
      <c r="Y695" s="10"/>
      <c r="Z695" s="10"/>
      <c r="AA695" s="10"/>
      <c r="AB695" s="10"/>
      <c r="AC695" s="10"/>
      <c r="AD695" s="10"/>
      <c r="AE695" s="10"/>
      <c r="AF695" s="10"/>
      <c r="AG695" s="10"/>
      <c r="AH695" s="10"/>
    </row>
    <row r="696" spans="1:34" ht="15.75" customHeight="1">
      <c r="A696" s="13"/>
      <c r="B696" s="14"/>
      <c r="C696" s="14"/>
      <c r="D696" s="14"/>
      <c r="E696" s="15"/>
      <c r="F696" s="14"/>
      <c r="G696" s="14"/>
      <c r="H696" s="14"/>
      <c r="I696" s="14"/>
      <c r="J696" s="14"/>
      <c r="K696" s="23"/>
      <c r="L696" s="14"/>
      <c r="M696" s="14"/>
      <c r="N696" s="14"/>
      <c r="O696" s="14"/>
      <c r="P696" s="14"/>
      <c r="Q696" s="14"/>
      <c r="R696" s="14"/>
      <c r="S696" s="10"/>
      <c r="T696" s="10"/>
      <c r="U696" s="10"/>
      <c r="V696" s="10"/>
      <c r="W696" s="10"/>
      <c r="X696" s="10"/>
      <c r="Y696" s="10"/>
      <c r="Z696" s="10"/>
      <c r="AA696" s="10"/>
      <c r="AB696" s="10"/>
      <c r="AC696" s="10"/>
      <c r="AD696" s="10"/>
      <c r="AE696" s="10"/>
      <c r="AF696" s="10"/>
      <c r="AG696" s="10"/>
      <c r="AH696" s="10"/>
    </row>
    <row r="697" spans="1:34" ht="15.75" customHeight="1">
      <c r="A697" s="13"/>
      <c r="B697" s="14"/>
      <c r="C697" s="14"/>
      <c r="D697" s="14"/>
      <c r="E697" s="15"/>
      <c r="F697" s="14"/>
      <c r="G697" s="14"/>
      <c r="H697" s="14"/>
      <c r="I697" s="14"/>
      <c r="J697" s="14"/>
      <c r="K697" s="23"/>
      <c r="L697" s="14"/>
      <c r="M697" s="14"/>
      <c r="N697" s="14"/>
      <c r="O697" s="14"/>
      <c r="P697" s="14"/>
      <c r="Q697" s="14"/>
      <c r="R697" s="14"/>
      <c r="S697" s="10"/>
      <c r="T697" s="10"/>
      <c r="U697" s="10"/>
      <c r="V697" s="10"/>
      <c r="W697" s="10"/>
      <c r="X697" s="10"/>
      <c r="Y697" s="10"/>
      <c r="Z697" s="10"/>
      <c r="AA697" s="10"/>
      <c r="AB697" s="10"/>
      <c r="AC697" s="10"/>
      <c r="AD697" s="10"/>
      <c r="AE697" s="10"/>
      <c r="AF697" s="10"/>
      <c r="AG697" s="10"/>
      <c r="AH697" s="10"/>
    </row>
    <row r="698" spans="1:34" ht="15.75" customHeight="1">
      <c r="A698" s="13"/>
      <c r="B698" s="14"/>
      <c r="C698" s="14"/>
      <c r="D698" s="14"/>
      <c r="E698" s="15"/>
      <c r="F698" s="14"/>
      <c r="G698" s="14"/>
      <c r="H698" s="14"/>
      <c r="I698" s="14"/>
      <c r="J698" s="14"/>
      <c r="K698" s="23"/>
      <c r="L698" s="14"/>
      <c r="M698" s="14"/>
      <c r="N698" s="14"/>
      <c r="O698" s="14"/>
      <c r="P698" s="14"/>
      <c r="Q698" s="14"/>
      <c r="R698" s="14"/>
      <c r="S698" s="10"/>
      <c r="T698" s="10"/>
      <c r="U698" s="10"/>
      <c r="V698" s="10"/>
      <c r="W698" s="10"/>
      <c r="X698" s="10"/>
      <c r="Y698" s="10"/>
      <c r="Z698" s="10"/>
      <c r="AA698" s="10"/>
      <c r="AB698" s="10"/>
      <c r="AC698" s="10"/>
      <c r="AD698" s="10"/>
      <c r="AE698" s="10"/>
      <c r="AF698" s="10"/>
      <c r="AG698" s="10"/>
      <c r="AH698" s="10"/>
    </row>
    <row r="699" spans="1:34" ht="15.75" customHeight="1">
      <c r="A699" s="13"/>
      <c r="B699" s="14"/>
      <c r="C699" s="14"/>
      <c r="D699" s="14"/>
      <c r="E699" s="15"/>
      <c r="F699" s="14"/>
      <c r="G699" s="14"/>
      <c r="H699" s="14"/>
      <c r="I699" s="14"/>
      <c r="J699" s="14"/>
      <c r="K699" s="23"/>
      <c r="L699" s="14"/>
      <c r="M699" s="14"/>
      <c r="N699" s="14"/>
      <c r="O699" s="14"/>
      <c r="P699" s="14"/>
      <c r="Q699" s="14"/>
      <c r="R699" s="14"/>
      <c r="S699" s="10"/>
      <c r="T699" s="10"/>
      <c r="U699" s="10"/>
      <c r="V699" s="10"/>
      <c r="W699" s="10"/>
      <c r="X699" s="10"/>
      <c r="Y699" s="10"/>
      <c r="Z699" s="10"/>
      <c r="AA699" s="10"/>
      <c r="AB699" s="10"/>
      <c r="AC699" s="10"/>
      <c r="AD699" s="10"/>
      <c r="AE699" s="10"/>
      <c r="AF699" s="10"/>
      <c r="AG699" s="10"/>
      <c r="AH699" s="10"/>
    </row>
    <row r="700" spans="1:34" ht="15.75" customHeight="1">
      <c r="A700" s="13"/>
      <c r="B700" s="14"/>
      <c r="C700" s="14"/>
      <c r="D700" s="14"/>
      <c r="E700" s="15"/>
      <c r="F700" s="14"/>
      <c r="G700" s="14"/>
      <c r="H700" s="14"/>
      <c r="I700" s="14"/>
      <c r="J700" s="14"/>
      <c r="K700" s="23"/>
      <c r="L700" s="14"/>
      <c r="M700" s="14"/>
      <c r="N700" s="14"/>
      <c r="O700" s="14"/>
      <c r="P700" s="14"/>
      <c r="Q700" s="14"/>
      <c r="R700" s="14"/>
      <c r="S700" s="10"/>
      <c r="T700" s="10"/>
      <c r="U700" s="10"/>
      <c r="V700" s="10"/>
      <c r="W700" s="10"/>
      <c r="X700" s="10"/>
      <c r="Y700" s="10"/>
      <c r="Z700" s="10"/>
      <c r="AA700" s="10"/>
      <c r="AB700" s="10"/>
      <c r="AC700" s="10"/>
      <c r="AD700" s="10"/>
      <c r="AE700" s="10"/>
      <c r="AF700" s="10"/>
      <c r="AG700" s="10"/>
      <c r="AH700" s="10"/>
    </row>
    <row r="701" spans="1:34" ht="15.75" customHeight="1">
      <c r="A701" s="13"/>
      <c r="B701" s="14"/>
      <c r="C701" s="14"/>
      <c r="D701" s="14"/>
      <c r="E701" s="15"/>
      <c r="F701" s="14"/>
      <c r="G701" s="14"/>
      <c r="H701" s="14"/>
      <c r="I701" s="14"/>
      <c r="J701" s="14"/>
      <c r="K701" s="23"/>
      <c r="L701" s="14"/>
      <c r="M701" s="14"/>
      <c r="N701" s="14"/>
      <c r="O701" s="14"/>
      <c r="P701" s="14"/>
      <c r="Q701" s="14"/>
      <c r="R701" s="14"/>
      <c r="S701" s="10"/>
      <c r="T701" s="10"/>
      <c r="U701" s="10"/>
      <c r="V701" s="10"/>
      <c r="W701" s="10"/>
      <c r="X701" s="10"/>
      <c r="Y701" s="10"/>
      <c r="Z701" s="10"/>
      <c r="AA701" s="10"/>
      <c r="AB701" s="10"/>
      <c r="AC701" s="10"/>
      <c r="AD701" s="10"/>
      <c r="AE701" s="10"/>
      <c r="AF701" s="10"/>
      <c r="AG701" s="10"/>
      <c r="AH701" s="10"/>
    </row>
    <row r="702" spans="1:34" ht="15.75" customHeight="1">
      <c r="A702" s="13"/>
      <c r="B702" s="14"/>
      <c r="C702" s="14"/>
      <c r="D702" s="14"/>
      <c r="E702" s="15"/>
      <c r="F702" s="14"/>
      <c r="G702" s="14"/>
      <c r="H702" s="14"/>
      <c r="I702" s="14"/>
      <c r="J702" s="14"/>
      <c r="K702" s="23"/>
      <c r="L702" s="14"/>
      <c r="M702" s="14"/>
      <c r="N702" s="14"/>
      <c r="O702" s="14"/>
      <c r="P702" s="14"/>
      <c r="Q702" s="14"/>
      <c r="R702" s="14"/>
      <c r="S702" s="10"/>
      <c r="T702" s="10"/>
      <c r="U702" s="10"/>
      <c r="V702" s="10"/>
      <c r="W702" s="10"/>
      <c r="X702" s="10"/>
      <c r="Y702" s="10"/>
      <c r="Z702" s="10"/>
      <c r="AA702" s="10"/>
      <c r="AB702" s="10"/>
      <c r="AC702" s="10"/>
      <c r="AD702" s="10"/>
      <c r="AE702" s="10"/>
      <c r="AF702" s="10"/>
      <c r="AG702" s="10"/>
      <c r="AH702" s="10"/>
    </row>
    <row r="703" spans="1:34" ht="15.75" customHeight="1">
      <c r="A703" s="13"/>
      <c r="B703" s="14"/>
      <c r="C703" s="14"/>
      <c r="D703" s="14"/>
      <c r="E703" s="15"/>
      <c r="F703" s="14"/>
      <c r="G703" s="14"/>
      <c r="H703" s="14"/>
      <c r="I703" s="14"/>
      <c r="J703" s="14"/>
      <c r="K703" s="23"/>
      <c r="L703" s="14"/>
      <c r="M703" s="14"/>
      <c r="N703" s="14"/>
      <c r="O703" s="14"/>
      <c r="P703" s="14"/>
      <c r="Q703" s="14"/>
      <c r="R703" s="14"/>
      <c r="S703" s="10"/>
      <c r="T703" s="10"/>
      <c r="U703" s="10"/>
      <c r="V703" s="10"/>
      <c r="W703" s="10"/>
      <c r="X703" s="10"/>
      <c r="Y703" s="10"/>
      <c r="Z703" s="10"/>
      <c r="AA703" s="10"/>
      <c r="AB703" s="10"/>
      <c r="AC703" s="10"/>
      <c r="AD703" s="10"/>
      <c r="AE703" s="10"/>
      <c r="AF703" s="10"/>
      <c r="AG703" s="10"/>
      <c r="AH703" s="10"/>
    </row>
    <row r="704" spans="1:34" ht="15.75" customHeight="1">
      <c r="A704" s="13"/>
      <c r="B704" s="14"/>
      <c r="C704" s="14"/>
      <c r="D704" s="14"/>
      <c r="E704" s="15"/>
      <c r="F704" s="14"/>
      <c r="G704" s="14"/>
      <c r="H704" s="14"/>
      <c r="I704" s="14"/>
      <c r="J704" s="14"/>
      <c r="K704" s="23"/>
      <c r="L704" s="14"/>
      <c r="M704" s="14"/>
      <c r="N704" s="14"/>
      <c r="O704" s="14"/>
      <c r="P704" s="14"/>
      <c r="Q704" s="14"/>
      <c r="R704" s="14"/>
      <c r="S704" s="10"/>
      <c r="T704" s="10"/>
      <c r="U704" s="10"/>
      <c r="V704" s="10"/>
      <c r="W704" s="10"/>
      <c r="X704" s="10"/>
      <c r="Y704" s="10"/>
      <c r="Z704" s="10"/>
      <c r="AA704" s="10"/>
      <c r="AB704" s="10"/>
      <c r="AC704" s="10"/>
      <c r="AD704" s="10"/>
      <c r="AE704" s="10"/>
      <c r="AF704" s="10"/>
      <c r="AG704" s="10"/>
      <c r="AH704" s="10"/>
    </row>
    <row r="705" spans="1:34" ht="15.75" customHeight="1">
      <c r="A705" s="13"/>
      <c r="B705" s="14"/>
      <c r="C705" s="14"/>
      <c r="D705" s="14"/>
      <c r="E705" s="15"/>
      <c r="F705" s="14"/>
      <c r="G705" s="14"/>
      <c r="H705" s="14"/>
      <c r="I705" s="14"/>
      <c r="J705" s="14"/>
      <c r="K705" s="23"/>
      <c r="L705" s="14"/>
      <c r="M705" s="14"/>
      <c r="N705" s="14"/>
      <c r="O705" s="14"/>
      <c r="P705" s="14"/>
      <c r="Q705" s="14"/>
      <c r="R705" s="14"/>
      <c r="S705" s="10"/>
      <c r="T705" s="10"/>
      <c r="U705" s="10"/>
      <c r="V705" s="10"/>
      <c r="W705" s="10"/>
      <c r="X705" s="10"/>
      <c r="Y705" s="10"/>
      <c r="Z705" s="10"/>
      <c r="AA705" s="10"/>
      <c r="AB705" s="10"/>
      <c r="AC705" s="10"/>
      <c r="AD705" s="10"/>
      <c r="AE705" s="10"/>
      <c r="AF705" s="10"/>
      <c r="AG705" s="10"/>
      <c r="AH705" s="10"/>
    </row>
    <row r="706" spans="1:34" ht="15.75" customHeight="1">
      <c r="A706" s="13"/>
      <c r="B706" s="14"/>
      <c r="C706" s="14"/>
      <c r="D706" s="14"/>
      <c r="E706" s="15"/>
      <c r="F706" s="14"/>
      <c r="G706" s="14"/>
      <c r="H706" s="14"/>
      <c r="I706" s="14"/>
      <c r="J706" s="14"/>
      <c r="K706" s="23"/>
      <c r="L706" s="14"/>
      <c r="M706" s="14"/>
      <c r="N706" s="14"/>
      <c r="O706" s="14"/>
      <c r="P706" s="14"/>
      <c r="Q706" s="14"/>
      <c r="R706" s="14"/>
      <c r="S706" s="10"/>
      <c r="T706" s="10"/>
      <c r="U706" s="10"/>
      <c r="V706" s="10"/>
      <c r="W706" s="10"/>
      <c r="X706" s="10"/>
      <c r="Y706" s="10"/>
      <c r="Z706" s="10"/>
      <c r="AA706" s="10"/>
      <c r="AB706" s="10"/>
      <c r="AC706" s="10"/>
      <c r="AD706" s="10"/>
      <c r="AE706" s="10"/>
      <c r="AF706" s="10"/>
      <c r="AG706" s="10"/>
      <c r="AH706" s="10"/>
    </row>
    <row r="707" spans="1:34" ht="15.75" customHeight="1">
      <c r="A707" s="13"/>
      <c r="B707" s="14"/>
      <c r="C707" s="14"/>
      <c r="D707" s="14"/>
      <c r="E707" s="15"/>
      <c r="F707" s="14"/>
      <c r="G707" s="14"/>
      <c r="H707" s="14"/>
      <c r="I707" s="14"/>
      <c r="J707" s="14"/>
      <c r="K707" s="23"/>
      <c r="L707" s="14"/>
      <c r="M707" s="14"/>
      <c r="N707" s="14"/>
      <c r="O707" s="14"/>
      <c r="P707" s="14"/>
      <c r="Q707" s="14"/>
      <c r="R707" s="14"/>
      <c r="S707" s="10"/>
      <c r="T707" s="10"/>
      <c r="U707" s="10"/>
      <c r="V707" s="10"/>
      <c r="W707" s="10"/>
      <c r="X707" s="10"/>
      <c r="Y707" s="10"/>
      <c r="Z707" s="10"/>
      <c r="AA707" s="10"/>
      <c r="AB707" s="10"/>
      <c r="AC707" s="10"/>
      <c r="AD707" s="10"/>
      <c r="AE707" s="10"/>
      <c r="AF707" s="10"/>
      <c r="AG707" s="10"/>
      <c r="AH707" s="10"/>
    </row>
    <row r="708" spans="1:34" ht="15.75" customHeight="1">
      <c r="A708" s="13"/>
      <c r="B708" s="14"/>
      <c r="C708" s="14"/>
      <c r="D708" s="14"/>
      <c r="E708" s="15"/>
      <c r="F708" s="14"/>
      <c r="G708" s="14"/>
      <c r="H708" s="14"/>
      <c r="I708" s="14"/>
      <c r="J708" s="14"/>
      <c r="K708" s="23"/>
      <c r="L708" s="14"/>
      <c r="M708" s="14"/>
      <c r="N708" s="14"/>
      <c r="O708" s="14"/>
      <c r="P708" s="14"/>
      <c r="Q708" s="14"/>
      <c r="R708" s="14"/>
      <c r="S708" s="10"/>
      <c r="T708" s="10"/>
      <c r="U708" s="10"/>
      <c r="V708" s="10"/>
      <c r="W708" s="10"/>
      <c r="X708" s="10"/>
      <c r="Y708" s="10"/>
      <c r="Z708" s="10"/>
      <c r="AA708" s="10"/>
      <c r="AB708" s="10"/>
      <c r="AC708" s="10"/>
      <c r="AD708" s="10"/>
      <c r="AE708" s="10"/>
      <c r="AF708" s="10"/>
      <c r="AG708" s="10"/>
      <c r="AH708" s="10"/>
    </row>
    <row r="709" spans="1:34" ht="15.75" customHeight="1">
      <c r="A709" s="13"/>
      <c r="B709" s="14"/>
      <c r="C709" s="14"/>
      <c r="D709" s="14"/>
      <c r="E709" s="15"/>
      <c r="F709" s="14"/>
      <c r="G709" s="14"/>
      <c r="H709" s="14"/>
      <c r="I709" s="14"/>
      <c r="J709" s="14"/>
      <c r="K709" s="23"/>
      <c r="L709" s="14"/>
      <c r="M709" s="14"/>
      <c r="N709" s="14"/>
      <c r="O709" s="14"/>
      <c r="P709" s="14"/>
      <c r="Q709" s="14"/>
      <c r="R709" s="14"/>
      <c r="S709" s="10"/>
      <c r="T709" s="10"/>
      <c r="U709" s="10"/>
      <c r="V709" s="10"/>
      <c r="W709" s="10"/>
      <c r="X709" s="10"/>
      <c r="Y709" s="10"/>
      <c r="Z709" s="10"/>
      <c r="AA709" s="10"/>
      <c r="AB709" s="10"/>
      <c r="AC709" s="10"/>
      <c r="AD709" s="10"/>
      <c r="AE709" s="10"/>
      <c r="AF709" s="10"/>
      <c r="AG709" s="10"/>
      <c r="AH709" s="10"/>
    </row>
    <row r="710" spans="1:34" ht="15.75" customHeight="1">
      <c r="A710" s="13"/>
      <c r="B710" s="14"/>
      <c r="C710" s="14"/>
      <c r="D710" s="14"/>
      <c r="E710" s="15"/>
      <c r="F710" s="14"/>
      <c r="G710" s="14"/>
      <c r="H710" s="14"/>
      <c r="I710" s="14"/>
      <c r="J710" s="14"/>
      <c r="K710" s="23"/>
      <c r="L710" s="14"/>
      <c r="M710" s="14"/>
      <c r="N710" s="14"/>
      <c r="O710" s="14"/>
      <c r="P710" s="14"/>
      <c r="Q710" s="14"/>
      <c r="R710" s="14"/>
      <c r="S710" s="10"/>
      <c r="T710" s="10"/>
      <c r="U710" s="10"/>
      <c r="V710" s="10"/>
      <c r="W710" s="10"/>
      <c r="X710" s="10"/>
      <c r="Y710" s="10"/>
      <c r="Z710" s="10"/>
      <c r="AA710" s="10"/>
      <c r="AB710" s="10"/>
      <c r="AC710" s="10"/>
      <c r="AD710" s="10"/>
      <c r="AE710" s="10"/>
      <c r="AF710" s="10"/>
      <c r="AG710" s="10"/>
      <c r="AH710" s="10"/>
    </row>
    <row r="711" spans="1:34" ht="15.75" customHeight="1">
      <c r="A711" s="13"/>
      <c r="B711" s="14"/>
      <c r="C711" s="14"/>
      <c r="D711" s="14"/>
      <c r="E711" s="15"/>
      <c r="F711" s="14"/>
      <c r="G711" s="14"/>
      <c r="H711" s="14"/>
      <c r="I711" s="14"/>
      <c r="J711" s="14"/>
      <c r="K711" s="23"/>
      <c r="L711" s="14"/>
      <c r="M711" s="14"/>
      <c r="N711" s="14"/>
      <c r="O711" s="14"/>
      <c r="P711" s="14"/>
      <c r="Q711" s="14"/>
      <c r="R711" s="14"/>
      <c r="S711" s="10"/>
      <c r="T711" s="10"/>
      <c r="U711" s="10"/>
      <c r="V711" s="10"/>
      <c r="W711" s="10"/>
      <c r="X711" s="10"/>
      <c r="Y711" s="10"/>
      <c r="Z711" s="10"/>
      <c r="AA711" s="10"/>
      <c r="AB711" s="10"/>
      <c r="AC711" s="10"/>
      <c r="AD711" s="10"/>
      <c r="AE711" s="10"/>
      <c r="AF711" s="10"/>
      <c r="AG711" s="10"/>
      <c r="AH711" s="10"/>
    </row>
    <row r="712" spans="1:34" ht="15.75" customHeight="1">
      <c r="A712" s="13"/>
      <c r="B712" s="14"/>
      <c r="C712" s="14"/>
      <c r="D712" s="14"/>
      <c r="E712" s="15"/>
      <c r="F712" s="14"/>
      <c r="G712" s="14"/>
      <c r="H712" s="14"/>
      <c r="I712" s="14"/>
      <c r="J712" s="14"/>
      <c r="K712" s="23"/>
      <c r="L712" s="14"/>
      <c r="M712" s="14"/>
      <c r="N712" s="14"/>
      <c r="O712" s="14"/>
      <c r="P712" s="14"/>
      <c r="Q712" s="14"/>
      <c r="R712" s="14"/>
      <c r="S712" s="10"/>
      <c r="T712" s="10"/>
      <c r="U712" s="10"/>
      <c r="V712" s="10"/>
      <c r="W712" s="10"/>
      <c r="X712" s="10"/>
      <c r="Y712" s="10"/>
      <c r="Z712" s="10"/>
      <c r="AA712" s="10"/>
      <c r="AB712" s="10"/>
      <c r="AC712" s="10"/>
      <c r="AD712" s="10"/>
      <c r="AE712" s="10"/>
      <c r="AF712" s="10"/>
      <c r="AG712" s="10"/>
      <c r="AH712" s="10"/>
    </row>
    <row r="713" spans="1:34" ht="15.75" customHeight="1">
      <c r="A713" s="13"/>
      <c r="B713" s="14"/>
      <c r="C713" s="14"/>
      <c r="D713" s="14"/>
      <c r="E713" s="15"/>
      <c r="F713" s="14"/>
      <c r="G713" s="14"/>
      <c r="H713" s="14"/>
      <c r="I713" s="14"/>
      <c r="J713" s="14"/>
      <c r="K713" s="23"/>
      <c r="L713" s="14"/>
      <c r="M713" s="14"/>
      <c r="N713" s="14"/>
      <c r="O713" s="14"/>
      <c r="P713" s="14"/>
      <c r="Q713" s="14"/>
      <c r="R713" s="14"/>
      <c r="S713" s="10"/>
      <c r="T713" s="10"/>
      <c r="U713" s="10"/>
      <c r="V713" s="10"/>
      <c r="W713" s="10"/>
      <c r="X713" s="10"/>
      <c r="Y713" s="10"/>
      <c r="Z713" s="10"/>
      <c r="AA713" s="10"/>
      <c r="AB713" s="10"/>
      <c r="AC713" s="10"/>
      <c r="AD713" s="10"/>
      <c r="AE713" s="10"/>
      <c r="AF713" s="10"/>
      <c r="AG713" s="10"/>
      <c r="AH713" s="10"/>
    </row>
    <row r="714" spans="1:34" ht="15.75" customHeight="1">
      <c r="A714" s="13"/>
      <c r="B714" s="14"/>
      <c r="C714" s="14"/>
      <c r="D714" s="14"/>
      <c r="E714" s="15"/>
      <c r="F714" s="14"/>
      <c r="G714" s="14"/>
      <c r="H714" s="14"/>
      <c r="I714" s="14"/>
      <c r="J714" s="14"/>
      <c r="K714" s="23"/>
      <c r="L714" s="14"/>
      <c r="M714" s="14"/>
      <c r="N714" s="14"/>
      <c r="O714" s="14"/>
      <c r="P714" s="14"/>
      <c r="Q714" s="14"/>
      <c r="R714" s="14"/>
      <c r="S714" s="10"/>
      <c r="T714" s="10"/>
      <c r="U714" s="10"/>
      <c r="V714" s="10"/>
      <c r="W714" s="10"/>
      <c r="X714" s="10"/>
      <c r="Y714" s="10"/>
      <c r="Z714" s="10"/>
      <c r="AA714" s="10"/>
      <c r="AB714" s="10"/>
      <c r="AC714" s="10"/>
      <c r="AD714" s="10"/>
      <c r="AE714" s="10"/>
      <c r="AF714" s="10"/>
      <c r="AG714" s="10"/>
      <c r="AH714" s="10"/>
    </row>
    <row r="715" spans="1:34" ht="15.75" customHeight="1">
      <c r="A715" s="13"/>
      <c r="B715" s="14"/>
      <c r="C715" s="14"/>
      <c r="D715" s="14"/>
      <c r="E715" s="15"/>
      <c r="F715" s="14"/>
      <c r="G715" s="14"/>
      <c r="H715" s="14"/>
      <c r="I715" s="14"/>
      <c r="J715" s="14"/>
      <c r="K715" s="23"/>
      <c r="L715" s="14"/>
      <c r="M715" s="14"/>
      <c r="N715" s="14"/>
      <c r="O715" s="14"/>
      <c r="P715" s="14"/>
      <c r="Q715" s="14"/>
      <c r="R715" s="14"/>
      <c r="S715" s="10"/>
      <c r="T715" s="10"/>
      <c r="U715" s="10"/>
      <c r="V715" s="10"/>
      <c r="W715" s="10"/>
      <c r="X715" s="10"/>
      <c r="Y715" s="10"/>
      <c r="Z715" s="10"/>
      <c r="AA715" s="10"/>
      <c r="AB715" s="10"/>
      <c r="AC715" s="10"/>
      <c r="AD715" s="10"/>
      <c r="AE715" s="10"/>
      <c r="AF715" s="10"/>
      <c r="AG715" s="10"/>
      <c r="AH715" s="10"/>
    </row>
    <row r="716" spans="1:34" ht="15.75" customHeight="1">
      <c r="A716" s="13"/>
      <c r="B716" s="14"/>
      <c r="C716" s="14"/>
      <c r="D716" s="14"/>
      <c r="E716" s="15"/>
      <c r="F716" s="14"/>
      <c r="G716" s="14"/>
      <c r="H716" s="14"/>
      <c r="I716" s="14"/>
      <c r="J716" s="14"/>
      <c r="K716" s="23"/>
      <c r="L716" s="14"/>
      <c r="M716" s="14"/>
      <c r="N716" s="14"/>
      <c r="O716" s="14"/>
      <c r="P716" s="14"/>
      <c r="Q716" s="14"/>
      <c r="R716" s="14"/>
      <c r="S716" s="10"/>
      <c r="T716" s="10"/>
      <c r="U716" s="10"/>
      <c r="V716" s="10"/>
      <c r="W716" s="10"/>
      <c r="X716" s="10"/>
      <c r="Y716" s="10"/>
      <c r="Z716" s="10"/>
      <c r="AA716" s="10"/>
      <c r="AB716" s="10"/>
      <c r="AC716" s="10"/>
      <c r="AD716" s="10"/>
      <c r="AE716" s="10"/>
      <c r="AF716" s="10"/>
      <c r="AG716" s="10"/>
      <c r="AH716" s="10"/>
    </row>
    <row r="717" spans="1:34" ht="15.75" customHeight="1">
      <c r="A717" s="13"/>
      <c r="B717" s="14"/>
      <c r="C717" s="14"/>
      <c r="D717" s="14"/>
      <c r="E717" s="15"/>
      <c r="F717" s="14"/>
      <c r="G717" s="14"/>
      <c r="H717" s="14"/>
      <c r="I717" s="14"/>
      <c r="J717" s="14"/>
      <c r="K717" s="23"/>
      <c r="L717" s="14"/>
      <c r="M717" s="14"/>
      <c r="N717" s="14"/>
      <c r="O717" s="14"/>
      <c r="P717" s="14"/>
      <c r="Q717" s="14"/>
      <c r="R717" s="14"/>
      <c r="S717" s="10"/>
      <c r="T717" s="10"/>
      <c r="U717" s="10"/>
      <c r="V717" s="10"/>
      <c r="W717" s="10"/>
      <c r="X717" s="10"/>
      <c r="Y717" s="10"/>
      <c r="Z717" s="10"/>
      <c r="AA717" s="10"/>
      <c r="AB717" s="10"/>
      <c r="AC717" s="10"/>
      <c r="AD717" s="10"/>
      <c r="AE717" s="10"/>
      <c r="AF717" s="10"/>
      <c r="AG717" s="10"/>
      <c r="AH717" s="10"/>
    </row>
    <row r="718" spans="1:34" ht="15.75" customHeight="1">
      <c r="A718" s="13"/>
      <c r="B718" s="14"/>
      <c r="C718" s="14"/>
      <c r="D718" s="14"/>
      <c r="E718" s="15"/>
      <c r="F718" s="14"/>
      <c r="G718" s="14"/>
      <c r="H718" s="14"/>
      <c r="I718" s="14"/>
      <c r="J718" s="14"/>
      <c r="K718" s="23"/>
      <c r="L718" s="14"/>
      <c r="M718" s="14"/>
      <c r="N718" s="14"/>
      <c r="O718" s="14"/>
      <c r="P718" s="14"/>
      <c r="Q718" s="14"/>
      <c r="R718" s="14"/>
      <c r="S718" s="10"/>
      <c r="T718" s="10"/>
      <c r="U718" s="10"/>
      <c r="V718" s="10"/>
      <c r="W718" s="10"/>
      <c r="X718" s="10"/>
      <c r="Y718" s="10"/>
      <c r="Z718" s="10"/>
      <c r="AA718" s="10"/>
      <c r="AB718" s="10"/>
      <c r="AC718" s="10"/>
      <c r="AD718" s="10"/>
      <c r="AE718" s="10"/>
      <c r="AF718" s="10"/>
      <c r="AG718" s="10"/>
      <c r="AH718" s="10"/>
    </row>
    <row r="719" spans="1:34" ht="15.75" customHeight="1">
      <c r="A719" s="13"/>
      <c r="B719" s="14"/>
      <c r="C719" s="14"/>
      <c r="D719" s="14"/>
      <c r="E719" s="15"/>
      <c r="F719" s="14"/>
      <c r="G719" s="14"/>
      <c r="H719" s="14"/>
      <c r="I719" s="14"/>
      <c r="J719" s="14"/>
      <c r="K719" s="23"/>
      <c r="L719" s="14"/>
      <c r="M719" s="14"/>
      <c r="N719" s="14"/>
      <c r="O719" s="14"/>
      <c r="P719" s="14"/>
      <c r="Q719" s="14"/>
      <c r="R719" s="14"/>
      <c r="S719" s="10"/>
      <c r="T719" s="10"/>
      <c r="U719" s="10"/>
      <c r="V719" s="10"/>
      <c r="W719" s="10"/>
      <c r="X719" s="10"/>
      <c r="Y719" s="10"/>
      <c r="Z719" s="10"/>
      <c r="AA719" s="10"/>
      <c r="AB719" s="10"/>
      <c r="AC719" s="10"/>
      <c r="AD719" s="10"/>
      <c r="AE719" s="10"/>
      <c r="AF719" s="10"/>
      <c r="AG719" s="10"/>
      <c r="AH719" s="10"/>
    </row>
    <row r="720" spans="1:34" ht="15.75" customHeight="1">
      <c r="A720" s="13"/>
      <c r="B720" s="14"/>
      <c r="C720" s="14"/>
      <c r="D720" s="14"/>
      <c r="E720" s="15"/>
      <c r="F720" s="14"/>
      <c r="G720" s="14"/>
      <c r="H720" s="14"/>
      <c r="I720" s="14"/>
      <c r="J720" s="14"/>
      <c r="K720" s="23"/>
      <c r="L720" s="14"/>
      <c r="M720" s="14"/>
      <c r="N720" s="14"/>
      <c r="O720" s="14"/>
      <c r="P720" s="14"/>
      <c r="Q720" s="14"/>
      <c r="R720" s="14"/>
      <c r="S720" s="10"/>
      <c r="T720" s="10"/>
      <c r="U720" s="10"/>
      <c r="V720" s="10"/>
      <c r="W720" s="10"/>
      <c r="X720" s="10"/>
      <c r="Y720" s="10"/>
      <c r="Z720" s="10"/>
      <c r="AA720" s="10"/>
      <c r="AB720" s="10"/>
      <c r="AC720" s="10"/>
      <c r="AD720" s="10"/>
      <c r="AE720" s="10"/>
      <c r="AF720" s="10"/>
      <c r="AG720" s="10"/>
      <c r="AH720" s="10"/>
    </row>
    <row r="721" spans="1:34" ht="15.75" customHeight="1">
      <c r="A721" s="13"/>
      <c r="B721" s="14"/>
      <c r="C721" s="14"/>
      <c r="D721" s="14"/>
      <c r="E721" s="15"/>
      <c r="F721" s="14"/>
      <c r="G721" s="14"/>
      <c r="H721" s="14"/>
      <c r="I721" s="14"/>
      <c r="J721" s="14"/>
      <c r="K721" s="23"/>
      <c r="L721" s="14"/>
      <c r="M721" s="14"/>
      <c r="N721" s="14"/>
      <c r="O721" s="14"/>
      <c r="P721" s="14"/>
      <c r="Q721" s="14"/>
      <c r="R721" s="14"/>
      <c r="S721" s="10"/>
      <c r="T721" s="10"/>
      <c r="U721" s="10"/>
      <c r="V721" s="10"/>
      <c r="W721" s="10"/>
      <c r="X721" s="10"/>
      <c r="Y721" s="10"/>
      <c r="Z721" s="10"/>
      <c r="AA721" s="10"/>
      <c r="AB721" s="10"/>
      <c r="AC721" s="10"/>
      <c r="AD721" s="10"/>
      <c r="AE721" s="10"/>
      <c r="AF721" s="10"/>
      <c r="AG721" s="10"/>
      <c r="AH721" s="10"/>
    </row>
    <row r="722" spans="1:34" ht="15.75" customHeight="1">
      <c r="A722" s="13"/>
      <c r="B722" s="14"/>
      <c r="C722" s="14"/>
      <c r="D722" s="14"/>
      <c r="E722" s="15"/>
      <c r="F722" s="14"/>
      <c r="G722" s="14"/>
      <c r="H722" s="14"/>
      <c r="I722" s="14"/>
      <c r="J722" s="14"/>
      <c r="K722" s="23"/>
      <c r="L722" s="14"/>
      <c r="M722" s="14"/>
      <c r="N722" s="14"/>
      <c r="O722" s="14"/>
      <c r="P722" s="14"/>
      <c r="Q722" s="14"/>
      <c r="R722" s="14"/>
      <c r="S722" s="10"/>
      <c r="T722" s="10"/>
      <c r="U722" s="10"/>
      <c r="V722" s="10"/>
      <c r="W722" s="10"/>
      <c r="X722" s="10"/>
      <c r="Y722" s="10"/>
      <c r="Z722" s="10"/>
      <c r="AA722" s="10"/>
      <c r="AB722" s="10"/>
      <c r="AC722" s="10"/>
      <c r="AD722" s="10"/>
      <c r="AE722" s="10"/>
      <c r="AF722" s="10"/>
      <c r="AG722" s="10"/>
      <c r="AH722" s="10"/>
    </row>
    <row r="723" spans="1:34" ht="15.75" customHeight="1">
      <c r="A723" s="13"/>
      <c r="B723" s="14"/>
      <c r="C723" s="14"/>
      <c r="D723" s="14"/>
      <c r="E723" s="15"/>
      <c r="F723" s="14"/>
      <c r="G723" s="14"/>
      <c r="H723" s="14"/>
      <c r="I723" s="14"/>
      <c r="J723" s="14"/>
      <c r="K723" s="23"/>
      <c r="L723" s="14"/>
      <c r="M723" s="14"/>
      <c r="N723" s="14"/>
      <c r="O723" s="14"/>
      <c r="P723" s="14"/>
      <c r="Q723" s="14"/>
      <c r="R723" s="14"/>
      <c r="S723" s="10"/>
      <c r="T723" s="10"/>
      <c r="U723" s="10"/>
      <c r="V723" s="10"/>
      <c r="W723" s="10"/>
      <c r="X723" s="10"/>
      <c r="Y723" s="10"/>
      <c r="Z723" s="10"/>
      <c r="AA723" s="10"/>
      <c r="AB723" s="10"/>
      <c r="AC723" s="10"/>
      <c r="AD723" s="10"/>
      <c r="AE723" s="10"/>
      <c r="AF723" s="10"/>
      <c r="AG723" s="10"/>
      <c r="AH723" s="10"/>
    </row>
    <row r="724" spans="1:34" ht="15.75" customHeight="1">
      <c r="A724" s="13"/>
      <c r="B724" s="14"/>
      <c r="C724" s="14"/>
      <c r="D724" s="14"/>
      <c r="E724" s="15"/>
      <c r="F724" s="14"/>
      <c r="G724" s="14"/>
      <c r="H724" s="14"/>
      <c r="I724" s="14"/>
      <c r="J724" s="14"/>
      <c r="K724" s="23"/>
      <c r="L724" s="14"/>
      <c r="M724" s="14"/>
      <c r="N724" s="14"/>
      <c r="O724" s="14"/>
      <c r="P724" s="14"/>
      <c r="Q724" s="14"/>
      <c r="R724" s="14"/>
      <c r="S724" s="10"/>
      <c r="T724" s="10"/>
      <c r="U724" s="10"/>
      <c r="V724" s="10"/>
      <c r="W724" s="10"/>
      <c r="X724" s="10"/>
      <c r="Y724" s="10"/>
      <c r="Z724" s="10"/>
      <c r="AA724" s="10"/>
      <c r="AB724" s="10"/>
      <c r="AC724" s="10"/>
      <c r="AD724" s="10"/>
      <c r="AE724" s="10"/>
      <c r="AF724" s="10"/>
      <c r="AG724" s="10"/>
      <c r="AH724" s="10"/>
    </row>
    <row r="725" spans="1:34" ht="15.75" customHeight="1">
      <c r="A725" s="13"/>
      <c r="B725" s="14"/>
      <c r="C725" s="14"/>
      <c r="D725" s="14"/>
      <c r="E725" s="15"/>
      <c r="F725" s="14"/>
      <c r="G725" s="14"/>
      <c r="H725" s="14"/>
      <c r="I725" s="14"/>
      <c r="J725" s="14"/>
      <c r="K725" s="23"/>
      <c r="L725" s="14"/>
      <c r="M725" s="14"/>
      <c r="N725" s="14"/>
      <c r="O725" s="14"/>
      <c r="P725" s="14"/>
      <c r="Q725" s="14"/>
      <c r="R725" s="14"/>
      <c r="S725" s="10"/>
      <c r="T725" s="10"/>
      <c r="U725" s="10"/>
      <c r="V725" s="10"/>
      <c r="W725" s="10"/>
      <c r="X725" s="10"/>
      <c r="Y725" s="10"/>
      <c r="Z725" s="10"/>
      <c r="AA725" s="10"/>
      <c r="AB725" s="10"/>
      <c r="AC725" s="10"/>
      <c r="AD725" s="10"/>
      <c r="AE725" s="10"/>
      <c r="AF725" s="10"/>
      <c r="AG725" s="10"/>
      <c r="AH725" s="10"/>
    </row>
    <row r="726" spans="1:34" ht="15.75" customHeight="1">
      <c r="A726" s="13"/>
      <c r="B726" s="14"/>
      <c r="C726" s="14"/>
      <c r="D726" s="14"/>
      <c r="E726" s="15"/>
      <c r="F726" s="14"/>
      <c r="G726" s="14"/>
      <c r="H726" s="14"/>
      <c r="I726" s="14"/>
      <c r="J726" s="14"/>
      <c r="K726" s="23"/>
      <c r="L726" s="14"/>
      <c r="M726" s="14"/>
      <c r="N726" s="14"/>
      <c r="O726" s="14"/>
      <c r="P726" s="14"/>
      <c r="Q726" s="14"/>
      <c r="R726" s="14"/>
      <c r="S726" s="10"/>
      <c r="T726" s="10"/>
      <c r="U726" s="10"/>
      <c r="V726" s="10"/>
      <c r="W726" s="10"/>
      <c r="X726" s="10"/>
      <c r="Y726" s="10"/>
      <c r="Z726" s="10"/>
      <c r="AA726" s="10"/>
      <c r="AB726" s="10"/>
      <c r="AC726" s="10"/>
      <c r="AD726" s="10"/>
      <c r="AE726" s="10"/>
      <c r="AF726" s="10"/>
      <c r="AG726" s="10"/>
      <c r="AH726" s="10"/>
    </row>
    <row r="727" spans="1:34" ht="15.75" customHeight="1">
      <c r="A727" s="13"/>
      <c r="B727" s="14"/>
      <c r="C727" s="14"/>
      <c r="D727" s="14"/>
      <c r="E727" s="15"/>
      <c r="F727" s="14"/>
      <c r="G727" s="14"/>
      <c r="H727" s="14"/>
      <c r="I727" s="14"/>
      <c r="J727" s="14"/>
      <c r="K727" s="23"/>
      <c r="L727" s="14"/>
      <c r="M727" s="14"/>
      <c r="N727" s="14"/>
      <c r="O727" s="14"/>
      <c r="P727" s="14"/>
      <c r="Q727" s="14"/>
      <c r="R727" s="14"/>
      <c r="S727" s="10"/>
      <c r="T727" s="10"/>
      <c r="U727" s="10"/>
      <c r="V727" s="10"/>
      <c r="W727" s="10"/>
      <c r="X727" s="10"/>
      <c r="Y727" s="10"/>
      <c r="Z727" s="10"/>
      <c r="AA727" s="10"/>
      <c r="AB727" s="10"/>
      <c r="AC727" s="10"/>
      <c r="AD727" s="10"/>
      <c r="AE727" s="10"/>
      <c r="AF727" s="10"/>
      <c r="AG727" s="10"/>
      <c r="AH727" s="10"/>
    </row>
    <row r="728" spans="1:34" ht="15.75" customHeight="1">
      <c r="A728" s="13"/>
      <c r="B728" s="14"/>
      <c r="C728" s="14"/>
      <c r="D728" s="14"/>
      <c r="E728" s="15"/>
      <c r="F728" s="14"/>
      <c r="G728" s="14"/>
      <c r="H728" s="14"/>
      <c r="I728" s="14"/>
      <c r="J728" s="14"/>
      <c r="K728" s="23"/>
      <c r="L728" s="14"/>
      <c r="M728" s="14"/>
      <c r="N728" s="14"/>
      <c r="O728" s="14"/>
      <c r="P728" s="14"/>
      <c r="Q728" s="14"/>
      <c r="R728" s="14"/>
      <c r="S728" s="10"/>
      <c r="T728" s="10"/>
      <c r="U728" s="10"/>
      <c r="V728" s="10"/>
      <c r="W728" s="10"/>
      <c r="X728" s="10"/>
      <c r="Y728" s="10"/>
      <c r="Z728" s="10"/>
      <c r="AA728" s="10"/>
      <c r="AB728" s="10"/>
      <c r="AC728" s="10"/>
      <c r="AD728" s="10"/>
      <c r="AE728" s="10"/>
      <c r="AF728" s="10"/>
      <c r="AG728" s="10"/>
      <c r="AH728" s="10"/>
    </row>
    <row r="729" spans="1:34" ht="15.75" customHeight="1">
      <c r="A729" s="13"/>
      <c r="B729" s="14"/>
      <c r="C729" s="14"/>
      <c r="D729" s="14"/>
      <c r="E729" s="15"/>
      <c r="F729" s="14"/>
      <c r="G729" s="14"/>
      <c r="H729" s="14"/>
      <c r="I729" s="14"/>
      <c r="J729" s="14"/>
      <c r="K729" s="23"/>
      <c r="L729" s="14"/>
      <c r="M729" s="14"/>
      <c r="N729" s="14"/>
      <c r="O729" s="14"/>
      <c r="P729" s="14"/>
      <c r="Q729" s="14"/>
      <c r="R729" s="14"/>
      <c r="S729" s="10"/>
      <c r="T729" s="10"/>
      <c r="U729" s="10"/>
      <c r="V729" s="10"/>
      <c r="W729" s="10"/>
      <c r="X729" s="10"/>
      <c r="Y729" s="10"/>
      <c r="Z729" s="10"/>
      <c r="AA729" s="10"/>
      <c r="AB729" s="10"/>
      <c r="AC729" s="10"/>
      <c r="AD729" s="10"/>
      <c r="AE729" s="10"/>
      <c r="AF729" s="10"/>
      <c r="AG729" s="10"/>
      <c r="AH729" s="10"/>
    </row>
    <row r="730" spans="1:34" ht="15.75" customHeight="1">
      <c r="A730" s="13"/>
      <c r="B730" s="14"/>
      <c r="C730" s="14"/>
      <c r="D730" s="14"/>
      <c r="E730" s="15"/>
      <c r="F730" s="14"/>
      <c r="G730" s="14"/>
      <c r="H730" s="14"/>
      <c r="I730" s="14"/>
      <c r="J730" s="14"/>
      <c r="K730" s="23"/>
      <c r="L730" s="14"/>
      <c r="M730" s="14"/>
      <c r="N730" s="14"/>
      <c r="O730" s="14"/>
      <c r="P730" s="14"/>
      <c r="Q730" s="14"/>
      <c r="R730" s="14"/>
      <c r="S730" s="10"/>
      <c r="T730" s="10"/>
      <c r="U730" s="10"/>
      <c r="V730" s="10"/>
      <c r="W730" s="10"/>
      <c r="X730" s="10"/>
      <c r="Y730" s="10"/>
      <c r="Z730" s="10"/>
      <c r="AA730" s="10"/>
      <c r="AB730" s="10"/>
      <c r="AC730" s="10"/>
      <c r="AD730" s="10"/>
      <c r="AE730" s="10"/>
      <c r="AF730" s="10"/>
      <c r="AG730" s="10"/>
      <c r="AH730" s="10"/>
    </row>
    <row r="731" spans="1:34" ht="15.75" customHeight="1">
      <c r="A731" s="13"/>
      <c r="B731" s="14"/>
      <c r="C731" s="14"/>
      <c r="D731" s="14"/>
      <c r="E731" s="15"/>
      <c r="F731" s="14"/>
      <c r="G731" s="14"/>
      <c r="H731" s="14"/>
      <c r="I731" s="14"/>
      <c r="J731" s="14"/>
      <c r="K731" s="23"/>
      <c r="L731" s="14"/>
      <c r="M731" s="14"/>
      <c r="N731" s="14"/>
      <c r="O731" s="14"/>
      <c r="P731" s="14"/>
      <c r="Q731" s="14"/>
      <c r="R731" s="14"/>
      <c r="S731" s="10"/>
      <c r="T731" s="10"/>
      <c r="U731" s="10"/>
      <c r="V731" s="10"/>
      <c r="W731" s="10"/>
      <c r="X731" s="10"/>
      <c r="Y731" s="10"/>
      <c r="Z731" s="10"/>
      <c r="AA731" s="10"/>
      <c r="AB731" s="10"/>
      <c r="AC731" s="10"/>
      <c r="AD731" s="10"/>
      <c r="AE731" s="10"/>
      <c r="AF731" s="10"/>
      <c r="AG731" s="10"/>
      <c r="AH731" s="10"/>
    </row>
    <row r="732" spans="1:34" ht="15.75" customHeight="1">
      <c r="A732" s="13"/>
      <c r="B732" s="14"/>
      <c r="C732" s="14"/>
      <c r="D732" s="14"/>
      <c r="E732" s="15"/>
      <c r="F732" s="14"/>
      <c r="G732" s="14"/>
      <c r="H732" s="14"/>
      <c r="I732" s="14"/>
      <c r="J732" s="14"/>
      <c r="K732" s="23"/>
      <c r="L732" s="14"/>
      <c r="M732" s="14"/>
      <c r="N732" s="14"/>
      <c r="O732" s="14"/>
      <c r="P732" s="14"/>
      <c r="Q732" s="14"/>
      <c r="R732" s="14"/>
      <c r="S732" s="10"/>
      <c r="T732" s="10"/>
      <c r="U732" s="10"/>
      <c r="V732" s="10"/>
      <c r="W732" s="10"/>
      <c r="X732" s="10"/>
      <c r="Y732" s="10"/>
      <c r="Z732" s="10"/>
      <c r="AA732" s="10"/>
      <c r="AB732" s="10"/>
      <c r="AC732" s="10"/>
      <c r="AD732" s="10"/>
      <c r="AE732" s="10"/>
      <c r="AF732" s="10"/>
      <c r="AG732" s="10"/>
      <c r="AH732" s="10"/>
    </row>
    <row r="733" spans="1:34" ht="15.75" customHeight="1">
      <c r="A733" s="13"/>
      <c r="B733" s="14"/>
      <c r="C733" s="14"/>
      <c r="D733" s="14"/>
      <c r="E733" s="15"/>
      <c r="F733" s="14"/>
      <c r="G733" s="14"/>
      <c r="H733" s="14"/>
      <c r="I733" s="14"/>
      <c r="J733" s="14"/>
      <c r="K733" s="23"/>
      <c r="L733" s="14"/>
      <c r="M733" s="14"/>
      <c r="N733" s="14"/>
      <c r="O733" s="14"/>
      <c r="P733" s="14"/>
      <c r="Q733" s="14"/>
      <c r="R733" s="14"/>
      <c r="S733" s="10"/>
      <c r="T733" s="10"/>
      <c r="U733" s="10"/>
      <c r="V733" s="10"/>
      <c r="W733" s="10"/>
      <c r="X733" s="10"/>
      <c r="Y733" s="10"/>
      <c r="Z733" s="10"/>
      <c r="AA733" s="10"/>
      <c r="AB733" s="10"/>
      <c r="AC733" s="10"/>
      <c r="AD733" s="10"/>
      <c r="AE733" s="10"/>
      <c r="AF733" s="10"/>
      <c r="AG733" s="10"/>
      <c r="AH733" s="10"/>
    </row>
    <row r="734" spans="1:34" ht="15.75" customHeight="1">
      <c r="A734" s="13"/>
      <c r="B734" s="14"/>
      <c r="C734" s="14"/>
      <c r="D734" s="14"/>
      <c r="E734" s="15"/>
      <c r="F734" s="14"/>
      <c r="G734" s="14"/>
      <c r="H734" s="14"/>
      <c r="I734" s="14"/>
      <c r="J734" s="14"/>
      <c r="K734" s="23"/>
      <c r="L734" s="14"/>
      <c r="M734" s="14"/>
      <c r="N734" s="14"/>
      <c r="O734" s="14"/>
      <c r="P734" s="14"/>
      <c r="Q734" s="14"/>
      <c r="R734" s="14"/>
      <c r="S734" s="10"/>
      <c r="T734" s="10"/>
      <c r="U734" s="10"/>
      <c r="V734" s="10"/>
      <c r="W734" s="10"/>
      <c r="X734" s="10"/>
      <c r="Y734" s="10"/>
      <c r="Z734" s="10"/>
      <c r="AA734" s="10"/>
      <c r="AB734" s="10"/>
      <c r="AC734" s="10"/>
      <c r="AD734" s="10"/>
      <c r="AE734" s="10"/>
      <c r="AF734" s="10"/>
      <c r="AG734" s="10"/>
      <c r="AH734" s="10"/>
    </row>
    <row r="735" spans="1:34" ht="15.75" customHeight="1">
      <c r="A735" s="13"/>
      <c r="B735" s="14"/>
      <c r="C735" s="14"/>
      <c r="D735" s="14"/>
      <c r="E735" s="15"/>
      <c r="F735" s="14"/>
      <c r="G735" s="14"/>
      <c r="H735" s="14"/>
      <c r="I735" s="14"/>
      <c r="J735" s="14"/>
      <c r="K735" s="23"/>
      <c r="L735" s="14"/>
      <c r="M735" s="14"/>
      <c r="N735" s="14"/>
      <c r="O735" s="14"/>
      <c r="P735" s="14"/>
      <c r="Q735" s="14"/>
      <c r="R735" s="14"/>
      <c r="S735" s="10"/>
      <c r="T735" s="10"/>
      <c r="U735" s="10"/>
      <c r="V735" s="10"/>
      <c r="W735" s="10"/>
      <c r="X735" s="10"/>
      <c r="Y735" s="10"/>
      <c r="Z735" s="10"/>
      <c r="AA735" s="10"/>
      <c r="AB735" s="10"/>
      <c r="AC735" s="10"/>
      <c r="AD735" s="10"/>
      <c r="AE735" s="10"/>
      <c r="AF735" s="10"/>
      <c r="AG735" s="10"/>
      <c r="AH735" s="10"/>
    </row>
    <row r="736" spans="1:34" ht="15.75" customHeight="1">
      <c r="A736" s="13"/>
      <c r="B736" s="14"/>
      <c r="C736" s="14"/>
      <c r="D736" s="14"/>
      <c r="E736" s="15"/>
      <c r="F736" s="14"/>
      <c r="G736" s="14"/>
      <c r="H736" s="14"/>
      <c r="I736" s="14"/>
      <c r="J736" s="14"/>
      <c r="K736" s="23"/>
      <c r="L736" s="14"/>
      <c r="M736" s="14"/>
      <c r="N736" s="14"/>
      <c r="O736" s="14"/>
      <c r="P736" s="14"/>
      <c r="Q736" s="14"/>
      <c r="R736" s="14"/>
      <c r="S736" s="10"/>
      <c r="T736" s="10"/>
      <c r="U736" s="10"/>
      <c r="V736" s="10"/>
      <c r="W736" s="10"/>
      <c r="X736" s="10"/>
      <c r="Y736" s="10"/>
      <c r="Z736" s="10"/>
      <c r="AA736" s="10"/>
      <c r="AB736" s="10"/>
      <c r="AC736" s="10"/>
      <c r="AD736" s="10"/>
      <c r="AE736" s="10"/>
      <c r="AF736" s="10"/>
      <c r="AG736" s="10"/>
      <c r="AH736" s="10"/>
    </row>
    <row r="737" spans="1:34">
      <c r="A737" s="13"/>
      <c r="B737" s="14"/>
      <c r="C737" s="14"/>
      <c r="D737" s="14"/>
      <c r="E737" s="15"/>
      <c r="F737" s="14"/>
      <c r="G737" s="14"/>
      <c r="H737" s="14"/>
      <c r="I737" s="14"/>
      <c r="J737" s="14"/>
      <c r="K737" s="23"/>
      <c r="L737" s="14"/>
      <c r="M737" s="14"/>
      <c r="N737" s="14"/>
      <c r="O737" s="14"/>
      <c r="P737" s="14"/>
      <c r="Q737" s="14"/>
      <c r="R737" s="14"/>
      <c r="S737" s="10"/>
      <c r="T737" s="10"/>
      <c r="U737" s="10"/>
      <c r="V737" s="10"/>
      <c r="W737" s="10"/>
      <c r="X737" s="10"/>
      <c r="Y737" s="10"/>
      <c r="Z737" s="10"/>
      <c r="AA737" s="10"/>
      <c r="AB737" s="10"/>
      <c r="AC737" s="10"/>
      <c r="AD737" s="10"/>
      <c r="AE737" s="10"/>
      <c r="AF737" s="10"/>
      <c r="AG737" s="10"/>
      <c r="AH737" s="10"/>
    </row>
    <row r="738" spans="1:34">
      <c r="A738" s="13"/>
      <c r="B738" s="14"/>
      <c r="C738" s="14"/>
      <c r="D738" s="14"/>
      <c r="E738" s="15"/>
      <c r="F738" s="14"/>
      <c r="G738" s="14"/>
      <c r="H738" s="14"/>
      <c r="I738" s="14"/>
      <c r="J738" s="14"/>
      <c r="K738" s="23"/>
      <c r="L738" s="14"/>
      <c r="M738" s="14"/>
      <c r="N738" s="14"/>
      <c r="O738" s="14"/>
      <c r="P738" s="14"/>
      <c r="Q738" s="14"/>
      <c r="R738" s="14"/>
      <c r="S738" s="10"/>
      <c r="T738" s="10"/>
      <c r="U738" s="10"/>
      <c r="V738" s="10"/>
      <c r="W738" s="10"/>
      <c r="X738" s="10"/>
      <c r="Y738" s="10"/>
      <c r="Z738" s="10"/>
      <c r="AA738" s="10"/>
      <c r="AB738" s="10"/>
      <c r="AC738" s="10"/>
      <c r="AD738" s="10"/>
      <c r="AE738" s="10"/>
      <c r="AF738" s="10"/>
      <c r="AG738" s="10"/>
      <c r="AH738" s="10"/>
    </row>
    <row r="739" spans="1:34">
      <c r="A739" s="13"/>
      <c r="B739" s="14"/>
      <c r="C739" s="14"/>
      <c r="D739" s="14"/>
      <c r="E739" s="15"/>
      <c r="F739" s="14"/>
      <c r="G739" s="14"/>
      <c r="H739" s="14"/>
      <c r="I739" s="14"/>
      <c r="J739" s="14"/>
      <c r="K739" s="23"/>
      <c r="L739" s="14"/>
      <c r="M739" s="14"/>
      <c r="N739" s="14"/>
      <c r="O739" s="14"/>
      <c r="P739" s="14"/>
      <c r="Q739" s="14"/>
      <c r="R739" s="14"/>
      <c r="S739" s="10"/>
      <c r="T739" s="10"/>
      <c r="U739" s="10"/>
      <c r="V739" s="10"/>
      <c r="W739" s="10"/>
      <c r="X739" s="10"/>
      <c r="Y739" s="10"/>
      <c r="Z739" s="10"/>
      <c r="AA739" s="10"/>
      <c r="AB739" s="10"/>
      <c r="AC739" s="10"/>
      <c r="AD739" s="10"/>
      <c r="AE739" s="10"/>
      <c r="AF739" s="10"/>
      <c r="AG739" s="10"/>
      <c r="AH739" s="10"/>
    </row>
    <row r="740" spans="1:34">
      <c r="A740" s="13"/>
      <c r="B740" s="14"/>
      <c r="C740" s="14"/>
      <c r="D740" s="14"/>
      <c r="E740" s="15"/>
      <c r="F740" s="14"/>
      <c r="G740" s="14"/>
      <c r="H740" s="14"/>
      <c r="I740" s="14"/>
      <c r="J740" s="14"/>
      <c r="K740" s="23"/>
      <c r="L740" s="14"/>
      <c r="M740" s="14"/>
      <c r="N740" s="14"/>
      <c r="O740" s="14"/>
      <c r="P740" s="14"/>
      <c r="Q740" s="14"/>
      <c r="R740" s="14"/>
      <c r="S740" s="10"/>
      <c r="T740" s="10"/>
      <c r="U740" s="10"/>
      <c r="V740" s="10"/>
      <c r="W740" s="10"/>
      <c r="X740" s="10"/>
      <c r="Y740" s="10"/>
      <c r="Z740" s="10"/>
      <c r="AA740" s="10"/>
      <c r="AB740" s="10"/>
      <c r="AC740" s="10"/>
      <c r="AD740" s="10"/>
      <c r="AE740" s="10"/>
      <c r="AF740" s="10"/>
      <c r="AG740" s="10"/>
      <c r="AH740" s="10"/>
    </row>
    <row r="741" spans="1:34">
      <c r="A741" s="13"/>
      <c r="B741" s="14"/>
      <c r="C741" s="14"/>
      <c r="D741" s="14"/>
      <c r="E741" s="15"/>
      <c r="F741" s="14"/>
      <c r="G741" s="14"/>
      <c r="H741" s="14"/>
      <c r="I741" s="14"/>
      <c r="J741" s="14"/>
      <c r="K741" s="23"/>
      <c r="L741" s="14"/>
      <c r="M741" s="14"/>
      <c r="N741" s="14"/>
      <c r="O741" s="14"/>
      <c r="P741" s="14"/>
      <c r="Q741" s="14"/>
      <c r="R741" s="14"/>
      <c r="S741" s="10"/>
      <c r="T741" s="10"/>
      <c r="U741" s="10"/>
      <c r="V741" s="10"/>
      <c r="W741" s="10"/>
      <c r="X741" s="10"/>
      <c r="Y741" s="10"/>
      <c r="Z741" s="10"/>
      <c r="AA741" s="10"/>
      <c r="AB741" s="10"/>
      <c r="AC741" s="10"/>
      <c r="AD741" s="10"/>
      <c r="AE741" s="10"/>
      <c r="AF741" s="10"/>
      <c r="AG741" s="10"/>
      <c r="AH741" s="10"/>
    </row>
    <row r="742" spans="1:34">
      <c r="A742" s="13"/>
      <c r="B742" s="14"/>
      <c r="C742" s="14"/>
      <c r="D742" s="14"/>
      <c r="E742" s="15"/>
      <c r="F742" s="14"/>
      <c r="G742" s="14"/>
      <c r="H742" s="14"/>
      <c r="I742" s="14"/>
      <c r="J742" s="14"/>
      <c r="K742" s="23"/>
      <c r="L742" s="14"/>
      <c r="M742" s="14"/>
      <c r="N742" s="14"/>
      <c r="O742" s="14"/>
      <c r="P742" s="14"/>
      <c r="Q742" s="14"/>
      <c r="R742" s="14"/>
      <c r="S742" s="10"/>
      <c r="T742" s="10"/>
      <c r="U742" s="10"/>
      <c r="V742" s="10"/>
      <c r="W742" s="10"/>
      <c r="X742" s="10"/>
      <c r="Y742" s="10"/>
      <c r="Z742" s="10"/>
      <c r="AA742" s="10"/>
      <c r="AB742" s="10"/>
      <c r="AC742" s="10"/>
      <c r="AD742" s="10"/>
      <c r="AE742" s="10"/>
      <c r="AF742" s="10"/>
      <c r="AG742" s="10"/>
      <c r="AH742" s="10"/>
    </row>
    <row r="743" spans="1:34">
      <c r="A743" s="13"/>
      <c r="B743" s="14"/>
      <c r="C743" s="14"/>
      <c r="D743" s="14"/>
      <c r="E743" s="15"/>
      <c r="F743" s="14"/>
      <c r="G743" s="14"/>
      <c r="H743" s="14"/>
      <c r="I743" s="14"/>
      <c r="J743" s="14"/>
      <c r="K743" s="23"/>
      <c r="L743" s="14"/>
      <c r="M743" s="14"/>
      <c r="N743" s="14"/>
      <c r="O743" s="14"/>
      <c r="P743" s="14"/>
      <c r="Q743" s="14"/>
      <c r="R743" s="14"/>
      <c r="S743" s="10"/>
      <c r="T743" s="10"/>
      <c r="U743" s="10"/>
      <c r="V743" s="10"/>
      <c r="W743" s="10"/>
      <c r="X743" s="10"/>
      <c r="Y743" s="10"/>
      <c r="Z743" s="10"/>
      <c r="AA743" s="10"/>
      <c r="AB743" s="10"/>
      <c r="AC743" s="10"/>
      <c r="AD743" s="10"/>
      <c r="AE743" s="10"/>
      <c r="AF743" s="10"/>
      <c r="AG743" s="10"/>
      <c r="AH743" s="10"/>
    </row>
    <row r="744" spans="1:34">
      <c r="A744" s="13"/>
      <c r="B744" s="14"/>
      <c r="C744" s="14"/>
      <c r="D744" s="14"/>
      <c r="E744" s="15"/>
      <c r="F744" s="14"/>
      <c r="G744" s="14"/>
      <c r="H744" s="14"/>
      <c r="I744" s="14"/>
      <c r="J744" s="14"/>
      <c r="K744" s="23"/>
      <c r="L744" s="14"/>
      <c r="M744" s="14"/>
      <c r="N744" s="14"/>
      <c r="O744" s="14"/>
      <c r="P744" s="14"/>
      <c r="Q744" s="14"/>
      <c r="R744" s="14"/>
      <c r="S744" s="10"/>
      <c r="T744" s="10"/>
      <c r="U744" s="10"/>
      <c r="V744" s="10"/>
      <c r="W744" s="10"/>
      <c r="X744" s="10"/>
      <c r="Y744" s="10"/>
      <c r="Z744" s="10"/>
      <c r="AA744" s="10"/>
      <c r="AB744" s="10"/>
      <c r="AC744" s="10"/>
      <c r="AD744" s="10"/>
      <c r="AE744" s="10"/>
      <c r="AF744" s="10"/>
      <c r="AG744" s="10"/>
      <c r="AH744" s="10"/>
    </row>
    <row r="745" spans="1:34">
      <c r="A745" s="13"/>
      <c r="B745" s="14"/>
      <c r="C745" s="14"/>
      <c r="D745" s="14"/>
      <c r="E745" s="15"/>
      <c r="F745" s="14"/>
      <c r="G745" s="14"/>
      <c r="H745" s="14"/>
      <c r="I745" s="14"/>
      <c r="J745" s="14"/>
      <c r="K745" s="23"/>
      <c r="L745" s="14"/>
      <c r="M745" s="14"/>
      <c r="N745" s="14"/>
      <c r="O745" s="14"/>
      <c r="P745" s="14"/>
      <c r="Q745" s="14"/>
      <c r="R745" s="14"/>
      <c r="S745" s="10"/>
      <c r="T745" s="10"/>
      <c r="U745" s="10"/>
      <c r="V745" s="10"/>
      <c r="W745" s="10"/>
      <c r="X745" s="10"/>
      <c r="Y745" s="10"/>
      <c r="Z745" s="10"/>
      <c r="AA745" s="10"/>
      <c r="AB745" s="10"/>
      <c r="AC745" s="10"/>
      <c r="AD745" s="10"/>
      <c r="AE745" s="10"/>
      <c r="AF745" s="10"/>
      <c r="AG745" s="10"/>
      <c r="AH745" s="10"/>
    </row>
    <row r="746" spans="1:34">
      <c r="A746" s="13"/>
      <c r="B746" s="14"/>
      <c r="C746" s="14"/>
      <c r="D746" s="14"/>
      <c r="E746" s="15"/>
      <c r="F746" s="14"/>
      <c r="G746" s="14"/>
      <c r="H746" s="14"/>
      <c r="I746" s="14"/>
      <c r="J746" s="14"/>
      <c r="K746" s="23"/>
      <c r="L746" s="14"/>
      <c r="M746" s="14"/>
      <c r="N746" s="14"/>
      <c r="O746" s="14"/>
      <c r="P746" s="14"/>
      <c r="Q746" s="14"/>
      <c r="R746" s="14"/>
      <c r="S746" s="10"/>
      <c r="T746" s="10"/>
      <c r="U746" s="10"/>
      <c r="V746" s="10"/>
      <c r="W746" s="10"/>
      <c r="X746" s="10"/>
      <c r="Y746" s="10"/>
      <c r="Z746" s="10"/>
      <c r="AA746" s="10"/>
      <c r="AB746" s="10"/>
      <c r="AC746" s="10"/>
      <c r="AD746" s="10"/>
      <c r="AE746" s="10"/>
      <c r="AF746" s="10"/>
      <c r="AG746" s="10"/>
      <c r="AH746" s="10"/>
    </row>
    <row r="747" spans="1:34">
      <c r="A747" s="13"/>
      <c r="B747" s="14"/>
      <c r="C747" s="14"/>
      <c r="D747" s="14"/>
      <c r="E747" s="15"/>
      <c r="F747" s="14"/>
      <c r="G747" s="14"/>
      <c r="H747" s="14"/>
      <c r="I747" s="14"/>
      <c r="J747" s="14"/>
      <c r="K747" s="23"/>
      <c r="L747" s="14"/>
      <c r="M747" s="14"/>
      <c r="N747" s="14"/>
      <c r="O747" s="14"/>
      <c r="P747" s="14"/>
      <c r="Q747" s="14"/>
      <c r="R747" s="14"/>
      <c r="S747" s="10"/>
      <c r="T747" s="10"/>
      <c r="U747" s="10"/>
      <c r="V747" s="10"/>
      <c r="W747" s="10"/>
      <c r="X747" s="10"/>
      <c r="Y747" s="10"/>
      <c r="Z747" s="10"/>
      <c r="AA747" s="10"/>
      <c r="AB747" s="10"/>
      <c r="AC747" s="10"/>
      <c r="AD747" s="10"/>
      <c r="AE747" s="10"/>
      <c r="AF747" s="10"/>
      <c r="AG747" s="10"/>
      <c r="AH747" s="10"/>
    </row>
    <row r="748" spans="1:34">
      <c r="A748" s="13"/>
      <c r="B748" s="14"/>
      <c r="C748" s="14"/>
      <c r="D748" s="14"/>
      <c r="E748" s="15"/>
      <c r="F748" s="14"/>
      <c r="G748" s="14"/>
      <c r="H748" s="14"/>
      <c r="I748" s="14"/>
      <c r="J748" s="14"/>
      <c r="K748" s="23"/>
      <c r="L748" s="14"/>
      <c r="M748" s="14"/>
      <c r="N748" s="14"/>
      <c r="O748" s="14"/>
      <c r="P748" s="14"/>
      <c r="Q748" s="14"/>
      <c r="R748" s="14"/>
      <c r="S748" s="10"/>
      <c r="T748" s="10"/>
      <c r="U748" s="10"/>
      <c r="V748" s="10"/>
      <c r="W748" s="10"/>
      <c r="X748" s="10"/>
      <c r="Y748" s="10"/>
      <c r="Z748" s="10"/>
      <c r="AA748" s="10"/>
      <c r="AB748" s="10"/>
      <c r="AC748" s="10"/>
      <c r="AD748" s="10"/>
      <c r="AE748" s="10"/>
      <c r="AF748" s="10"/>
      <c r="AG748" s="10"/>
      <c r="AH748" s="10"/>
    </row>
    <row r="749" spans="1:34">
      <c r="A749" s="13"/>
      <c r="B749" s="14"/>
      <c r="C749" s="14"/>
      <c r="D749" s="14"/>
      <c r="E749" s="15"/>
      <c r="F749" s="14"/>
      <c r="G749" s="14"/>
      <c r="H749" s="14"/>
      <c r="I749" s="14"/>
      <c r="J749" s="14"/>
      <c r="K749" s="23"/>
      <c r="L749" s="14"/>
      <c r="M749" s="14"/>
      <c r="N749" s="14"/>
      <c r="O749" s="14"/>
      <c r="P749" s="14"/>
      <c r="Q749" s="14"/>
      <c r="R749" s="14"/>
      <c r="S749" s="10"/>
      <c r="T749" s="10"/>
      <c r="U749" s="10"/>
      <c r="V749" s="10"/>
      <c r="W749" s="10"/>
      <c r="X749" s="10"/>
      <c r="Y749" s="10"/>
      <c r="Z749" s="10"/>
      <c r="AA749" s="10"/>
      <c r="AB749" s="10"/>
      <c r="AC749" s="10"/>
      <c r="AD749" s="10"/>
      <c r="AE749" s="10"/>
      <c r="AF749" s="10"/>
      <c r="AG749" s="10"/>
      <c r="AH749" s="10"/>
    </row>
    <row r="750" spans="1:34">
      <c r="A750" s="13"/>
      <c r="B750" s="14"/>
      <c r="C750" s="14"/>
      <c r="D750" s="14"/>
      <c r="E750" s="15"/>
      <c r="F750" s="14"/>
      <c r="G750" s="14"/>
      <c r="H750" s="14"/>
      <c r="I750" s="14"/>
      <c r="J750" s="14"/>
      <c r="K750" s="23"/>
      <c r="L750" s="14"/>
      <c r="M750" s="14"/>
      <c r="N750" s="14"/>
      <c r="O750" s="14"/>
      <c r="P750" s="14"/>
      <c r="Q750" s="14"/>
      <c r="R750" s="14"/>
      <c r="S750" s="10"/>
      <c r="T750" s="10"/>
      <c r="U750" s="10"/>
      <c r="V750" s="10"/>
      <c r="W750" s="10"/>
      <c r="X750" s="10"/>
      <c r="Y750" s="10"/>
      <c r="Z750" s="10"/>
      <c r="AA750" s="10"/>
      <c r="AB750" s="10"/>
      <c r="AC750" s="10"/>
      <c r="AD750" s="10"/>
      <c r="AE750" s="10"/>
      <c r="AF750" s="10"/>
      <c r="AG750" s="10"/>
      <c r="AH750" s="10"/>
    </row>
    <row r="751" spans="1:34">
      <c r="A751" s="13"/>
      <c r="B751" s="14"/>
      <c r="C751" s="14"/>
      <c r="D751" s="14"/>
      <c r="E751" s="15"/>
      <c r="F751" s="14"/>
      <c r="G751" s="14"/>
      <c r="H751" s="14"/>
      <c r="I751" s="14"/>
      <c r="J751" s="14"/>
      <c r="K751" s="23"/>
      <c r="L751" s="14"/>
      <c r="M751" s="14"/>
      <c r="N751" s="14"/>
      <c r="O751" s="14"/>
      <c r="P751" s="14"/>
      <c r="Q751" s="14"/>
      <c r="R751" s="14"/>
      <c r="S751" s="10"/>
      <c r="T751" s="10"/>
      <c r="U751" s="10"/>
      <c r="V751" s="10"/>
      <c r="W751" s="10"/>
      <c r="X751" s="10"/>
      <c r="Y751" s="10"/>
      <c r="Z751" s="10"/>
      <c r="AA751" s="10"/>
      <c r="AB751" s="10"/>
      <c r="AC751" s="10"/>
      <c r="AD751" s="10"/>
      <c r="AE751" s="10"/>
      <c r="AF751" s="10"/>
      <c r="AG751" s="10"/>
      <c r="AH751" s="10"/>
    </row>
    <row r="752" spans="1:34">
      <c r="A752" s="13"/>
      <c r="B752" s="14"/>
      <c r="C752" s="14"/>
      <c r="D752" s="14"/>
      <c r="E752" s="15"/>
      <c r="F752" s="14"/>
      <c r="G752" s="14"/>
      <c r="H752" s="14"/>
      <c r="I752" s="14"/>
      <c r="J752" s="14"/>
      <c r="K752" s="23"/>
      <c r="L752" s="14"/>
      <c r="M752" s="14"/>
      <c r="N752" s="14"/>
      <c r="O752" s="14"/>
      <c r="P752" s="14"/>
      <c r="Q752" s="14"/>
      <c r="R752" s="14"/>
      <c r="S752" s="10"/>
      <c r="T752" s="10"/>
      <c r="U752" s="10"/>
      <c r="V752" s="10"/>
      <c r="W752" s="10"/>
      <c r="X752" s="10"/>
      <c r="Y752" s="10"/>
      <c r="Z752" s="10"/>
      <c r="AA752" s="10"/>
      <c r="AB752" s="10"/>
      <c r="AC752" s="10"/>
      <c r="AD752" s="10"/>
      <c r="AE752" s="10"/>
      <c r="AF752" s="10"/>
      <c r="AG752" s="10"/>
      <c r="AH752" s="10"/>
    </row>
    <row r="753" spans="1:34">
      <c r="A753" s="13"/>
      <c r="B753" s="14"/>
      <c r="C753" s="14"/>
      <c r="D753" s="14"/>
      <c r="E753" s="15"/>
      <c r="F753" s="14"/>
      <c r="G753" s="14"/>
      <c r="H753" s="14"/>
      <c r="I753" s="14"/>
      <c r="J753" s="14"/>
      <c r="K753" s="23"/>
      <c r="L753" s="14"/>
      <c r="M753" s="14"/>
      <c r="N753" s="14"/>
      <c r="O753" s="14"/>
      <c r="P753" s="14"/>
      <c r="Q753" s="14"/>
      <c r="R753" s="14"/>
      <c r="S753" s="10"/>
      <c r="T753" s="10"/>
      <c r="U753" s="10"/>
      <c r="V753" s="10"/>
      <c r="W753" s="10"/>
      <c r="X753" s="10"/>
      <c r="Y753" s="10"/>
      <c r="Z753" s="10"/>
      <c r="AA753" s="10"/>
      <c r="AB753" s="10"/>
      <c r="AC753" s="10"/>
      <c r="AD753" s="10"/>
      <c r="AE753" s="10"/>
      <c r="AF753" s="10"/>
      <c r="AG753" s="10"/>
      <c r="AH753" s="10"/>
    </row>
    <row r="754" spans="1:34">
      <c r="A754" s="13"/>
      <c r="B754" s="14"/>
      <c r="C754" s="14"/>
      <c r="D754" s="14"/>
      <c r="E754" s="15"/>
      <c r="F754" s="14"/>
      <c r="G754" s="14"/>
      <c r="H754" s="14"/>
      <c r="I754" s="14"/>
      <c r="J754" s="14"/>
      <c r="K754" s="23"/>
      <c r="L754" s="14"/>
      <c r="M754" s="14"/>
      <c r="N754" s="14"/>
      <c r="O754" s="14"/>
      <c r="P754" s="14"/>
      <c r="Q754" s="14"/>
      <c r="R754" s="14"/>
      <c r="S754" s="10"/>
      <c r="T754" s="10"/>
      <c r="U754" s="10"/>
      <c r="V754" s="10"/>
      <c r="W754" s="10"/>
      <c r="X754" s="10"/>
      <c r="Y754" s="10"/>
      <c r="Z754" s="10"/>
      <c r="AA754" s="10"/>
      <c r="AB754" s="10"/>
      <c r="AC754" s="10"/>
      <c r="AD754" s="10"/>
      <c r="AE754" s="10"/>
      <c r="AF754" s="10"/>
      <c r="AG754" s="10"/>
      <c r="AH754" s="10"/>
    </row>
    <row r="755" spans="1:34">
      <c r="A755" s="13"/>
      <c r="B755" s="14"/>
      <c r="C755" s="14"/>
      <c r="D755" s="14"/>
      <c r="E755" s="15"/>
      <c r="F755" s="14"/>
      <c r="G755" s="14"/>
      <c r="H755" s="14"/>
      <c r="I755" s="14"/>
      <c r="J755" s="14"/>
      <c r="K755" s="23"/>
      <c r="L755" s="14"/>
      <c r="M755" s="14"/>
      <c r="N755" s="14"/>
      <c r="O755" s="14"/>
      <c r="P755" s="14"/>
      <c r="Q755" s="14"/>
      <c r="R755" s="14"/>
      <c r="S755" s="10"/>
      <c r="T755" s="10"/>
      <c r="U755" s="10"/>
      <c r="V755" s="10"/>
      <c r="W755" s="10"/>
      <c r="X755" s="10"/>
      <c r="Y755" s="10"/>
      <c r="Z755" s="10"/>
      <c r="AA755" s="10"/>
      <c r="AB755" s="10"/>
      <c r="AC755" s="10"/>
      <c r="AD755" s="10"/>
      <c r="AE755" s="10"/>
      <c r="AF755" s="10"/>
      <c r="AG755" s="10"/>
      <c r="AH755" s="10"/>
    </row>
    <row r="756" spans="1:34">
      <c r="A756" s="13"/>
      <c r="B756" s="14"/>
      <c r="C756" s="14"/>
      <c r="D756" s="14"/>
      <c r="E756" s="15"/>
      <c r="F756" s="14"/>
      <c r="G756" s="14"/>
      <c r="H756" s="14"/>
      <c r="I756" s="14"/>
      <c r="J756" s="14"/>
      <c r="K756" s="23"/>
      <c r="L756" s="14"/>
      <c r="M756" s="14"/>
      <c r="N756" s="14"/>
      <c r="O756" s="14"/>
      <c r="P756" s="14"/>
      <c r="Q756" s="14"/>
      <c r="R756" s="14"/>
      <c r="S756" s="10"/>
      <c r="T756" s="10"/>
      <c r="U756" s="10"/>
      <c r="V756" s="10"/>
      <c r="W756" s="10"/>
      <c r="X756" s="10"/>
      <c r="Y756" s="10"/>
      <c r="Z756" s="10"/>
      <c r="AA756" s="10"/>
      <c r="AB756" s="10"/>
      <c r="AC756" s="10"/>
      <c r="AD756" s="10"/>
      <c r="AE756" s="10"/>
      <c r="AF756" s="10"/>
      <c r="AG756" s="10"/>
      <c r="AH756" s="10"/>
    </row>
    <row r="757" spans="1:34">
      <c r="A757" s="13"/>
      <c r="B757" s="14"/>
      <c r="C757" s="14"/>
      <c r="D757" s="14"/>
      <c r="E757" s="15"/>
      <c r="F757" s="14"/>
      <c r="G757" s="14"/>
      <c r="H757" s="14"/>
      <c r="I757" s="14"/>
      <c r="J757" s="14"/>
      <c r="K757" s="23"/>
      <c r="L757" s="14"/>
      <c r="M757" s="14"/>
      <c r="N757" s="14"/>
      <c r="O757" s="14"/>
      <c r="P757" s="14"/>
      <c r="Q757" s="14"/>
      <c r="R757" s="14"/>
      <c r="S757" s="10"/>
      <c r="T757" s="10"/>
      <c r="U757" s="10"/>
      <c r="V757" s="10"/>
      <c r="W757" s="10"/>
      <c r="X757" s="10"/>
      <c r="Y757" s="10"/>
      <c r="Z757" s="10"/>
      <c r="AA757" s="10"/>
      <c r="AB757" s="10"/>
      <c r="AC757" s="10"/>
      <c r="AD757" s="10"/>
      <c r="AE757" s="10"/>
      <c r="AF757" s="10"/>
      <c r="AG757" s="10"/>
      <c r="AH757" s="10"/>
    </row>
    <row r="758" spans="1:34">
      <c r="A758" s="13"/>
      <c r="B758" s="14"/>
      <c r="C758" s="14"/>
      <c r="D758" s="14"/>
      <c r="E758" s="15"/>
      <c r="F758" s="14"/>
      <c r="G758" s="14"/>
      <c r="H758" s="14"/>
      <c r="I758" s="14"/>
      <c r="J758" s="14"/>
      <c r="K758" s="23"/>
      <c r="L758" s="14"/>
      <c r="M758" s="14"/>
      <c r="N758" s="14"/>
      <c r="O758" s="14"/>
      <c r="P758" s="14"/>
      <c r="Q758" s="14"/>
      <c r="R758" s="14"/>
      <c r="S758" s="10"/>
      <c r="T758" s="10"/>
      <c r="U758" s="10"/>
      <c r="V758" s="10"/>
      <c r="W758" s="10"/>
      <c r="X758" s="10"/>
      <c r="Y758" s="10"/>
      <c r="Z758" s="10"/>
      <c r="AA758" s="10"/>
      <c r="AB758" s="10"/>
      <c r="AC758" s="10"/>
      <c r="AD758" s="10"/>
      <c r="AE758" s="10"/>
      <c r="AF758" s="10"/>
      <c r="AG758" s="10"/>
      <c r="AH758" s="10"/>
    </row>
    <row r="759" spans="1:34">
      <c r="A759" s="13"/>
      <c r="B759" s="14"/>
      <c r="C759" s="14"/>
      <c r="D759" s="14"/>
      <c r="E759" s="15"/>
      <c r="F759" s="14"/>
      <c r="G759" s="14"/>
      <c r="H759" s="14"/>
      <c r="I759" s="14"/>
      <c r="J759" s="14"/>
      <c r="K759" s="23"/>
      <c r="L759" s="14"/>
      <c r="M759" s="14"/>
      <c r="N759" s="14"/>
      <c r="O759" s="14"/>
      <c r="P759" s="14"/>
      <c r="Q759" s="14"/>
      <c r="R759" s="14"/>
      <c r="S759" s="10"/>
      <c r="T759" s="10"/>
      <c r="U759" s="10"/>
      <c r="V759" s="10"/>
      <c r="W759" s="10"/>
      <c r="X759" s="10"/>
      <c r="Y759" s="10"/>
      <c r="Z759" s="10"/>
      <c r="AA759" s="10"/>
      <c r="AB759" s="10"/>
      <c r="AC759" s="10"/>
      <c r="AD759" s="10"/>
      <c r="AE759" s="10"/>
      <c r="AF759" s="10"/>
      <c r="AG759" s="10"/>
      <c r="AH759" s="10"/>
    </row>
    <row r="760" spans="1:34">
      <c r="A760" s="13"/>
      <c r="B760" s="14"/>
      <c r="C760" s="14"/>
      <c r="D760" s="14"/>
      <c r="E760" s="15"/>
      <c r="F760" s="14"/>
      <c r="G760" s="14"/>
      <c r="H760" s="14"/>
      <c r="I760" s="14"/>
      <c r="J760" s="14"/>
      <c r="K760" s="23"/>
      <c r="L760" s="14"/>
      <c r="M760" s="14"/>
      <c r="N760" s="14"/>
      <c r="O760" s="14"/>
      <c r="P760" s="14"/>
      <c r="Q760" s="14"/>
      <c r="R760" s="14"/>
      <c r="S760" s="10"/>
      <c r="T760" s="10"/>
      <c r="U760" s="10"/>
      <c r="V760" s="10"/>
      <c r="W760" s="10"/>
      <c r="X760" s="10"/>
      <c r="Y760" s="10"/>
      <c r="Z760" s="10"/>
      <c r="AA760" s="10"/>
      <c r="AB760" s="10"/>
      <c r="AC760" s="10"/>
      <c r="AD760" s="10"/>
      <c r="AE760" s="10"/>
      <c r="AF760" s="10"/>
      <c r="AG760" s="10"/>
      <c r="AH760" s="10"/>
    </row>
    <row r="761" spans="1:34">
      <c r="A761" s="13"/>
      <c r="B761" s="14"/>
      <c r="C761" s="14"/>
      <c r="D761" s="14"/>
      <c r="E761" s="15"/>
      <c r="F761" s="14"/>
      <c r="G761" s="14"/>
      <c r="H761" s="14"/>
      <c r="I761" s="14"/>
      <c r="J761" s="14"/>
      <c r="K761" s="23"/>
      <c r="L761" s="14"/>
      <c r="M761" s="14"/>
      <c r="N761" s="14"/>
      <c r="O761" s="14"/>
      <c r="P761" s="14"/>
      <c r="Q761" s="14"/>
      <c r="R761" s="14"/>
      <c r="S761" s="10"/>
      <c r="T761" s="10"/>
      <c r="U761" s="10"/>
      <c r="V761" s="10"/>
      <c r="W761" s="10"/>
      <c r="X761" s="10"/>
      <c r="Y761" s="10"/>
      <c r="Z761" s="10"/>
      <c r="AA761" s="10"/>
      <c r="AB761" s="10"/>
      <c r="AC761" s="10"/>
      <c r="AD761" s="10"/>
      <c r="AE761" s="10"/>
      <c r="AF761" s="10"/>
      <c r="AG761" s="10"/>
      <c r="AH761" s="10"/>
    </row>
    <row r="762" spans="1:34">
      <c r="A762" s="13"/>
      <c r="B762" s="14"/>
      <c r="C762" s="14"/>
      <c r="D762" s="14"/>
      <c r="E762" s="15"/>
      <c r="F762" s="14"/>
      <c r="G762" s="14"/>
      <c r="H762" s="14"/>
      <c r="I762" s="14"/>
      <c r="J762" s="14"/>
      <c r="K762" s="23"/>
      <c r="L762" s="14"/>
      <c r="M762" s="14"/>
      <c r="N762" s="14"/>
      <c r="O762" s="14"/>
      <c r="P762" s="14"/>
      <c r="Q762" s="14"/>
      <c r="R762" s="14"/>
      <c r="S762" s="10"/>
      <c r="T762" s="10"/>
      <c r="U762" s="10"/>
      <c r="V762" s="10"/>
      <c r="W762" s="10"/>
      <c r="X762" s="10"/>
      <c r="Y762" s="10"/>
      <c r="Z762" s="10"/>
      <c r="AA762" s="10"/>
      <c r="AB762" s="10"/>
      <c r="AC762" s="10"/>
      <c r="AD762" s="10"/>
      <c r="AE762" s="10"/>
      <c r="AF762" s="10"/>
      <c r="AG762" s="10"/>
      <c r="AH762" s="10"/>
    </row>
    <row r="763" spans="1:34">
      <c r="A763" s="13"/>
      <c r="B763" s="14"/>
      <c r="C763" s="14"/>
      <c r="D763" s="14"/>
      <c r="E763" s="15"/>
      <c r="F763" s="14"/>
      <c r="G763" s="14"/>
      <c r="H763" s="14"/>
      <c r="I763" s="14"/>
      <c r="J763" s="14"/>
      <c r="K763" s="23"/>
      <c r="L763" s="14"/>
      <c r="M763" s="14"/>
      <c r="N763" s="14"/>
      <c r="O763" s="14"/>
      <c r="P763" s="14"/>
      <c r="Q763" s="14"/>
      <c r="R763" s="14"/>
      <c r="S763" s="10"/>
      <c r="T763" s="10"/>
      <c r="U763" s="10"/>
      <c r="V763" s="10"/>
      <c r="W763" s="10"/>
      <c r="X763" s="10"/>
      <c r="Y763" s="10"/>
      <c r="Z763" s="10"/>
      <c r="AA763" s="10"/>
      <c r="AB763" s="10"/>
      <c r="AC763" s="10"/>
      <c r="AD763" s="10"/>
      <c r="AE763" s="10"/>
      <c r="AF763" s="10"/>
      <c r="AG763" s="10"/>
      <c r="AH763" s="10"/>
    </row>
    <row r="764" spans="1:34">
      <c r="A764" s="13"/>
      <c r="B764" s="14"/>
      <c r="C764" s="14"/>
      <c r="D764" s="14"/>
      <c r="E764" s="15"/>
      <c r="F764" s="14"/>
      <c r="G764" s="14"/>
      <c r="H764" s="14"/>
      <c r="I764" s="14"/>
      <c r="J764" s="14"/>
      <c r="K764" s="23"/>
      <c r="L764" s="14"/>
      <c r="M764" s="14"/>
      <c r="N764" s="14"/>
      <c r="O764" s="14"/>
      <c r="P764" s="14"/>
      <c r="Q764" s="14"/>
      <c r="R764" s="14"/>
      <c r="S764" s="10"/>
      <c r="T764" s="10"/>
      <c r="U764" s="10"/>
      <c r="V764" s="10"/>
      <c r="W764" s="10"/>
      <c r="X764" s="10"/>
      <c r="Y764" s="10"/>
      <c r="Z764" s="10"/>
      <c r="AA764" s="10"/>
      <c r="AB764" s="10"/>
      <c r="AC764" s="10"/>
      <c r="AD764" s="10"/>
      <c r="AE764" s="10"/>
      <c r="AF764" s="10"/>
      <c r="AG764" s="10"/>
      <c r="AH764" s="10"/>
    </row>
    <row r="765" spans="1:34">
      <c r="A765" s="13"/>
      <c r="B765" s="14"/>
      <c r="C765" s="14"/>
      <c r="D765" s="14"/>
      <c r="E765" s="15"/>
      <c r="F765" s="14"/>
      <c r="G765" s="14"/>
      <c r="H765" s="14"/>
      <c r="I765" s="14"/>
      <c r="J765" s="14"/>
      <c r="K765" s="23"/>
      <c r="L765" s="14"/>
      <c r="M765" s="14"/>
      <c r="N765" s="14"/>
      <c r="O765" s="14"/>
      <c r="P765" s="14"/>
      <c r="Q765" s="14"/>
      <c r="R765" s="14"/>
      <c r="S765" s="10"/>
      <c r="T765" s="10"/>
      <c r="U765" s="10"/>
      <c r="V765" s="10"/>
      <c r="W765" s="10"/>
      <c r="X765" s="10"/>
      <c r="Y765" s="10"/>
      <c r="Z765" s="10"/>
      <c r="AA765" s="10"/>
      <c r="AB765" s="10"/>
      <c r="AC765" s="10"/>
      <c r="AD765" s="10"/>
      <c r="AE765" s="10"/>
      <c r="AF765" s="10"/>
      <c r="AG765" s="10"/>
      <c r="AH765" s="10"/>
    </row>
    <row r="766" spans="1:34">
      <c r="A766" s="13"/>
      <c r="B766" s="14"/>
      <c r="C766" s="14"/>
      <c r="D766" s="14"/>
      <c r="E766" s="15"/>
      <c r="F766" s="14"/>
      <c r="G766" s="14"/>
      <c r="H766" s="14"/>
      <c r="I766" s="14"/>
      <c r="J766" s="14"/>
      <c r="K766" s="23"/>
      <c r="L766" s="14"/>
      <c r="M766" s="14"/>
      <c r="N766" s="14"/>
      <c r="O766" s="14"/>
      <c r="P766" s="14"/>
      <c r="Q766" s="14"/>
      <c r="R766" s="14"/>
      <c r="S766" s="10"/>
      <c r="T766" s="10"/>
      <c r="U766" s="10"/>
      <c r="V766" s="10"/>
      <c r="W766" s="10"/>
      <c r="X766" s="10"/>
      <c r="Y766" s="10"/>
      <c r="Z766" s="10"/>
      <c r="AA766" s="10"/>
      <c r="AB766" s="10"/>
      <c r="AC766" s="10"/>
      <c r="AD766" s="10"/>
      <c r="AE766" s="10"/>
      <c r="AF766" s="10"/>
      <c r="AG766" s="10"/>
      <c r="AH766" s="10"/>
    </row>
    <row r="767" spans="1:34">
      <c r="A767" s="13"/>
      <c r="B767" s="14"/>
      <c r="C767" s="14"/>
      <c r="D767" s="14"/>
      <c r="E767" s="15"/>
      <c r="F767" s="14"/>
      <c r="G767" s="14"/>
      <c r="H767" s="14"/>
      <c r="I767" s="14"/>
      <c r="J767" s="14"/>
      <c r="K767" s="23"/>
      <c r="L767" s="14"/>
      <c r="M767" s="14"/>
      <c r="N767" s="14"/>
      <c r="O767" s="14"/>
      <c r="P767" s="14"/>
      <c r="Q767" s="14"/>
      <c r="R767" s="14"/>
      <c r="S767" s="10"/>
      <c r="T767" s="10"/>
      <c r="U767" s="10"/>
      <c r="V767" s="10"/>
      <c r="W767" s="10"/>
      <c r="X767" s="10"/>
      <c r="Y767" s="10"/>
      <c r="Z767" s="10"/>
      <c r="AA767" s="10"/>
      <c r="AB767" s="10"/>
      <c r="AC767" s="10"/>
      <c r="AD767" s="10"/>
      <c r="AE767" s="10"/>
      <c r="AF767" s="10"/>
      <c r="AG767" s="10"/>
      <c r="AH767" s="10"/>
    </row>
    <row r="768" spans="1:34">
      <c r="A768" s="13"/>
      <c r="B768" s="14"/>
      <c r="C768" s="14"/>
      <c r="D768" s="14"/>
      <c r="E768" s="15"/>
      <c r="F768" s="14"/>
      <c r="G768" s="14"/>
      <c r="H768" s="14"/>
      <c r="I768" s="14"/>
      <c r="J768" s="14"/>
      <c r="K768" s="23"/>
      <c r="L768" s="14"/>
      <c r="M768" s="14"/>
      <c r="N768" s="14"/>
      <c r="O768" s="14"/>
      <c r="P768" s="14"/>
      <c r="Q768" s="14"/>
      <c r="R768" s="14"/>
      <c r="S768" s="10"/>
      <c r="T768" s="10"/>
      <c r="U768" s="10"/>
      <c r="V768" s="10"/>
      <c r="W768" s="10"/>
      <c r="X768" s="10"/>
      <c r="Y768" s="10"/>
      <c r="Z768" s="10"/>
      <c r="AA768" s="10"/>
      <c r="AB768" s="10"/>
      <c r="AC768" s="10"/>
      <c r="AD768" s="10"/>
      <c r="AE768" s="10"/>
      <c r="AF768" s="10"/>
      <c r="AG768" s="10"/>
      <c r="AH768" s="10"/>
    </row>
    <row r="769" spans="1:34">
      <c r="A769" s="13"/>
      <c r="B769" s="14"/>
      <c r="C769" s="14"/>
      <c r="D769" s="14"/>
      <c r="E769" s="15"/>
      <c r="F769" s="14"/>
      <c r="G769" s="14"/>
      <c r="H769" s="14"/>
      <c r="I769" s="14"/>
      <c r="J769" s="14"/>
      <c r="K769" s="23"/>
      <c r="L769" s="14"/>
      <c r="M769" s="14"/>
      <c r="N769" s="14"/>
      <c r="O769" s="14"/>
      <c r="P769" s="14"/>
      <c r="Q769" s="14"/>
      <c r="R769" s="14"/>
      <c r="S769" s="10"/>
      <c r="T769" s="10"/>
      <c r="U769" s="10"/>
      <c r="V769" s="10"/>
      <c r="W769" s="10"/>
      <c r="X769" s="10"/>
      <c r="Y769" s="10"/>
      <c r="Z769" s="10"/>
      <c r="AA769" s="10"/>
      <c r="AB769" s="10"/>
      <c r="AC769" s="10"/>
      <c r="AD769" s="10"/>
      <c r="AE769" s="10"/>
      <c r="AF769" s="10"/>
      <c r="AG769" s="10"/>
      <c r="AH769" s="10"/>
    </row>
    <row r="770" spans="1:34">
      <c r="A770" s="13"/>
      <c r="B770" s="14"/>
      <c r="C770" s="14"/>
      <c r="D770" s="14"/>
      <c r="E770" s="15"/>
      <c r="F770" s="14"/>
      <c r="G770" s="14"/>
      <c r="H770" s="14"/>
      <c r="I770" s="14"/>
      <c r="J770" s="14"/>
      <c r="K770" s="23"/>
      <c r="L770" s="14"/>
      <c r="M770" s="14"/>
      <c r="N770" s="14"/>
      <c r="O770" s="14"/>
      <c r="P770" s="14"/>
      <c r="Q770" s="14"/>
      <c r="R770" s="14"/>
      <c r="S770" s="10"/>
      <c r="T770" s="10"/>
      <c r="U770" s="10"/>
      <c r="V770" s="10"/>
      <c r="W770" s="10"/>
      <c r="X770" s="10"/>
      <c r="Y770" s="10"/>
      <c r="Z770" s="10"/>
      <c r="AA770" s="10"/>
      <c r="AB770" s="10"/>
      <c r="AC770" s="10"/>
      <c r="AD770" s="10"/>
      <c r="AE770" s="10"/>
      <c r="AF770" s="10"/>
      <c r="AG770" s="10"/>
      <c r="AH770" s="10"/>
    </row>
    <row r="771" spans="1:34">
      <c r="A771" s="13"/>
      <c r="B771" s="14"/>
      <c r="C771" s="14"/>
      <c r="D771" s="14"/>
      <c r="E771" s="15"/>
      <c r="F771" s="14"/>
      <c r="G771" s="14"/>
      <c r="H771" s="14"/>
      <c r="I771" s="14"/>
      <c r="J771" s="14"/>
      <c r="K771" s="23"/>
      <c r="L771" s="14"/>
      <c r="M771" s="14"/>
      <c r="N771" s="14"/>
      <c r="O771" s="14"/>
      <c r="P771" s="14"/>
      <c r="Q771" s="14"/>
      <c r="R771" s="14"/>
      <c r="S771" s="10"/>
      <c r="T771" s="10"/>
      <c r="U771" s="10"/>
      <c r="V771" s="10"/>
      <c r="W771" s="10"/>
      <c r="X771" s="10"/>
      <c r="Y771" s="10"/>
      <c r="Z771" s="10"/>
      <c r="AA771" s="10"/>
      <c r="AB771" s="10"/>
      <c r="AC771" s="10"/>
      <c r="AD771" s="10"/>
      <c r="AE771" s="10"/>
      <c r="AF771" s="10"/>
      <c r="AG771" s="10"/>
      <c r="AH771" s="10"/>
    </row>
    <row r="772" spans="1:34">
      <c r="A772" s="13"/>
      <c r="B772" s="14"/>
      <c r="C772" s="14"/>
      <c r="D772" s="14"/>
      <c r="E772" s="15"/>
      <c r="F772" s="14"/>
      <c r="G772" s="14"/>
      <c r="H772" s="14"/>
      <c r="I772" s="14"/>
      <c r="J772" s="14"/>
      <c r="K772" s="23"/>
      <c r="L772" s="14"/>
      <c r="M772" s="14"/>
      <c r="N772" s="14"/>
      <c r="O772" s="14"/>
      <c r="P772" s="14"/>
      <c r="Q772" s="14"/>
      <c r="R772" s="14"/>
      <c r="S772" s="10"/>
      <c r="T772" s="10"/>
      <c r="U772" s="10"/>
      <c r="V772" s="10"/>
      <c r="W772" s="10"/>
      <c r="X772" s="10"/>
      <c r="Y772" s="10"/>
      <c r="Z772" s="10"/>
      <c r="AA772" s="10"/>
      <c r="AB772" s="10"/>
      <c r="AC772" s="10"/>
      <c r="AD772" s="10"/>
      <c r="AE772" s="10"/>
      <c r="AF772" s="10"/>
      <c r="AG772" s="10"/>
      <c r="AH772" s="10"/>
    </row>
    <row r="773" spans="1:34">
      <c r="A773" s="13"/>
      <c r="B773" s="14"/>
      <c r="C773" s="14"/>
      <c r="D773" s="14"/>
      <c r="E773" s="15"/>
      <c r="F773" s="14"/>
      <c r="G773" s="14"/>
      <c r="H773" s="14"/>
      <c r="I773" s="14"/>
      <c r="J773" s="14"/>
      <c r="K773" s="23"/>
      <c r="L773" s="14"/>
      <c r="M773" s="14"/>
      <c r="N773" s="14"/>
      <c r="O773" s="14"/>
      <c r="P773" s="14"/>
      <c r="Q773" s="14"/>
      <c r="R773" s="14"/>
      <c r="S773" s="10"/>
      <c r="T773" s="10"/>
      <c r="U773" s="10"/>
      <c r="V773" s="10"/>
      <c r="W773" s="10"/>
      <c r="X773" s="10"/>
      <c r="Y773" s="10"/>
      <c r="Z773" s="10"/>
      <c r="AA773" s="10"/>
      <c r="AB773" s="10"/>
      <c r="AC773" s="10"/>
      <c r="AD773" s="10"/>
      <c r="AE773" s="10"/>
      <c r="AF773" s="10"/>
      <c r="AG773" s="10"/>
      <c r="AH773" s="10"/>
    </row>
    <row r="774" spans="1:34">
      <c r="A774" s="13"/>
      <c r="B774" s="14"/>
      <c r="C774" s="14"/>
      <c r="D774" s="14"/>
      <c r="E774" s="15"/>
      <c r="F774" s="14"/>
      <c r="G774" s="14"/>
      <c r="H774" s="14"/>
      <c r="I774" s="14"/>
      <c r="J774" s="14"/>
      <c r="K774" s="23"/>
      <c r="L774" s="14"/>
      <c r="M774" s="14"/>
      <c r="N774" s="14"/>
      <c r="O774" s="14"/>
      <c r="P774" s="14"/>
      <c r="Q774" s="14"/>
      <c r="R774" s="14"/>
      <c r="S774" s="10"/>
      <c r="T774" s="10"/>
      <c r="U774" s="10"/>
      <c r="V774" s="10"/>
      <c r="W774" s="10"/>
      <c r="X774" s="10"/>
      <c r="Y774" s="10"/>
      <c r="Z774" s="10"/>
      <c r="AA774" s="10"/>
      <c r="AB774" s="10"/>
      <c r="AC774" s="10"/>
      <c r="AD774" s="10"/>
      <c r="AE774" s="10"/>
      <c r="AF774" s="10"/>
      <c r="AG774" s="10"/>
      <c r="AH774" s="10"/>
    </row>
    <row r="775" spans="1:34">
      <c r="A775" s="13"/>
      <c r="B775" s="14"/>
      <c r="C775" s="14"/>
      <c r="D775" s="14"/>
      <c r="E775" s="15"/>
      <c r="F775" s="14"/>
      <c r="G775" s="14"/>
      <c r="H775" s="14"/>
      <c r="I775" s="14"/>
      <c r="J775" s="14"/>
      <c r="K775" s="23"/>
      <c r="L775" s="14"/>
      <c r="M775" s="14"/>
      <c r="N775" s="14"/>
      <c r="O775" s="14"/>
      <c r="P775" s="14"/>
      <c r="Q775" s="14"/>
      <c r="R775" s="14"/>
      <c r="S775" s="10"/>
      <c r="T775" s="10"/>
      <c r="U775" s="10"/>
      <c r="V775" s="10"/>
      <c r="W775" s="10"/>
      <c r="X775" s="10"/>
      <c r="Y775" s="10"/>
      <c r="Z775" s="10"/>
      <c r="AA775" s="10"/>
      <c r="AB775" s="10"/>
      <c r="AC775" s="10"/>
      <c r="AD775" s="10"/>
      <c r="AE775" s="10"/>
      <c r="AF775" s="10"/>
      <c r="AG775" s="10"/>
      <c r="AH775" s="10"/>
    </row>
    <row r="776" spans="1:34">
      <c r="A776" s="13"/>
      <c r="B776" s="14"/>
      <c r="C776" s="14"/>
      <c r="D776" s="14"/>
      <c r="E776" s="15"/>
      <c r="F776" s="14"/>
      <c r="G776" s="14"/>
      <c r="H776" s="14"/>
      <c r="I776" s="14"/>
      <c r="J776" s="14"/>
      <c r="K776" s="23"/>
      <c r="L776" s="14"/>
      <c r="M776" s="14"/>
      <c r="N776" s="14"/>
      <c r="O776" s="14"/>
      <c r="P776" s="14"/>
      <c r="Q776" s="14"/>
      <c r="R776" s="14"/>
      <c r="S776" s="10"/>
      <c r="T776" s="10"/>
      <c r="U776" s="10"/>
      <c r="V776" s="10"/>
      <c r="W776" s="10"/>
      <c r="X776" s="10"/>
      <c r="Y776" s="10"/>
      <c r="Z776" s="10"/>
      <c r="AA776" s="10"/>
      <c r="AB776" s="10"/>
      <c r="AC776" s="10"/>
      <c r="AD776" s="10"/>
      <c r="AE776" s="10"/>
      <c r="AF776" s="10"/>
      <c r="AG776" s="10"/>
      <c r="AH776" s="10"/>
    </row>
    <row r="777" spans="1:34">
      <c r="A777" s="13"/>
      <c r="B777" s="14"/>
      <c r="C777" s="14"/>
      <c r="D777" s="14"/>
      <c r="E777" s="15"/>
      <c r="F777" s="14"/>
      <c r="G777" s="14"/>
      <c r="H777" s="14"/>
      <c r="I777" s="14"/>
      <c r="J777" s="14"/>
      <c r="K777" s="23"/>
      <c r="L777" s="14"/>
      <c r="M777" s="14"/>
      <c r="N777" s="14"/>
      <c r="O777" s="14"/>
      <c r="P777" s="14"/>
      <c r="Q777" s="14"/>
      <c r="R777" s="14"/>
      <c r="S777" s="10"/>
      <c r="T777" s="10"/>
      <c r="U777" s="10"/>
      <c r="V777" s="10"/>
      <c r="W777" s="10"/>
      <c r="X777" s="10"/>
      <c r="Y777" s="10"/>
      <c r="Z777" s="10"/>
      <c r="AA777" s="10"/>
      <c r="AB777" s="10"/>
      <c r="AC777" s="10"/>
      <c r="AD777" s="10"/>
      <c r="AE777" s="10"/>
      <c r="AF777" s="10"/>
      <c r="AG777" s="10"/>
      <c r="AH777" s="10"/>
    </row>
    <row r="778" spans="1:34">
      <c r="A778" s="13"/>
      <c r="B778" s="14"/>
      <c r="C778" s="14"/>
      <c r="D778" s="14"/>
      <c r="E778" s="15"/>
      <c r="F778" s="14"/>
      <c r="G778" s="14"/>
      <c r="H778" s="14"/>
      <c r="I778" s="14"/>
      <c r="J778" s="14"/>
      <c r="K778" s="23"/>
      <c r="L778" s="14"/>
      <c r="M778" s="14"/>
      <c r="N778" s="14"/>
      <c r="O778" s="14"/>
      <c r="P778" s="14"/>
      <c r="Q778" s="14"/>
      <c r="R778" s="14"/>
      <c r="S778" s="10"/>
      <c r="T778" s="10"/>
      <c r="U778" s="10"/>
      <c r="V778" s="10"/>
      <c r="W778" s="10"/>
      <c r="X778" s="10"/>
      <c r="Y778" s="10"/>
      <c r="Z778" s="10"/>
      <c r="AA778" s="10"/>
      <c r="AB778" s="10"/>
      <c r="AC778" s="10"/>
      <c r="AD778" s="10"/>
      <c r="AE778" s="10"/>
      <c r="AF778" s="10"/>
      <c r="AG778" s="10"/>
      <c r="AH778" s="10"/>
    </row>
    <row r="779" spans="1:34">
      <c r="A779" s="13"/>
      <c r="B779" s="14"/>
      <c r="C779" s="14"/>
      <c r="D779" s="14"/>
      <c r="E779" s="15"/>
      <c r="F779" s="14"/>
      <c r="G779" s="14"/>
      <c r="H779" s="14"/>
      <c r="I779" s="14"/>
      <c r="J779" s="14"/>
      <c r="K779" s="23"/>
      <c r="L779" s="14"/>
      <c r="M779" s="14"/>
      <c r="N779" s="14"/>
      <c r="O779" s="14"/>
      <c r="P779" s="14"/>
      <c r="Q779" s="14"/>
      <c r="R779" s="14"/>
      <c r="S779" s="10"/>
      <c r="T779" s="10"/>
      <c r="U779" s="10"/>
      <c r="V779" s="10"/>
      <c r="W779" s="10"/>
      <c r="X779" s="10"/>
      <c r="Y779" s="10"/>
      <c r="Z779" s="10"/>
      <c r="AA779" s="10"/>
      <c r="AB779" s="10"/>
      <c r="AC779" s="10"/>
      <c r="AD779" s="10"/>
      <c r="AE779" s="10"/>
      <c r="AF779" s="10"/>
      <c r="AG779" s="10"/>
      <c r="AH779" s="10"/>
    </row>
    <row r="780" spans="1:34">
      <c r="A780" s="13"/>
      <c r="B780" s="14"/>
      <c r="C780" s="14"/>
      <c r="D780" s="14"/>
      <c r="E780" s="15"/>
      <c r="F780" s="14"/>
      <c r="G780" s="14"/>
      <c r="H780" s="14"/>
      <c r="I780" s="14"/>
      <c r="J780" s="14"/>
      <c r="K780" s="23"/>
      <c r="L780" s="14"/>
      <c r="M780" s="14"/>
      <c r="N780" s="14"/>
      <c r="O780" s="14"/>
      <c r="P780" s="14"/>
      <c r="Q780" s="14"/>
      <c r="R780" s="14"/>
      <c r="S780" s="10"/>
      <c r="T780" s="10"/>
      <c r="U780" s="10"/>
      <c r="V780" s="10"/>
      <c r="W780" s="10"/>
      <c r="X780" s="10"/>
      <c r="Y780" s="10"/>
      <c r="Z780" s="10"/>
      <c r="AA780" s="10"/>
      <c r="AB780" s="10"/>
      <c r="AC780" s="10"/>
      <c r="AD780" s="10"/>
      <c r="AE780" s="10"/>
      <c r="AF780" s="10"/>
      <c r="AG780" s="10"/>
      <c r="AH780" s="10"/>
    </row>
    <row r="781" spans="1:34">
      <c r="A781" s="13"/>
      <c r="B781" s="14"/>
      <c r="C781" s="14"/>
      <c r="D781" s="14"/>
      <c r="E781" s="15"/>
      <c r="F781" s="14"/>
      <c r="G781" s="14"/>
      <c r="H781" s="14"/>
      <c r="I781" s="14"/>
      <c r="J781" s="14"/>
      <c r="K781" s="23"/>
      <c r="L781" s="14"/>
      <c r="M781" s="14"/>
      <c r="N781" s="14"/>
      <c r="O781" s="14"/>
      <c r="P781" s="14"/>
      <c r="Q781" s="14"/>
      <c r="R781" s="14"/>
      <c r="S781" s="10"/>
      <c r="T781" s="10"/>
      <c r="U781" s="10"/>
      <c r="V781" s="10"/>
      <c r="W781" s="10"/>
      <c r="X781" s="10"/>
      <c r="Y781" s="10"/>
      <c r="Z781" s="10"/>
      <c r="AA781" s="10"/>
      <c r="AB781" s="10"/>
      <c r="AC781" s="10"/>
      <c r="AD781" s="10"/>
      <c r="AE781" s="10"/>
      <c r="AF781" s="10"/>
      <c r="AG781" s="10"/>
      <c r="AH781" s="10"/>
    </row>
    <row r="782" spans="1:34">
      <c r="A782" s="13"/>
      <c r="B782" s="14"/>
      <c r="C782" s="14"/>
      <c r="D782" s="14"/>
      <c r="E782" s="15"/>
      <c r="F782" s="14"/>
      <c r="G782" s="14"/>
      <c r="H782" s="14"/>
      <c r="I782" s="14"/>
      <c r="J782" s="14"/>
      <c r="K782" s="23"/>
      <c r="L782" s="14"/>
      <c r="M782" s="14"/>
      <c r="N782" s="14"/>
      <c r="O782" s="14"/>
      <c r="P782" s="14"/>
      <c r="Q782" s="14"/>
      <c r="R782" s="14"/>
      <c r="S782" s="10"/>
      <c r="T782" s="10"/>
      <c r="U782" s="10"/>
      <c r="V782" s="10"/>
      <c r="W782" s="10"/>
      <c r="X782" s="10"/>
      <c r="Y782" s="10"/>
      <c r="Z782" s="10"/>
      <c r="AA782" s="10"/>
      <c r="AB782" s="10"/>
      <c r="AC782" s="10"/>
      <c r="AD782" s="10"/>
      <c r="AE782" s="10"/>
      <c r="AF782" s="10"/>
      <c r="AG782" s="10"/>
      <c r="AH782" s="10"/>
    </row>
    <row r="783" spans="1:34">
      <c r="A783" s="13"/>
      <c r="B783" s="14"/>
      <c r="C783" s="14"/>
      <c r="D783" s="14"/>
      <c r="E783" s="15"/>
      <c r="F783" s="14"/>
      <c r="G783" s="14"/>
      <c r="H783" s="14"/>
      <c r="I783" s="14"/>
      <c r="J783" s="14"/>
      <c r="K783" s="23"/>
      <c r="L783" s="14"/>
      <c r="M783" s="14"/>
      <c r="N783" s="14"/>
      <c r="O783" s="14"/>
      <c r="P783" s="14"/>
      <c r="Q783" s="14"/>
      <c r="R783" s="14"/>
      <c r="S783" s="10"/>
      <c r="T783" s="10"/>
      <c r="U783" s="10"/>
      <c r="V783" s="10"/>
      <c r="W783" s="10"/>
      <c r="X783" s="10"/>
      <c r="Y783" s="10"/>
      <c r="Z783" s="10"/>
      <c r="AA783" s="10"/>
      <c r="AB783" s="10"/>
      <c r="AC783" s="10"/>
      <c r="AD783" s="10"/>
      <c r="AE783" s="10"/>
      <c r="AF783" s="10"/>
      <c r="AG783" s="10"/>
      <c r="AH783" s="10"/>
    </row>
    <row r="784" spans="1:34">
      <c r="A784" s="13"/>
      <c r="B784" s="14"/>
      <c r="C784" s="14"/>
      <c r="D784" s="14"/>
      <c r="E784" s="15"/>
      <c r="F784" s="14"/>
      <c r="G784" s="14"/>
      <c r="H784" s="14"/>
      <c r="I784" s="14"/>
      <c r="J784" s="14"/>
      <c r="K784" s="23"/>
      <c r="L784" s="14"/>
      <c r="M784" s="14"/>
      <c r="N784" s="14"/>
      <c r="O784" s="14"/>
      <c r="P784" s="14"/>
      <c r="Q784" s="14"/>
      <c r="R784" s="14"/>
      <c r="S784" s="10"/>
      <c r="T784" s="10"/>
      <c r="U784" s="10"/>
      <c r="V784" s="10"/>
      <c r="W784" s="10"/>
      <c r="X784" s="10"/>
      <c r="Y784" s="10"/>
      <c r="Z784" s="10"/>
      <c r="AA784" s="10"/>
      <c r="AB784" s="10"/>
      <c r="AC784" s="10"/>
      <c r="AD784" s="10"/>
      <c r="AE784" s="10"/>
      <c r="AF784" s="10"/>
      <c r="AG784" s="10"/>
      <c r="AH784" s="10"/>
    </row>
    <row r="785" spans="1:34">
      <c r="A785" s="13"/>
      <c r="B785" s="14"/>
      <c r="C785" s="14"/>
      <c r="D785" s="14"/>
      <c r="E785" s="15"/>
      <c r="F785" s="14"/>
      <c r="G785" s="14"/>
      <c r="H785" s="14"/>
      <c r="I785" s="14"/>
      <c r="J785" s="14"/>
      <c r="K785" s="23"/>
      <c r="L785" s="14"/>
      <c r="M785" s="14"/>
      <c r="N785" s="14"/>
      <c r="O785" s="14"/>
      <c r="P785" s="14"/>
      <c r="Q785" s="14"/>
      <c r="R785" s="14"/>
      <c r="S785" s="10"/>
      <c r="T785" s="10"/>
      <c r="U785" s="10"/>
      <c r="V785" s="10"/>
      <c r="W785" s="10"/>
      <c r="X785" s="10"/>
      <c r="Y785" s="10"/>
      <c r="Z785" s="10"/>
      <c r="AA785" s="10"/>
      <c r="AB785" s="10"/>
      <c r="AC785" s="10"/>
      <c r="AD785" s="10"/>
      <c r="AE785" s="10"/>
      <c r="AF785" s="10"/>
      <c r="AG785" s="10"/>
      <c r="AH785" s="10"/>
    </row>
    <row r="786" spans="1:34">
      <c r="A786" s="13"/>
      <c r="B786" s="14"/>
      <c r="C786" s="14"/>
      <c r="D786" s="14"/>
      <c r="E786" s="15"/>
      <c r="F786" s="14"/>
      <c r="G786" s="14"/>
      <c r="H786" s="14"/>
      <c r="I786" s="14"/>
      <c r="J786" s="14"/>
      <c r="K786" s="23"/>
      <c r="L786" s="14"/>
      <c r="M786" s="14"/>
      <c r="N786" s="14"/>
      <c r="O786" s="14"/>
      <c r="P786" s="14"/>
      <c r="Q786" s="14"/>
      <c r="R786" s="14"/>
      <c r="S786" s="10"/>
      <c r="T786" s="10"/>
      <c r="U786" s="10"/>
      <c r="V786" s="10"/>
      <c r="W786" s="10"/>
      <c r="X786" s="10"/>
      <c r="Y786" s="10"/>
      <c r="Z786" s="10"/>
      <c r="AA786" s="10"/>
      <c r="AB786" s="10"/>
      <c r="AC786" s="10"/>
      <c r="AD786" s="10"/>
      <c r="AE786" s="10"/>
      <c r="AF786" s="10"/>
      <c r="AG786" s="10"/>
      <c r="AH786" s="10"/>
    </row>
    <row r="787" spans="1:34">
      <c r="A787" s="13"/>
      <c r="B787" s="14"/>
      <c r="C787" s="14"/>
      <c r="D787" s="14"/>
      <c r="E787" s="15"/>
      <c r="F787" s="14"/>
      <c r="G787" s="14"/>
      <c r="H787" s="14"/>
      <c r="I787" s="14"/>
      <c r="J787" s="14"/>
      <c r="K787" s="23"/>
      <c r="L787" s="14"/>
      <c r="M787" s="14"/>
      <c r="N787" s="14"/>
      <c r="O787" s="14"/>
      <c r="P787" s="14"/>
      <c r="Q787" s="14"/>
      <c r="R787" s="14"/>
      <c r="S787" s="10"/>
      <c r="T787" s="10"/>
      <c r="U787" s="10"/>
      <c r="V787" s="10"/>
      <c r="W787" s="10"/>
      <c r="X787" s="10"/>
      <c r="Y787" s="10"/>
      <c r="Z787" s="10"/>
      <c r="AA787" s="10"/>
      <c r="AB787" s="10"/>
      <c r="AC787" s="10"/>
      <c r="AD787" s="10"/>
      <c r="AE787" s="10"/>
      <c r="AF787" s="10"/>
      <c r="AG787" s="10"/>
      <c r="AH787" s="10"/>
    </row>
    <row r="788" spans="1:34">
      <c r="A788" s="13"/>
      <c r="B788" s="14"/>
      <c r="C788" s="14"/>
      <c r="D788" s="14"/>
      <c r="E788" s="15"/>
      <c r="F788" s="14"/>
      <c r="G788" s="14"/>
      <c r="H788" s="14"/>
      <c r="I788" s="14"/>
      <c r="J788" s="14"/>
      <c r="K788" s="23"/>
      <c r="L788" s="14"/>
      <c r="M788" s="14"/>
      <c r="N788" s="14"/>
      <c r="O788" s="14"/>
      <c r="P788" s="14"/>
      <c r="Q788" s="14"/>
      <c r="R788" s="14"/>
      <c r="S788" s="10"/>
      <c r="T788" s="10"/>
      <c r="U788" s="10"/>
      <c r="V788" s="10"/>
      <c r="W788" s="10"/>
      <c r="X788" s="10"/>
      <c r="Y788" s="10"/>
      <c r="Z788" s="10"/>
      <c r="AA788" s="10"/>
      <c r="AB788" s="10"/>
      <c r="AC788" s="10"/>
      <c r="AD788" s="10"/>
      <c r="AE788" s="10"/>
      <c r="AF788" s="10"/>
      <c r="AG788" s="10"/>
      <c r="AH788" s="10"/>
    </row>
    <row r="789" spans="1:34">
      <c r="A789" s="13"/>
      <c r="B789" s="14"/>
      <c r="C789" s="14"/>
      <c r="D789" s="14"/>
      <c r="E789" s="15"/>
      <c r="F789" s="14"/>
      <c r="G789" s="14"/>
      <c r="H789" s="14"/>
      <c r="I789" s="14"/>
      <c r="J789" s="14"/>
      <c r="K789" s="23"/>
      <c r="L789" s="14"/>
      <c r="M789" s="14"/>
      <c r="N789" s="14"/>
      <c r="O789" s="14"/>
      <c r="P789" s="14"/>
      <c r="Q789" s="14"/>
      <c r="R789" s="14"/>
      <c r="S789" s="10"/>
      <c r="T789" s="10"/>
      <c r="U789" s="10"/>
      <c r="V789" s="10"/>
      <c r="W789" s="10"/>
      <c r="X789" s="10"/>
      <c r="Y789" s="10"/>
      <c r="Z789" s="10"/>
      <c r="AA789" s="10"/>
      <c r="AB789" s="10"/>
      <c r="AC789" s="10"/>
      <c r="AD789" s="10"/>
      <c r="AE789" s="10"/>
      <c r="AF789" s="10"/>
      <c r="AG789" s="10"/>
      <c r="AH789" s="10"/>
    </row>
    <row r="790" spans="1:34">
      <c r="A790" s="13"/>
      <c r="B790" s="14"/>
      <c r="C790" s="14"/>
      <c r="D790" s="14"/>
      <c r="E790" s="15"/>
      <c r="F790" s="14"/>
      <c r="G790" s="14"/>
      <c r="H790" s="14"/>
      <c r="I790" s="14"/>
      <c r="J790" s="14"/>
      <c r="K790" s="23"/>
      <c r="L790" s="14"/>
      <c r="M790" s="14"/>
      <c r="N790" s="14"/>
      <c r="O790" s="14"/>
      <c r="P790" s="14"/>
      <c r="Q790" s="14"/>
      <c r="R790" s="14"/>
      <c r="S790" s="10"/>
      <c r="T790" s="10"/>
      <c r="U790" s="10"/>
      <c r="V790" s="10"/>
      <c r="W790" s="10"/>
      <c r="X790" s="10"/>
      <c r="Y790" s="10"/>
      <c r="Z790" s="10"/>
      <c r="AA790" s="10"/>
      <c r="AB790" s="10"/>
      <c r="AC790" s="10"/>
      <c r="AD790" s="10"/>
      <c r="AE790" s="10"/>
      <c r="AF790" s="10"/>
      <c r="AG790" s="10"/>
      <c r="AH790" s="10"/>
    </row>
    <row r="791" spans="1:34">
      <c r="A791" s="13"/>
      <c r="B791" s="14"/>
      <c r="C791" s="14"/>
      <c r="D791" s="14"/>
      <c r="E791" s="15"/>
      <c r="F791" s="14"/>
      <c r="G791" s="14"/>
      <c r="H791" s="14"/>
      <c r="I791" s="14"/>
      <c r="J791" s="14"/>
      <c r="K791" s="23"/>
      <c r="L791" s="14"/>
      <c r="M791" s="14"/>
      <c r="N791" s="14"/>
      <c r="O791" s="14"/>
      <c r="P791" s="14"/>
      <c r="Q791" s="14"/>
      <c r="R791" s="14"/>
      <c r="S791" s="10"/>
      <c r="T791" s="10"/>
      <c r="U791" s="10"/>
      <c r="V791" s="10"/>
      <c r="W791" s="10"/>
      <c r="X791" s="10"/>
      <c r="Y791" s="10"/>
      <c r="Z791" s="10"/>
      <c r="AA791" s="10"/>
      <c r="AB791" s="10"/>
      <c r="AC791" s="10"/>
      <c r="AD791" s="10"/>
      <c r="AE791" s="10"/>
      <c r="AF791" s="10"/>
      <c r="AG791" s="10"/>
      <c r="AH791" s="10"/>
    </row>
    <row r="792" spans="1:34">
      <c r="A792" s="13"/>
      <c r="B792" s="14"/>
      <c r="C792" s="14"/>
      <c r="D792" s="14"/>
      <c r="E792" s="15"/>
      <c r="F792" s="14"/>
      <c r="G792" s="14"/>
      <c r="H792" s="14"/>
      <c r="I792" s="14"/>
      <c r="J792" s="14"/>
      <c r="K792" s="23"/>
      <c r="L792" s="14"/>
      <c r="M792" s="14"/>
      <c r="N792" s="14"/>
      <c r="O792" s="14"/>
      <c r="P792" s="14"/>
      <c r="Q792" s="14"/>
      <c r="R792" s="14"/>
      <c r="S792" s="10"/>
      <c r="T792" s="10"/>
      <c r="U792" s="10"/>
      <c r="V792" s="10"/>
      <c r="W792" s="10"/>
      <c r="X792" s="10"/>
      <c r="Y792" s="10"/>
      <c r="Z792" s="10"/>
      <c r="AA792" s="10"/>
      <c r="AB792" s="10"/>
      <c r="AC792" s="10"/>
      <c r="AD792" s="10"/>
      <c r="AE792" s="10"/>
      <c r="AF792" s="10"/>
      <c r="AG792" s="10"/>
      <c r="AH792" s="10"/>
    </row>
    <row r="793" spans="1:34">
      <c r="A793" s="13"/>
      <c r="B793" s="14"/>
      <c r="C793" s="14"/>
      <c r="D793" s="14"/>
      <c r="E793" s="15"/>
      <c r="F793" s="14"/>
      <c r="G793" s="14"/>
      <c r="H793" s="14"/>
      <c r="I793" s="14"/>
      <c r="J793" s="14"/>
      <c r="K793" s="23"/>
      <c r="L793" s="14"/>
      <c r="M793" s="14"/>
      <c r="N793" s="14"/>
      <c r="O793" s="14"/>
      <c r="P793" s="14"/>
      <c r="Q793" s="14"/>
      <c r="R793" s="14"/>
      <c r="S793" s="10"/>
      <c r="T793" s="10"/>
      <c r="U793" s="10"/>
      <c r="V793" s="10"/>
      <c r="W793" s="10"/>
      <c r="X793" s="10"/>
      <c r="Y793" s="10"/>
      <c r="Z793" s="10"/>
      <c r="AA793" s="10"/>
      <c r="AB793" s="10"/>
      <c r="AC793" s="10"/>
      <c r="AD793" s="10"/>
      <c r="AE793" s="10"/>
      <c r="AF793" s="10"/>
      <c r="AG793" s="10"/>
      <c r="AH793" s="10"/>
    </row>
    <row r="794" spans="1:34">
      <c r="A794" s="13"/>
      <c r="B794" s="14"/>
      <c r="C794" s="14"/>
      <c r="D794" s="14"/>
      <c r="E794" s="15"/>
      <c r="F794" s="14"/>
      <c r="G794" s="14"/>
      <c r="H794" s="14"/>
      <c r="I794" s="14"/>
      <c r="J794" s="14"/>
      <c r="K794" s="23"/>
      <c r="L794" s="14"/>
      <c r="M794" s="14"/>
      <c r="N794" s="14"/>
      <c r="O794" s="14"/>
      <c r="P794" s="14"/>
      <c r="Q794" s="14"/>
      <c r="R794" s="14"/>
      <c r="S794" s="10"/>
      <c r="T794" s="10"/>
      <c r="U794" s="10"/>
      <c r="V794" s="10"/>
      <c r="W794" s="10"/>
      <c r="X794" s="10"/>
      <c r="Y794" s="10"/>
      <c r="Z794" s="10"/>
      <c r="AA794" s="10"/>
      <c r="AB794" s="10"/>
      <c r="AC794" s="10"/>
      <c r="AD794" s="10"/>
      <c r="AE794" s="10"/>
      <c r="AF794" s="10"/>
      <c r="AG794" s="10"/>
      <c r="AH794" s="10"/>
    </row>
    <row r="795" spans="1:34">
      <c r="A795" s="13"/>
      <c r="B795" s="14"/>
      <c r="C795" s="14"/>
      <c r="D795" s="14"/>
      <c r="E795" s="15"/>
      <c r="F795" s="14"/>
      <c r="G795" s="14"/>
      <c r="H795" s="14"/>
      <c r="I795" s="14"/>
      <c r="J795" s="14"/>
      <c r="K795" s="23"/>
      <c r="L795" s="14"/>
      <c r="M795" s="14"/>
      <c r="N795" s="14"/>
      <c r="O795" s="14"/>
      <c r="P795" s="14"/>
      <c r="Q795" s="14"/>
      <c r="R795" s="14"/>
      <c r="S795" s="10"/>
      <c r="T795" s="10"/>
      <c r="U795" s="10"/>
      <c r="V795" s="10"/>
      <c r="W795" s="10"/>
      <c r="X795" s="10"/>
      <c r="Y795" s="10"/>
      <c r="Z795" s="10"/>
      <c r="AA795" s="10"/>
      <c r="AB795" s="10"/>
      <c r="AC795" s="10"/>
      <c r="AD795" s="10"/>
      <c r="AE795" s="10"/>
      <c r="AF795" s="10"/>
      <c r="AG795" s="10"/>
      <c r="AH795" s="10"/>
    </row>
    <row r="796" spans="1:34">
      <c r="A796" s="13"/>
      <c r="B796" s="14"/>
      <c r="C796" s="14"/>
      <c r="D796" s="14"/>
      <c r="E796" s="15"/>
      <c r="F796" s="14"/>
      <c r="G796" s="14"/>
      <c r="H796" s="14"/>
      <c r="I796" s="14"/>
      <c r="J796" s="14"/>
      <c r="K796" s="23"/>
      <c r="L796" s="14"/>
      <c r="M796" s="14"/>
      <c r="N796" s="14"/>
      <c r="O796" s="14"/>
      <c r="P796" s="14"/>
      <c r="Q796" s="14"/>
      <c r="R796" s="14"/>
      <c r="S796" s="10"/>
      <c r="T796" s="10"/>
      <c r="U796" s="10"/>
      <c r="V796" s="10"/>
      <c r="W796" s="10"/>
      <c r="X796" s="10"/>
      <c r="Y796" s="10"/>
      <c r="Z796" s="10"/>
      <c r="AA796" s="10"/>
      <c r="AB796" s="10"/>
      <c r="AC796" s="10"/>
      <c r="AD796" s="10"/>
      <c r="AE796" s="10"/>
      <c r="AF796" s="10"/>
      <c r="AG796" s="10"/>
      <c r="AH796" s="10"/>
    </row>
    <row r="797" spans="1:34">
      <c r="A797" s="13"/>
      <c r="B797" s="14"/>
      <c r="C797" s="14"/>
      <c r="D797" s="14"/>
      <c r="E797" s="15"/>
      <c r="F797" s="14"/>
      <c r="G797" s="14"/>
      <c r="H797" s="14"/>
      <c r="I797" s="14"/>
      <c r="J797" s="14"/>
      <c r="K797" s="23"/>
      <c r="L797" s="14"/>
      <c r="M797" s="14"/>
      <c r="N797" s="14"/>
      <c r="O797" s="14"/>
      <c r="P797" s="14"/>
      <c r="Q797" s="14"/>
      <c r="R797" s="14"/>
      <c r="S797" s="10"/>
      <c r="T797" s="10"/>
      <c r="U797" s="10"/>
      <c r="V797" s="10"/>
      <c r="W797" s="10"/>
      <c r="X797" s="10"/>
      <c r="Y797" s="10"/>
      <c r="Z797" s="10"/>
      <c r="AA797" s="10"/>
      <c r="AB797" s="10"/>
      <c r="AC797" s="10"/>
      <c r="AD797" s="10"/>
      <c r="AE797" s="10"/>
      <c r="AF797" s="10"/>
      <c r="AG797" s="10"/>
      <c r="AH797" s="10"/>
    </row>
    <row r="798" spans="1:34">
      <c r="A798" s="13"/>
      <c r="B798" s="14"/>
      <c r="C798" s="14"/>
      <c r="D798" s="14"/>
      <c r="E798" s="15"/>
      <c r="F798" s="14"/>
      <c r="G798" s="14"/>
      <c r="H798" s="14"/>
      <c r="I798" s="14"/>
      <c r="J798" s="14"/>
      <c r="K798" s="23"/>
      <c r="L798" s="14"/>
      <c r="M798" s="14"/>
      <c r="N798" s="14"/>
      <c r="O798" s="14"/>
      <c r="P798" s="14"/>
      <c r="Q798" s="14"/>
      <c r="R798" s="14"/>
      <c r="S798" s="10"/>
      <c r="T798" s="10"/>
      <c r="U798" s="10"/>
      <c r="V798" s="10"/>
      <c r="W798" s="10"/>
      <c r="X798" s="10"/>
      <c r="Y798" s="10"/>
      <c r="Z798" s="10"/>
      <c r="AA798" s="10"/>
      <c r="AB798" s="10"/>
      <c r="AC798" s="10"/>
      <c r="AD798" s="10"/>
      <c r="AE798" s="10"/>
      <c r="AF798" s="10"/>
      <c r="AG798" s="10"/>
      <c r="AH798" s="10"/>
    </row>
    <row r="799" spans="1:34">
      <c r="A799" s="13"/>
      <c r="B799" s="14"/>
      <c r="C799" s="14"/>
      <c r="D799" s="14"/>
      <c r="E799" s="15"/>
      <c r="F799" s="14"/>
      <c r="G799" s="14"/>
      <c r="H799" s="14"/>
      <c r="I799" s="14"/>
      <c r="J799" s="14"/>
      <c r="K799" s="23"/>
      <c r="L799" s="14"/>
      <c r="M799" s="14"/>
      <c r="N799" s="14"/>
      <c r="O799" s="14"/>
      <c r="P799" s="14"/>
      <c r="Q799" s="14"/>
      <c r="R799" s="14"/>
      <c r="S799" s="10"/>
      <c r="T799" s="10"/>
      <c r="U799" s="10"/>
      <c r="V799" s="10"/>
      <c r="W799" s="10"/>
      <c r="X799" s="10"/>
      <c r="Y799" s="10"/>
      <c r="Z799" s="10"/>
      <c r="AA799" s="10"/>
      <c r="AB799" s="10"/>
      <c r="AC799" s="10"/>
      <c r="AD799" s="10"/>
      <c r="AE799" s="10"/>
      <c r="AF799" s="10"/>
      <c r="AG799" s="10"/>
      <c r="AH799" s="10"/>
    </row>
    <row r="800" spans="1:34">
      <c r="A800" s="13"/>
      <c r="B800" s="14"/>
      <c r="C800" s="14"/>
      <c r="D800" s="14"/>
      <c r="E800" s="15"/>
      <c r="F800" s="14"/>
      <c r="G800" s="14"/>
      <c r="H800" s="14"/>
      <c r="I800" s="14"/>
      <c r="J800" s="14"/>
      <c r="K800" s="23"/>
      <c r="L800" s="14"/>
      <c r="M800" s="14"/>
      <c r="N800" s="14"/>
      <c r="O800" s="14"/>
      <c r="P800" s="14"/>
      <c r="Q800" s="14"/>
      <c r="R800" s="14"/>
      <c r="S800" s="10"/>
      <c r="T800" s="10"/>
      <c r="U800" s="10"/>
      <c r="V800" s="10"/>
      <c r="W800" s="10"/>
      <c r="X800" s="10"/>
      <c r="Y800" s="10"/>
      <c r="Z800" s="10"/>
      <c r="AA800" s="10"/>
      <c r="AB800" s="10"/>
      <c r="AC800" s="10"/>
      <c r="AD800" s="10"/>
      <c r="AE800" s="10"/>
      <c r="AF800" s="10"/>
      <c r="AG800" s="10"/>
      <c r="AH800" s="10"/>
    </row>
    <row r="801" spans="1:34">
      <c r="A801" s="13"/>
      <c r="B801" s="14"/>
      <c r="C801" s="14"/>
      <c r="D801" s="14"/>
      <c r="E801" s="15"/>
      <c r="F801" s="14"/>
      <c r="G801" s="14"/>
      <c r="H801" s="14"/>
      <c r="I801" s="14"/>
      <c r="J801" s="14"/>
      <c r="K801" s="23"/>
      <c r="L801" s="14"/>
      <c r="M801" s="14"/>
      <c r="N801" s="14"/>
      <c r="O801" s="14"/>
      <c r="P801" s="14"/>
      <c r="Q801" s="14"/>
      <c r="R801" s="14"/>
      <c r="S801" s="10"/>
      <c r="T801" s="10"/>
      <c r="U801" s="10"/>
      <c r="V801" s="10"/>
      <c r="W801" s="10"/>
      <c r="X801" s="10"/>
      <c r="Y801" s="10"/>
      <c r="Z801" s="10"/>
      <c r="AA801" s="10"/>
      <c r="AB801" s="10"/>
      <c r="AC801" s="10"/>
      <c r="AD801" s="10"/>
      <c r="AE801" s="10"/>
      <c r="AF801" s="10"/>
      <c r="AG801" s="10"/>
      <c r="AH801" s="10"/>
    </row>
    <row r="802" spans="1:34">
      <c r="A802" s="13"/>
      <c r="B802" s="14"/>
      <c r="C802" s="14"/>
      <c r="D802" s="14"/>
      <c r="E802" s="15"/>
      <c r="F802" s="14"/>
      <c r="G802" s="14"/>
      <c r="H802" s="14"/>
      <c r="I802" s="14"/>
      <c r="J802" s="14"/>
      <c r="K802" s="23"/>
      <c r="L802" s="14"/>
      <c r="M802" s="14"/>
      <c r="N802" s="14"/>
      <c r="O802" s="14"/>
      <c r="P802" s="14"/>
      <c r="Q802" s="14"/>
      <c r="R802" s="14"/>
      <c r="S802" s="10"/>
      <c r="T802" s="10"/>
      <c r="U802" s="10"/>
      <c r="V802" s="10"/>
      <c r="W802" s="10"/>
      <c r="X802" s="10"/>
      <c r="Y802" s="10"/>
      <c r="Z802" s="10"/>
      <c r="AA802" s="10"/>
      <c r="AB802" s="10"/>
      <c r="AC802" s="10"/>
      <c r="AD802" s="10"/>
      <c r="AE802" s="10"/>
      <c r="AF802" s="10"/>
      <c r="AG802" s="10"/>
      <c r="AH802" s="10"/>
    </row>
    <row r="803" spans="1:34">
      <c r="A803" s="13"/>
      <c r="B803" s="14"/>
      <c r="C803" s="14"/>
      <c r="D803" s="14"/>
      <c r="E803" s="15"/>
      <c r="F803" s="14"/>
      <c r="G803" s="14"/>
      <c r="H803" s="14"/>
      <c r="I803" s="14"/>
      <c r="J803" s="14"/>
      <c r="K803" s="23"/>
      <c r="L803" s="14"/>
      <c r="M803" s="14"/>
      <c r="N803" s="14"/>
      <c r="O803" s="14"/>
      <c r="P803" s="14"/>
      <c r="Q803" s="14"/>
      <c r="R803" s="14"/>
      <c r="S803" s="10"/>
      <c r="T803" s="10"/>
      <c r="U803" s="10"/>
      <c r="V803" s="10"/>
      <c r="W803" s="10"/>
      <c r="X803" s="10"/>
      <c r="Y803" s="10"/>
      <c r="Z803" s="10"/>
      <c r="AA803" s="10"/>
      <c r="AB803" s="10"/>
      <c r="AC803" s="10"/>
      <c r="AD803" s="10"/>
      <c r="AE803" s="10"/>
      <c r="AF803" s="10"/>
      <c r="AG803" s="10"/>
      <c r="AH803" s="10"/>
    </row>
    <row r="804" spans="1:34">
      <c r="A804" s="13"/>
      <c r="B804" s="14"/>
      <c r="C804" s="14"/>
      <c r="D804" s="14"/>
      <c r="E804" s="15"/>
      <c r="F804" s="14"/>
      <c r="G804" s="14"/>
      <c r="H804" s="14"/>
      <c r="I804" s="14"/>
      <c r="J804" s="14"/>
      <c r="K804" s="23"/>
      <c r="L804" s="14"/>
      <c r="M804" s="14"/>
      <c r="N804" s="14"/>
      <c r="O804" s="14"/>
      <c r="P804" s="14"/>
      <c r="Q804" s="14"/>
      <c r="R804" s="14"/>
      <c r="S804" s="10"/>
      <c r="T804" s="10"/>
      <c r="U804" s="10"/>
      <c r="V804" s="10"/>
      <c r="W804" s="10"/>
      <c r="X804" s="10"/>
      <c r="Y804" s="10"/>
      <c r="Z804" s="10"/>
      <c r="AA804" s="10"/>
      <c r="AB804" s="10"/>
      <c r="AC804" s="10"/>
      <c r="AD804" s="10"/>
      <c r="AE804" s="10"/>
      <c r="AF804" s="10"/>
      <c r="AG804" s="10"/>
      <c r="AH804" s="10"/>
    </row>
    <row r="805" spans="1:34">
      <c r="A805" s="13"/>
      <c r="B805" s="14"/>
      <c r="C805" s="14"/>
      <c r="D805" s="14"/>
      <c r="E805" s="15"/>
      <c r="F805" s="14"/>
      <c r="G805" s="14"/>
      <c r="H805" s="14"/>
      <c r="I805" s="14"/>
      <c r="J805" s="14"/>
      <c r="K805" s="23"/>
      <c r="L805" s="14"/>
      <c r="M805" s="14"/>
      <c r="N805" s="14"/>
      <c r="O805" s="14"/>
      <c r="P805" s="14"/>
      <c r="Q805" s="14"/>
      <c r="R805" s="14"/>
      <c r="S805" s="10"/>
      <c r="T805" s="10"/>
      <c r="U805" s="10"/>
      <c r="V805" s="10"/>
      <c r="W805" s="10"/>
      <c r="X805" s="10"/>
      <c r="Y805" s="10"/>
      <c r="Z805" s="10"/>
      <c r="AA805" s="10"/>
      <c r="AB805" s="10"/>
      <c r="AC805" s="10"/>
      <c r="AD805" s="10"/>
      <c r="AE805" s="10"/>
      <c r="AF805" s="10"/>
      <c r="AG805" s="10"/>
      <c r="AH805" s="10"/>
    </row>
    <row r="806" spans="1:34">
      <c r="A806" s="13"/>
      <c r="B806" s="14"/>
      <c r="C806" s="14"/>
      <c r="D806" s="14"/>
      <c r="E806" s="15"/>
      <c r="F806" s="14"/>
      <c r="G806" s="14"/>
      <c r="H806" s="14"/>
      <c r="I806" s="14"/>
      <c r="J806" s="14"/>
      <c r="K806" s="23"/>
      <c r="L806" s="14"/>
      <c r="M806" s="14"/>
      <c r="N806" s="14"/>
      <c r="O806" s="14"/>
      <c r="P806" s="14"/>
      <c r="Q806" s="14"/>
      <c r="R806" s="14"/>
      <c r="S806" s="10"/>
      <c r="T806" s="10"/>
      <c r="U806" s="10"/>
      <c r="V806" s="10"/>
      <c r="W806" s="10"/>
      <c r="X806" s="10"/>
      <c r="Y806" s="10"/>
      <c r="Z806" s="10"/>
      <c r="AA806" s="10"/>
      <c r="AB806" s="10"/>
      <c r="AC806" s="10"/>
      <c r="AD806" s="10"/>
      <c r="AE806" s="10"/>
      <c r="AF806" s="10"/>
      <c r="AG806" s="10"/>
      <c r="AH806" s="10"/>
    </row>
    <row r="807" spans="1:34">
      <c r="A807" s="13"/>
      <c r="B807" s="14"/>
      <c r="C807" s="14"/>
      <c r="D807" s="14"/>
      <c r="E807" s="15"/>
      <c r="F807" s="14"/>
      <c r="G807" s="14"/>
      <c r="H807" s="14"/>
      <c r="I807" s="14"/>
      <c r="J807" s="14"/>
      <c r="K807" s="23"/>
      <c r="L807" s="14"/>
      <c r="M807" s="14"/>
      <c r="N807" s="14"/>
      <c r="O807" s="14"/>
      <c r="P807" s="14"/>
      <c r="Q807" s="14"/>
      <c r="R807" s="14"/>
      <c r="S807" s="10"/>
      <c r="T807" s="10"/>
      <c r="U807" s="10"/>
      <c r="V807" s="10"/>
      <c r="W807" s="10"/>
      <c r="X807" s="10"/>
      <c r="Y807" s="10"/>
      <c r="Z807" s="10"/>
      <c r="AA807" s="10"/>
      <c r="AB807" s="10"/>
      <c r="AC807" s="10"/>
      <c r="AD807" s="10"/>
      <c r="AE807" s="10"/>
      <c r="AF807" s="10"/>
      <c r="AG807" s="10"/>
      <c r="AH807" s="10"/>
    </row>
    <row r="808" spans="1:34">
      <c r="A808" s="13"/>
      <c r="B808" s="14"/>
      <c r="C808" s="14"/>
      <c r="D808" s="14"/>
      <c r="E808" s="15"/>
      <c r="F808" s="14"/>
      <c r="G808" s="14"/>
      <c r="H808" s="14"/>
      <c r="I808" s="14"/>
      <c r="J808" s="14"/>
      <c r="K808" s="23"/>
      <c r="L808" s="14"/>
      <c r="M808" s="14"/>
      <c r="N808" s="14"/>
      <c r="O808" s="14"/>
      <c r="P808" s="14"/>
      <c r="Q808" s="14"/>
      <c r="R808" s="14"/>
      <c r="S808" s="10"/>
      <c r="T808" s="10"/>
      <c r="U808" s="10"/>
      <c r="V808" s="10"/>
      <c r="W808" s="10"/>
      <c r="X808" s="10"/>
      <c r="Y808" s="10"/>
      <c r="Z808" s="10"/>
      <c r="AA808" s="10"/>
      <c r="AB808" s="10"/>
      <c r="AC808" s="10"/>
      <c r="AD808" s="10"/>
      <c r="AE808" s="10"/>
      <c r="AF808" s="10"/>
      <c r="AG808" s="10"/>
      <c r="AH808" s="10"/>
    </row>
    <row r="809" spans="1:34">
      <c r="A809" s="13"/>
      <c r="B809" s="14"/>
      <c r="C809" s="14"/>
      <c r="D809" s="14"/>
      <c r="E809" s="15"/>
      <c r="F809" s="14"/>
      <c r="G809" s="14"/>
      <c r="H809" s="14"/>
      <c r="I809" s="14"/>
      <c r="J809" s="14"/>
      <c r="K809" s="23"/>
      <c r="L809" s="14"/>
      <c r="M809" s="14"/>
      <c r="N809" s="14"/>
      <c r="O809" s="14"/>
      <c r="P809" s="14"/>
      <c r="Q809" s="14"/>
      <c r="R809" s="14"/>
      <c r="S809" s="10"/>
      <c r="T809" s="10"/>
      <c r="U809" s="10"/>
      <c r="V809" s="10"/>
      <c r="W809" s="10"/>
      <c r="X809" s="10"/>
      <c r="Y809" s="10"/>
      <c r="Z809" s="10"/>
      <c r="AA809" s="10"/>
      <c r="AB809" s="10"/>
      <c r="AC809" s="10"/>
      <c r="AD809" s="10"/>
      <c r="AE809" s="10"/>
      <c r="AF809" s="10"/>
      <c r="AG809" s="10"/>
      <c r="AH809" s="10"/>
    </row>
    <row r="810" spans="1:34">
      <c r="A810" s="13"/>
      <c r="B810" s="14"/>
      <c r="C810" s="14"/>
      <c r="D810" s="14"/>
      <c r="E810" s="15"/>
      <c r="F810" s="14"/>
      <c r="G810" s="14"/>
      <c r="H810" s="14"/>
      <c r="I810" s="14"/>
      <c r="J810" s="14"/>
      <c r="K810" s="23"/>
      <c r="L810" s="14"/>
      <c r="M810" s="14"/>
      <c r="N810" s="14"/>
      <c r="O810" s="14"/>
      <c r="P810" s="14"/>
      <c r="Q810" s="14"/>
      <c r="R810" s="14"/>
      <c r="S810" s="10"/>
      <c r="T810" s="10"/>
      <c r="U810" s="10"/>
      <c r="V810" s="10"/>
      <c r="W810" s="10"/>
      <c r="X810" s="10"/>
      <c r="Y810" s="10"/>
      <c r="Z810" s="10"/>
      <c r="AA810" s="10"/>
      <c r="AB810" s="10"/>
      <c r="AC810" s="10"/>
      <c r="AD810" s="10"/>
      <c r="AE810" s="10"/>
      <c r="AF810" s="10"/>
      <c r="AG810" s="10"/>
      <c r="AH810" s="10"/>
    </row>
    <row r="811" spans="1:34">
      <c r="A811" s="13"/>
      <c r="B811" s="14"/>
      <c r="C811" s="14"/>
      <c r="D811" s="14"/>
      <c r="E811" s="15"/>
      <c r="F811" s="14"/>
      <c r="G811" s="14"/>
      <c r="H811" s="14"/>
      <c r="I811" s="14"/>
      <c r="J811" s="14"/>
      <c r="K811" s="23"/>
      <c r="L811" s="14"/>
      <c r="M811" s="14"/>
      <c r="N811" s="14"/>
      <c r="O811" s="14"/>
      <c r="P811" s="14"/>
      <c r="Q811" s="14"/>
      <c r="R811" s="14"/>
      <c r="S811" s="10"/>
      <c r="T811" s="10"/>
      <c r="U811" s="10"/>
      <c r="V811" s="10"/>
      <c r="W811" s="10"/>
      <c r="X811" s="10"/>
      <c r="Y811" s="10"/>
      <c r="Z811" s="10"/>
      <c r="AA811" s="10"/>
      <c r="AB811" s="10"/>
      <c r="AC811" s="10"/>
      <c r="AD811" s="10"/>
      <c r="AE811" s="10"/>
      <c r="AF811" s="10"/>
      <c r="AG811" s="10"/>
      <c r="AH811" s="10"/>
    </row>
    <row r="812" spans="1:34">
      <c r="A812" s="13"/>
      <c r="B812" s="14"/>
      <c r="C812" s="14"/>
      <c r="D812" s="14"/>
      <c r="E812" s="15"/>
      <c r="F812" s="14"/>
      <c r="G812" s="14"/>
      <c r="H812" s="14"/>
      <c r="I812" s="14"/>
      <c r="J812" s="14"/>
      <c r="K812" s="23"/>
      <c r="L812" s="14"/>
      <c r="M812" s="14"/>
      <c r="N812" s="14"/>
      <c r="O812" s="14"/>
      <c r="P812" s="14"/>
      <c r="Q812" s="14"/>
      <c r="R812" s="14"/>
      <c r="S812" s="10"/>
      <c r="T812" s="10"/>
      <c r="U812" s="10"/>
      <c r="V812" s="10"/>
      <c r="W812" s="10"/>
      <c r="X812" s="10"/>
      <c r="Y812" s="10"/>
      <c r="Z812" s="10"/>
      <c r="AA812" s="10"/>
      <c r="AB812" s="10"/>
      <c r="AC812" s="10"/>
      <c r="AD812" s="10"/>
      <c r="AE812" s="10"/>
      <c r="AF812" s="10"/>
      <c r="AG812" s="10"/>
      <c r="AH812" s="10"/>
    </row>
    <row r="813" spans="1:34">
      <c r="A813" s="13"/>
      <c r="B813" s="14"/>
      <c r="C813" s="14"/>
      <c r="D813" s="14"/>
      <c r="E813" s="15"/>
      <c r="F813" s="14"/>
      <c r="G813" s="14"/>
      <c r="H813" s="14"/>
      <c r="I813" s="14"/>
      <c r="J813" s="14"/>
      <c r="K813" s="23"/>
      <c r="L813" s="14"/>
      <c r="M813" s="14"/>
      <c r="N813" s="14"/>
      <c r="O813" s="14"/>
      <c r="P813" s="14"/>
      <c r="Q813" s="14"/>
      <c r="R813" s="14"/>
      <c r="S813" s="10"/>
      <c r="T813" s="10"/>
      <c r="U813" s="10"/>
      <c r="V813" s="10"/>
      <c r="W813" s="10"/>
      <c r="X813" s="10"/>
      <c r="Y813" s="10"/>
      <c r="Z813" s="10"/>
      <c r="AA813" s="10"/>
      <c r="AB813" s="10"/>
      <c r="AC813" s="10"/>
      <c r="AD813" s="10"/>
      <c r="AE813" s="10"/>
      <c r="AF813" s="10"/>
      <c r="AG813" s="10"/>
      <c r="AH813" s="10"/>
    </row>
    <row r="814" spans="1:34">
      <c r="A814" s="13"/>
      <c r="B814" s="14"/>
      <c r="C814" s="14"/>
      <c r="D814" s="14"/>
      <c r="E814" s="15"/>
      <c r="F814" s="14"/>
      <c r="G814" s="14"/>
      <c r="H814" s="14"/>
      <c r="I814" s="14"/>
      <c r="J814" s="14"/>
      <c r="K814" s="23"/>
      <c r="L814" s="14"/>
      <c r="M814" s="14"/>
      <c r="N814" s="14"/>
      <c r="O814" s="14"/>
      <c r="P814" s="14"/>
      <c r="Q814" s="14"/>
      <c r="R814" s="14"/>
      <c r="S814" s="10"/>
      <c r="T814" s="10"/>
      <c r="U814" s="10"/>
      <c r="V814" s="10"/>
      <c r="W814" s="10"/>
      <c r="X814" s="10"/>
      <c r="Y814" s="10"/>
      <c r="Z814" s="10"/>
      <c r="AA814" s="10"/>
      <c r="AB814" s="10"/>
      <c r="AC814" s="10"/>
      <c r="AD814" s="10"/>
      <c r="AE814" s="10"/>
      <c r="AF814" s="10"/>
      <c r="AG814" s="10"/>
      <c r="AH814" s="10"/>
    </row>
    <row r="815" spans="1:34">
      <c r="A815" s="13"/>
      <c r="B815" s="14"/>
      <c r="C815" s="14"/>
      <c r="D815" s="14"/>
      <c r="E815" s="15"/>
      <c r="F815" s="14"/>
      <c r="G815" s="14"/>
      <c r="H815" s="14"/>
      <c r="I815" s="14"/>
      <c r="J815" s="14"/>
      <c r="K815" s="23"/>
      <c r="L815" s="14"/>
      <c r="M815" s="14"/>
      <c r="N815" s="14"/>
      <c r="O815" s="14"/>
      <c r="P815" s="14"/>
      <c r="Q815" s="14"/>
      <c r="R815" s="14"/>
      <c r="S815" s="10"/>
      <c r="T815" s="10"/>
      <c r="U815" s="10"/>
      <c r="V815" s="10"/>
      <c r="W815" s="10"/>
      <c r="X815" s="10"/>
      <c r="Y815" s="10"/>
      <c r="Z815" s="10"/>
      <c r="AA815" s="10"/>
      <c r="AB815" s="10"/>
      <c r="AC815" s="10"/>
      <c r="AD815" s="10"/>
      <c r="AE815" s="10"/>
      <c r="AF815" s="10"/>
      <c r="AG815" s="10"/>
      <c r="AH815" s="10"/>
    </row>
    <row r="816" spans="1:34">
      <c r="A816" s="13"/>
      <c r="B816" s="14"/>
      <c r="C816" s="14"/>
      <c r="D816" s="14"/>
      <c r="E816" s="15"/>
      <c r="F816" s="14"/>
      <c r="G816" s="14"/>
      <c r="H816" s="14"/>
      <c r="I816" s="14"/>
      <c r="J816" s="14"/>
      <c r="K816" s="23"/>
      <c r="L816" s="14"/>
      <c r="M816" s="14"/>
      <c r="N816" s="14"/>
      <c r="O816" s="14"/>
      <c r="P816" s="14"/>
      <c r="Q816" s="14"/>
      <c r="R816" s="14"/>
      <c r="S816" s="10"/>
      <c r="T816" s="10"/>
      <c r="U816" s="10"/>
      <c r="V816" s="10"/>
      <c r="W816" s="10"/>
      <c r="X816" s="10"/>
      <c r="Y816" s="10"/>
      <c r="Z816" s="10"/>
      <c r="AA816" s="10"/>
      <c r="AB816" s="10"/>
      <c r="AC816" s="10"/>
      <c r="AD816" s="10"/>
      <c r="AE816" s="10"/>
      <c r="AF816" s="10"/>
      <c r="AG816" s="10"/>
      <c r="AH816" s="10"/>
    </row>
    <row r="817" spans="1:34">
      <c r="A817" s="13"/>
      <c r="B817" s="14"/>
      <c r="C817" s="14"/>
      <c r="D817" s="14"/>
      <c r="E817" s="15"/>
      <c r="F817" s="14"/>
      <c r="G817" s="14"/>
      <c r="H817" s="14"/>
      <c r="I817" s="14"/>
      <c r="J817" s="14"/>
      <c r="K817" s="23"/>
      <c r="L817" s="14"/>
      <c r="M817" s="14"/>
      <c r="N817" s="14"/>
      <c r="O817" s="14"/>
      <c r="P817" s="14"/>
      <c r="Q817" s="14"/>
      <c r="R817" s="14"/>
      <c r="S817" s="10"/>
      <c r="T817" s="10"/>
      <c r="U817" s="10"/>
      <c r="V817" s="10"/>
      <c r="W817" s="10"/>
      <c r="X817" s="10"/>
      <c r="Y817" s="10"/>
      <c r="Z817" s="10"/>
      <c r="AA817" s="10"/>
      <c r="AB817" s="10"/>
      <c r="AC817" s="10"/>
      <c r="AD817" s="10"/>
      <c r="AE817" s="10"/>
      <c r="AF817" s="10"/>
      <c r="AG817" s="10"/>
      <c r="AH817" s="10"/>
    </row>
    <row r="818" spans="1:34">
      <c r="A818" s="13"/>
      <c r="B818" s="14"/>
      <c r="C818" s="14"/>
      <c r="D818" s="14"/>
      <c r="E818" s="15"/>
      <c r="F818" s="14"/>
      <c r="G818" s="14"/>
      <c r="H818" s="14"/>
      <c r="I818" s="14"/>
      <c r="J818" s="14"/>
      <c r="K818" s="23"/>
      <c r="L818" s="14"/>
      <c r="M818" s="14"/>
      <c r="N818" s="14"/>
      <c r="O818" s="14"/>
      <c r="P818" s="14"/>
      <c r="Q818" s="14"/>
      <c r="R818" s="14"/>
      <c r="S818" s="10"/>
      <c r="T818" s="10"/>
      <c r="U818" s="10"/>
      <c r="V818" s="10"/>
      <c r="W818" s="10"/>
      <c r="X818" s="10"/>
      <c r="Y818" s="10"/>
      <c r="Z818" s="10"/>
      <c r="AA818" s="10"/>
      <c r="AB818" s="10"/>
      <c r="AC818" s="10"/>
      <c r="AD818" s="10"/>
      <c r="AE818" s="10"/>
      <c r="AF818" s="10"/>
      <c r="AG818" s="10"/>
      <c r="AH818" s="10"/>
    </row>
    <row r="819" spans="1:34">
      <c r="A819" s="13"/>
      <c r="B819" s="14"/>
      <c r="C819" s="14"/>
      <c r="D819" s="14"/>
      <c r="E819" s="15"/>
      <c r="F819" s="14"/>
      <c r="G819" s="14"/>
      <c r="H819" s="14"/>
      <c r="I819" s="14"/>
      <c r="J819" s="14"/>
      <c r="K819" s="23"/>
      <c r="L819" s="14"/>
      <c r="M819" s="14"/>
      <c r="N819" s="14"/>
      <c r="O819" s="14"/>
      <c r="P819" s="14"/>
      <c r="Q819" s="14"/>
      <c r="R819" s="14"/>
      <c r="S819" s="10"/>
      <c r="T819" s="10"/>
      <c r="U819" s="10"/>
      <c r="V819" s="10"/>
      <c r="W819" s="10"/>
      <c r="X819" s="10"/>
      <c r="Y819" s="10"/>
      <c r="Z819" s="10"/>
      <c r="AA819" s="10"/>
      <c r="AB819" s="10"/>
      <c r="AC819" s="10"/>
      <c r="AD819" s="10"/>
      <c r="AE819" s="10"/>
      <c r="AF819" s="10"/>
      <c r="AG819" s="10"/>
      <c r="AH819" s="10"/>
    </row>
    <row r="820" spans="1:34">
      <c r="A820" s="13"/>
      <c r="B820" s="14"/>
      <c r="C820" s="14"/>
      <c r="D820" s="14"/>
      <c r="E820" s="15"/>
      <c r="F820" s="14"/>
      <c r="G820" s="14"/>
      <c r="H820" s="14"/>
      <c r="I820" s="14"/>
      <c r="J820" s="14"/>
      <c r="K820" s="23"/>
      <c r="L820" s="14"/>
      <c r="M820" s="14"/>
      <c r="N820" s="14"/>
      <c r="O820" s="14"/>
      <c r="P820" s="14"/>
      <c r="Q820" s="14"/>
      <c r="R820" s="14"/>
      <c r="S820" s="10"/>
      <c r="T820" s="10"/>
      <c r="U820" s="10"/>
      <c r="V820" s="10"/>
      <c r="W820" s="10"/>
      <c r="X820" s="10"/>
      <c r="Y820" s="10"/>
      <c r="Z820" s="10"/>
      <c r="AA820" s="10"/>
      <c r="AB820" s="10"/>
      <c r="AC820" s="10"/>
      <c r="AD820" s="10"/>
      <c r="AE820" s="10"/>
      <c r="AF820" s="10"/>
      <c r="AG820" s="10"/>
      <c r="AH820" s="10"/>
    </row>
    <row r="821" spans="1:34">
      <c r="A821" s="13"/>
      <c r="B821" s="14"/>
      <c r="C821" s="14"/>
      <c r="D821" s="14"/>
      <c r="E821" s="15"/>
      <c r="F821" s="14"/>
      <c r="G821" s="14"/>
      <c r="H821" s="14"/>
      <c r="I821" s="14"/>
      <c r="J821" s="14"/>
      <c r="K821" s="23"/>
      <c r="L821" s="14"/>
      <c r="M821" s="14"/>
      <c r="N821" s="14"/>
      <c r="O821" s="14"/>
      <c r="P821" s="14"/>
      <c r="Q821" s="14"/>
      <c r="R821" s="14"/>
      <c r="S821" s="10"/>
      <c r="T821" s="10"/>
      <c r="U821" s="10"/>
      <c r="V821" s="10"/>
      <c r="W821" s="10"/>
      <c r="X821" s="10"/>
      <c r="Y821" s="10"/>
      <c r="Z821" s="10"/>
      <c r="AA821" s="10"/>
      <c r="AB821" s="10"/>
      <c r="AC821" s="10"/>
      <c r="AD821" s="10"/>
      <c r="AE821" s="10"/>
      <c r="AF821" s="10"/>
      <c r="AG821" s="10"/>
      <c r="AH821" s="10"/>
    </row>
    <row r="822" spans="1:34">
      <c r="A822" s="13"/>
      <c r="B822" s="14"/>
      <c r="C822" s="14"/>
      <c r="D822" s="14"/>
      <c r="E822" s="15"/>
      <c r="F822" s="14"/>
      <c r="G822" s="14"/>
      <c r="H822" s="14"/>
      <c r="I822" s="14"/>
      <c r="J822" s="14"/>
      <c r="K822" s="23"/>
      <c r="L822" s="14"/>
      <c r="M822" s="14"/>
      <c r="N822" s="14"/>
      <c r="O822" s="14"/>
      <c r="P822" s="14"/>
      <c r="Q822" s="14"/>
      <c r="R822" s="14"/>
      <c r="S822" s="10"/>
      <c r="T822" s="10"/>
      <c r="U822" s="10"/>
      <c r="V822" s="10"/>
      <c r="W822" s="10"/>
      <c r="X822" s="10"/>
      <c r="Y822" s="10"/>
      <c r="Z822" s="10"/>
      <c r="AA822" s="10"/>
      <c r="AB822" s="10"/>
      <c r="AC822" s="10"/>
      <c r="AD822" s="10"/>
      <c r="AE822" s="10"/>
      <c r="AF822" s="10"/>
      <c r="AG822" s="10"/>
      <c r="AH822" s="10"/>
    </row>
    <row r="823" spans="1:34">
      <c r="A823" s="13"/>
      <c r="B823" s="14"/>
      <c r="C823" s="14"/>
      <c r="D823" s="14"/>
      <c r="E823" s="15"/>
      <c r="F823" s="14"/>
      <c r="G823" s="14"/>
      <c r="H823" s="14"/>
      <c r="I823" s="14"/>
      <c r="J823" s="14"/>
      <c r="K823" s="23"/>
      <c r="L823" s="14"/>
      <c r="M823" s="14"/>
      <c r="N823" s="14"/>
      <c r="O823" s="14"/>
      <c r="P823" s="14"/>
      <c r="Q823" s="14"/>
      <c r="R823" s="14"/>
      <c r="S823" s="10"/>
      <c r="T823" s="10"/>
      <c r="U823" s="10"/>
      <c r="V823" s="10"/>
      <c r="W823" s="10"/>
      <c r="X823" s="10"/>
      <c r="Y823" s="10"/>
      <c r="Z823" s="10"/>
      <c r="AA823" s="10"/>
      <c r="AB823" s="10"/>
      <c r="AC823" s="10"/>
      <c r="AD823" s="10"/>
      <c r="AE823" s="10"/>
      <c r="AF823" s="10"/>
      <c r="AG823" s="10"/>
      <c r="AH823" s="10"/>
    </row>
    <row r="824" spans="1:34">
      <c r="A824" s="13"/>
      <c r="B824" s="14"/>
      <c r="C824" s="14"/>
      <c r="D824" s="14"/>
      <c r="E824" s="15"/>
      <c r="F824" s="14"/>
      <c r="G824" s="14"/>
      <c r="H824" s="14"/>
      <c r="I824" s="14"/>
      <c r="J824" s="14"/>
      <c r="K824" s="23"/>
      <c r="L824" s="14"/>
      <c r="M824" s="14"/>
      <c r="N824" s="14"/>
      <c r="O824" s="14"/>
      <c r="P824" s="14"/>
      <c r="Q824" s="14"/>
      <c r="R824" s="14"/>
      <c r="S824" s="10"/>
      <c r="T824" s="10"/>
      <c r="U824" s="10"/>
      <c r="V824" s="10"/>
      <c r="W824" s="10"/>
      <c r="X824" s="10"/>
      <c r="Y824" s="10"/>
      <c r="Z824" s="10"/>
      <c r="AA824" s="10"/>
      <c r="AB824" s="10"/>
      <c r="AC824" s="10"/>
      <c r="AD824" s="10"/>
      <c r="AE824" s="10"/>
      <c r="AF824" s="10"/>
      <c r="AG824" s="10"/>
      <c r="AH824" s="10"/>
    </row>
    <row r="825" spans="1:34">
      <c r="A825" s="13"/>
      <c r="B825" s="14"/>
      <c r="C825" s="14"/>
      <c r="D825" s="14"/>
      <c r="E825" s="15"/>
      <c r="F825" s="14"/>
      <c r="G825" s="14"/>
      <c r="H825" s="14"/>
      <c r="I825" s="14"/>
      <c r="J825" s="14"/>
      <c r="K825" s="23"/>
      <c r="L825" s="14"/>
      <c r="M825" s="14"/>
      <c r="N825" s="14"/>
      <c r="O825" s="14"/>
      <c r="P825" s="14"/>
      <c r="Q825" s="14"/>
      <c r="R825" s="14"/>
      <c r="S825" s="10"/>
      <c r="T825" s="10"/>
      <c r="U825" s="10"/>
      <c r="V825" s="10"/>
      <c r="W825" s="10"/>
      <c r="X825" s="10"/>
      <c r="Y825" s="10"/>
      <c r="Z825" s="10"/>
      <c r="AA825" s="10"/>
      <c r="AB825" s="10"/>
      <c r="AC825" s="10"/>
      <c r="AD825" s="10"/>
      <c r="AE825" s="10"/>
      <c r="AF825" s="10"/>
      <c r="AG825" s="10"/>
      <c r="AH825" s="10"/>
    </row>
    <row r="826" spans="1:34">
      <c r="A826" s="13"/>
      <c r="B826" s="14"/>
      <c r="C826" s="14"/>
      <c r="D826" s="14"/>
      <c r="E826" s="15"/>
      <c r="F826" s="14"/>
      <c r="G826" s="14"/>
      <c r="H826" s="14"/>
      <c r="I826" s="14"/>
      <c r="J826" s="14"/>
      <c r="K826" s="23"/>
      <c r="L826" s="14"/>
      <c r="M826" s="14"/>
      <c r="N826" s="14"/>
      <c r="O826" s="14"/>
      <c r="P826" s="14"/>
      <c r="Q826" s="14"/>
      <c r="R826" s="14"/>
      <c r="S826" s="10"/>
      <c r="T826" s="10"/>
      <c r="U826" s="10"/>
      <c r="V826" s="10"/>
      <c r="W826" s="10"/>
      <c r="X826" s="10"/>
      <c r="Y826" s="10"/>
      <c r="Z826" s="10"/>
      <c r="AA826" s="10"/>
      <c r="AB826" s="10"/>
      <c r="AC826" s="10"/>
      <c r="AD826" s="10"/>
      <c r="AE826" s="10"/>
      <c r="AF826" s="10"/>
      <c r="AG826" s="10"/>
      <c r="AH826" s="10"/>
    </row>
    <row r="827" spans="1:34">
      <c r="A827" s="13"/>
      <c r="B827" s="14"/>
      <c r="C827" s="14"/>
      <c r="D827" s="14"/>
      <c r="E827" s="15"/>
      <c r="F827" s="14"/>
      <c r="G827" s="14"/>
      <c r="H827" s="14"/>
      <c r="I827" s="14"/>
      <c r="J827" s="14"/>
      <c r="K827" s="23"/>
      <c r="L827" s="14"/>
      <c r="M827" s="14"/>
      <c r="N827" s="14"/>
      <c r="O827" s="14"/>
      <c r="P827" s="14"/>
      <c r="Q827" s="14"/>
      <c r="R827" s="14"/>
      <c r="S827" s="10"/>
      <c r="T827" s="10"/>
      <c r="U827" s="10"/>
      <c r="V827" s="10"/>
      <c r="W827" s="10"/>
      <c r="X827" s="10"/>
      <c r="Y827" s="10"/>
      <c r="Z827" s="10"/>
      <c r="AA827" s="10"/>
      <c r="AB827" s="10"/>
      <c r="AC827" s="10"/>
      <c r="AD827" s="10"/>
      <c r="AE827" s="10"/>
      <c r="AF827" s="10"/>
      <c r="AG827" s="10"/>
      <c r="AH827" s="10"/>
    </row>
    <row r="828" spans="1:34">
      <c r="A828" s="13"/>
      <c r="B828" s="14"/>
      <c r="C828" s="14"/>
      <c r="D828" s="14"/>
      <c r="E828" s="15"/>
      <c r="F828" s="14"/>
      <c r="G828" s="14"/>
      <c r="H828" s="14"/>
      <c r="I828" s="14"/>
      <c r="J828" s="14"/>
      <c r="K828" s="23"/>
      <c r="L828" s="14"/>
      <c r="M828" s="14"/>
      <c r="N828" s="14"/>
      <c r="O828" s="14"/>
      <c r="P828" s="14"/>
      <c r="Q828" s="14"/>
      <c r="R828" s="14"/>
      <c r="S828" s="10"/>
      <c r="T828" s="10"/>
      <c r="U828" s="10"/>
      <c r="V828" s="10"/>
      <c r="W828" s="10"/>
      <c r="X828" s="10"/>
      <c r="Y828" s="10"/>
      <c r="Z828" s="10"/>
      <c r="AA828" s="10"/>
      <c r="AB828" s="10"/>
      <c r="AC828" s="10"/>
      <c r="AD828" s="10"/>
      <c r="AE828" s="10"/>
      <c r="AF828" s="10"/>
      <c r="AG828" s="10"/>
      <c r="AH828" s="10"/>
    </row>
    <row r="829" spans="1:34">
      <c r="A829" s="13"/>
      <c r="B829" s="14"/>
      <c r="C829" s="14"/>
      <c r="D829" s="14"/>
      <c r="E829" s="15"/>
      <c r="F829" s="14"/>
      <c r="G829" s="14"/>
      <c r="H829" s="14"/>
      <c r="I829" s="14"/>
      <c r="J829" s="14"/>
      <c r="K829" s="23"/>
      <c r="L829" s="14"/>
      <c r="M829" s="14"/>
      <c r="N829" s="14"/>
      <c r="O829" s="14"/>
      <c r="P829" s="14"/>
      <c r="Q829" s="14"/>
      <c r="R829" s="14"/>
      <c r="S829" s="10"/>
      <c r="T829" s="10"/>
      <c r="U829" s="10"/>
      <c r="V829" s="10"/>
      <c r="W829" s="10"/>
      <c r="X829" s="10"/>
      <c r="Y829" s="10"/>
      <c r="Z829" s="10"/>
      <c r="AA829" s="10"/>
      <c r="AB829" s="10"/>
      <c r="AC829" s="10"/>
      <c r="AD829" s="10"/>
      <c r="AE829" s="10"/>
      <c r="AF829" s="10"/>
      <c r="AG829" s="10"/>
      <c r="AH829" s="10"/>
    </row>
    <row r="830" spans="1:34">
      <c r="A830" s="13"/>
      <c r="B830" s="14"/>
      <c r="C830" s="14"/>
      <c r="D830" s="14"/>
      <c r="E830" s="15"/>
      <c r="F830" s="14"/>
      <c r="G830" s="14"/>
      <c r="H830" s="14"/>
      <c r="I830" s="14"/>
      <c r="J830" s="14"/>
      <c r="K830" s="23"/>
      <c r="L830" s="14"/>
      <c r="M830" s="14"/>
      <c r="N830" s="14"/>
      <c r="O830" s="14"/>
      <c r="P830" s="14"/>
      <c r="Q830" s="14"/>
      <c r="R830" s="14"/>
      <c r="S830" s="10"/>
      <c r="T830" s="10"/>
      <c r="U830" s="10"/>
      <c r="V830" s="10"/>
      <c r="W830" s="10"/>
      <c r="X830" s="10"/>
      <c r="Y830" s="10"/>
      <c r="Z830" s="10"/>
      <c r="AA830" s="10"/>
      <c r="AB830" s="10"/>
      <c r="AC830" s="10"/>
      <c r="AD830" s="10"/>
      <c r="AE830" s="10"/>
      <c r="AF830" s="10"/>
      <c r="AG830" s="10"/>
      <c r="AH830" s="10"/>
    </row>
    <row r="831" spans="1:34">
      <c r="A831" s="13"/>
      <c r="B831" s="14"/>
      <c r="C831" s="14"/>
      <c r="D831" s="14"/>
      <c r="E831" s="15"/>
      <c r="F831" s="14"/>
      <c r="G831" s="14"/>
      <c r="H831" s="14"/>
      <c r="I831" s="14"/>
      <c r="J831" s="14"/>
      <c r="K831" s="23"/>
      <c r="L831" s="14"/>
      <c r="M831" s="14"/>
      <c r="N831" s="14"/>
      <c r="O831" s="14"/>
      <c r="P831" s="14"/>
      <c r="Q831" s="14"/>
      <c r="R831" s="14"/>
      <c r="S831" s="10"/>
      <c r="T831" s="10"/>
      <c r="U831" s="10"/>
      <c r="V831" s="10"/>
      <c r="W831" s="10"/>
      <c r="X831" s="10"/>
      <c r="Y831" s="10"/>
      <c r="Z831" s="10"/>
      <c r="AA831" s="10"/>
      <c r="AB831" s="10"/>
      <c r="AC831" s="10"/>
      <c r="AD831" s="10"/>
      <c r="AE831" s="10"/>
      <c r="AF831" s="10"/>
      <c r="AG831" s="10"/>
      <c r="AH831" s="10"/>
    </row>
    <row r="832" spans="1:34">
      <c r="A832" s="13"/>
      <c r="B832" s="14"/>
      <c r="C832" s="14"/>
      <c r="D832" s="14"/>
      <c r="E832" s="15"/>
      <c r="F832" s="14"/>
      <c r="G832" s="14"/>
      <c r="H832" s="14"/>
      <c r="I832" s="14"/>
      <c r="J832" s="14"/>
      <c r="K832" s="23"/>
      <c r="L832" s="14"/>
      <c r="M832" s="14"/>
      <c r="N832" s="14"/>
      <c r="O832" s="14"/>
      <c r="P832" s="14"/>
      <c r="Q832" s="14"/>
      <c r="R832" s="14"/>
      <c r="S832" s="10"/>
      <c r="T832" s="10"/>
      <c r="U832" s="10"/>
      <c r="V832" s="10"/>
      <c r="W832" s="10"/>
      <c r="X832" s="10"/>
      <c r="Y832" s="10"/>
      <c r="Z832" s="10"/>
      <c r="AA832" s="10"/>
      <c r="AB832" s="10"/>
      <c r="AC832" s="10"/>
      <c r="AD832" s="10"/>
      <c r="AE832" s="10"/>
      <c r="AF832" s="10"/>
      <c r="AG832" s="10"/>
      <c r="AH832" s="10"/>
    </row>
    <row r="833" spans="1:34">
      <c r="A833" s="13"/>
      <c r="B833" s="14"/>
      <c r="C833" s="14"/>
      <c r="D833" s="14"/>
      <c r="E833" s="15"/>
      <c r="F833" s="14"/>
      <c r="G833" s="14"/>
      <c r="H833" s="14"/>
      <c r="I833" s="14"/>
      <c r="J833" s="14"/>
      <c r="K833" s="23"/>
      <c r="L833" s="14"/>
      <c r="M833" s="14"/>
      <c r="N833" s="14"/>
      <c r="O833" s="14"/>
      <c r="P833" s="14"/>
      <c r="Q833" s="14"/>
      <c r="R833" s="14"/>
      <c r="S833" s="10"/>
      <c r="T833" s="10"/>
      <c r="U833" s="10"/>
      <c r="V833" s="10"/>
      <c r="W833" s="10"/>
      <c r="X833" s="10"/>
      <c r="Y833" s="10"/>
      <c r="Z833" s="10"/>
      <c r="AA833" s="10"/>
      <c r="AB833" s="10"/>
      <c r="AC833" s="10"/>
      <c r="AD833" s="10"/>
      <c r="AE833" s="10"/>
      <c r="AF833" s="10"/>
      <c r="AG833" s="10"/>
      <c r="AH833" s="10"/>
    </row>
    <row r="834" spans="1:34">
      <c r="A834" s="13"/>
      <c r="B834" s="14"/>
      <c r="C834" s="14"/>
      <c r="D834" s="14"/>
      <c r="E834" s="15"/>
      <c r="F834" s="14"/>
      <c r="G834" s="14"/>
      <c r="H834" s="14"/>
      <c r="I834" s="14"/>
      <c r="J834" s="14"/>
      <c r="K834" s="23"/>
      <c r="L834" s="14"/>
      <c r="M834" s="14"/>
      <c r="N834" s="14"/>
      <c r="O834" s="14"/>
      <c r="P834" s="14"/>
      <c r="Q834" s="14"/>
      <c r="R834" s="14"/>
      <c r="S834" s="10"/>
      <c r="T834" s="10"/>
      <c r="U834" s="10"/>
      <c r="V834" s="10"/>
      <c r="W834" s="10"/>
      <c r="X834" s="10"/>
      <c r="Y834" s="10"/>
      <c r="Z834" s="10"/>
      <c r="AA834" s="10"/>
      <c r="AB834" s="10"/>
      <c r="AC834" s="10"/>
      <c r="AD834" s="10"/>
      <c r="AE834" s="10"/>
      <c r="AF834" s="10"/>
      <c r="AG834" s="10"/>
      <c r="AH834" s="10"/>
    </row>
    <row r="835" spans="1:34">
      <c r="A835" s="13"/>
      <c r="B835" s="14"/>
      <c r="C835" s="14"/>
      <c r="D835" s="14"/>
      <c r="E835" s="15"/>
      <c r="F835" s="14"/>
      <c r="G835" s="14"/>
      <c r="H835" s="14"/>
      <c r="I835" s="14"/>
      <c r="J835" s="14"/>
      <c r="K835" s="23"/>
      <c r="L835" s="14"/>
      <c r="M835" s="14"/>
      <c r="N835" s="14"/>
      <c r="O835" s="14"/>
      <c r="P835" s="14"/>
      <c r="Q835" s="14"/>
      <c r="R835" s="14"/>
      <c r="S835" s="10"/>
      <c r="T835" s="10"/>
      <c r="U835" s="10"/>
      <c r="V835" s="10"/>
      <c r="W835" s="10"/>
      <c r="X835" s="10"/>
      <c r="Y835" s="10"/>
      <c r="Z835" s="10"/>
      <c r="AA835" s="10"/>
      <c r="AB835" s="10"/>
      <c r="AC835" s="10"/>
      <c r="AD835" s="10"/>
      <c r="AE835" s="10"/>
      <c r="AF835" s="10"/>
      <c r="AG835" s="10"/>
      <c r="AH835" s="10"/>
    </row>
    <row r="836" spans="1:34">
      <c r="A836" s="13"/>
      <c r="B836" s="14"/>
      <c r="C836" s="14"/>
      <c r="D836" s="14"/>
      <c r="E836" s="15"/>
      <c r="F836" s="14"/>
      <c r="G836" s="14"/>
      <c r="H836" s="14"/>
      <c r="I836" s="14"/>
      <c r="J836" s="14"/>
      <c r="K836" s="23"/>
      <c r="L836" s="14"/>
      <c r="M836" s="14"/>
      <c r="N836" s="14"/>
      <c r="O836" s="14"/>
      <c r="P836" s="14"/>
      <c r="Q836" s="14"/>
      <c r="R836" s="14"/>
      <c r="S836" s="10"/>
      <c r="T836" s="10"/>
      <c r="U836" s="10"/>
      <c r="V836" s="10"/>
      <c r="W836" s="10"/>
      <c r="X836" s="10"/>
      <c r="Y836" s="10"/>
      <c r="Z836" s="10"/>
      <c r="AA836" s="10"/>
      <c r="AB836" s="10"/>
      <c r="AC836" s="10"/>
      <c r="AD836" s="10"/>
      <c r="AE836" s="10"/>
      <c r="AF836" s="10"/>
      <c r="AG836" s="10"/>
      <c r="AH836" s="10"/>
    </row>
    <row r="837" spans="1:34">
      <c r="A837" s="13"/>
      <c r="B837" s="14"/>
      <c r="C837" s="14"/>
      <c r="D837" s="14"/>
      <c r="E837" s="15"/>
      <c r="F837" s="14"/>
      <c r="G837" s="14"/>
      <c r="H837" s="14"/>
      <c r="I837" s="14"/>
      <c r="J837" s="14"/>
      <c r="K837" s="23"/>
      <c r="L837" s="14"/>
      <c r="M837" s="14"/>
      <c r="N837" s="14"/>
      <c r="O837" s="14"/>
      <c r="P837" s="14"/>
      <c r="Q837" s="14"/>
      <c r="R837" s="14"/>
      <c r="S837" s="10"/>
      <c r="T837" s="10"/>
      <c r="U837" s="10"/>
      <c r="V837" s="10"/>
      <c r="W837" s="10"/>
      <c r="X837" s="10"/>
      <c r="Y837" s="10"/>
      <c r="Z837" s="10"/>
      <c r="AA837" s="10"/>
      <c r="AB837" s="10"/>
      <c r="AC837" s="10"/>
      <c r="AD837" s="10"/>
      <c r="AE837" s="10"/>
      <c r="AF837" s="10"/>
      <c r="AG837" s="10"/>
      <c r="AH837" s="10"/>
    </row>
    <row r="838" spans="1:34">
      <c r="A838" s="13"/>
      <c r="B838" s="14"/>
      <c r="C838" s="14"/>
      <c r="D838" s="14"/>
      <c r="E838" s="15"/>
      <c r="F838" s="14"/>
      <c r="G838" s="14"/>
      <c r="H838" s="14"/>
      <c r="I838" s="14"/>
      <c r="J838" s="14"/>
      <c r="K838" s="23"/>
      <c r="L838" s="14"/>
      <c r="M838" s="14"/>
      <c r="N838" s="14"/>
      <c r="O838" s="14"/>
      <c r="P838" s="14"/>
      <c r="Q838" s="14"/>
      <c r="R838" s="14"/>
      <c r="S838" s="10"/>
      <c r="T838" s="10"/>
      <c r="U838" s="10"/>
      <c r="V838" s="10"/>
      <c r="W838" s="10"/>
      <c r="X838" s="10"/>
      <c r="Y838" s="10"/>
      <c r="Z838" s="10"/>
      <c r="AA838" s="10"/>
      <c r="AB838" s="10"/>
      <c r="AC838" s="10"/>
      <c r="AD838" s="10"/>
      <c r="AE838" s="10"/>
      <c r="AF838" s="10"/>
      <c r="AG838" s="10"/>
      <c r="AH838" s="10"/>
    </row>
    <row r="839" spans="1:34">
      <c r="A839" s="13"/>
      <c r="B839" s="14"/>
      <c r="C839" s="14"/>
      <c r="D839" s="14"/>
      <c r="E839" s="15"/>
      <c r="F839" s="14"/>
      <c r="G839" s="14"/>
      <c r="H839" s="14"/>
      <c r="I839" s="14"/>
      <c r="J839" s="14"/>
      <c r="K839" s="23"/>
      <c r="L839" s="14"/>
      <c r="M839" s="14"/>
      <c r="N839" s="14"/>
      <c r="O839" s="14"/>
      <c r="P839" s="14"/>
      <c r="Q839" s="14"/>
      <c r="R839" s="14"/>
      <c r="S839" s="10"/>
      <c r="T839" s="10"/>
      <c r="U839" s="10"/>
      <c r="V839" s="10"/>
      <c r="W839" s="10"/>
      <c r="X839" s="10"/>
      <c r="Y839" s="10"/>
      <c r="Z839" s="10"/>
      <c r="AA839" s="10"/>
      <c r="AB839" s="10"/>
      <c r="AC839" s="10"/>
      <c r="AD839" s="10"/>
      <c r="AE839" s="10"/>
      <c r="AF839" s="10"/>
      <c r="AG839" s="10"/>
      <c r="AH839" s="10"/>
    </row>
    <row r="840" spans="1:34">
      <c r="A840" s="13"/>
      <c r="B840" s="14"/>
      <c r="C840" s="14"/>
      <c r="D840" s="14"/>
      <c r="E840" s="15"/>
      <c r="F840" s="14"/>
      <c r="G840" s="14"/>
      <c r="H840" s="14"/>
      <c r="I840" s="14"/>
      <c r="J840" s="14"/>
      <c r="K840" s="23"/>
      <c r="L840" s="14"/>
      <c r="M840" s="14"/>
      <c r="N840" s="14"/>
      <c r="O840" s="14"/>
      <c r="P840" s="14"/>
      <c r="Q840" s="14"/>
      <c r="R840" s="14"/>
      <c r="S840" s="10"/>
      <c r="T840" s="10"/>
      <c r="U840" s="10"/>
      <c r="V840" s="10"/>
      <c r="W840" s="10"/>
      <c r="X840" s="10"/>
      <c r="Y840" s="10"/>
      <c r="Z840" s="10"/>
      <c r="AA840" s="10"/>
      <c r="AB840" s="10"/>
      <c r="AC840" s="10"/>
      <c r="AD840" s="10"/>
      <c r="AE840" s="10"/>
      <c r="AF840" s="10"/>
      <c r="AG840" s="10"/>
      <c r="AH840" s="10"/>
    </row>
    <row r="841" spans="1:34">
      <c r="A841" s="13"/>
      <c r="B841" s="14"/>
      <c r="C841" s="14"/>
      <c r="D841" s="14"/>
      <c r="E841" s="15"/>
      <c r="F841" s="14"/>
      <c r="G841" s="14"/>
      <c r="H841" s="14"/>
      <c r="I841" s="14"/>
      <c r="J841" s="14"/>
      <c r="K841" s="23"/>
      <c r="L841" s="14"/>
      <c r="M841" s="14"/>
      <c r="N841" s="14"/>
      <c r="O841" s="14"/>
      <c r="P841" s="14"/>
      <c r="Q841" s="14"/>
      <c r="R841" s="14"/>
      <c r="S841" s="10"/>
      <c r="T841" s="10"/>
      <c r="U841" s="10"/>
      <c r="V841" s="10"/>
      <c r="W841" s="10"/>
      <c r="X841" s="10"/>
      <c r="Y841" s="10"/>
      <c r="Z841" s="10"/>
      <c r="AA841" s="10"/>
      <c r="AB841" s="10"/>
      <c r="AC841" s="10"/>
      <c r="AD841" s="10"/>
      <c r="AE841" s="10"/>
      <c r="AF841" s="10"/>
      <c r="AG841" s="10"/>
      <c r="AH841" s="10"/>
    </row>
    <row r="842" spans="1:34">
      <c r="A842" s="13"/>
      <c r="B842" s="14"/>
      <c r="C842" s="14"/>
      <c r="D842" s="14"/>
      <c r="E842" s="15"/>
      <c r="F842" s="14"/>
      <c r="G842" s="14"/>
      <c r="H842" s="14"/>
      <c r="I842" s="14"/>
      <c r="J842" s="14"/>
      <c r="K842" s="23"/>
      <c r="L842" s="14"/>
      <c r="M842" s="14"/>
      <c r="N842" s="14"/>
      <c r="O842" s="14"/>
      <c r="P842" s="14"/>
      <c r="Q842" s="14"/>
      <c r="R842" s="14"/>
      <c r="S842" s="10"/>
      <c r="T842" s="10"/>
      <c r="U842" s="10"/>
      <c r="V842" s="10"/>
      <c r="W842" s="10"/>
      <c r="X842" s="10"/>
      <c r="Y842" s="10"/>
      <c r="Z842" s="10"/>
      <c r="AA842" s="10"/>
      <c r="AB842" s="10"/>
      <c r="AC842" s="10"/>
      <c r="AD842" s="10"/>
      <c r="AE842" s="10"/>
      <c r="AF842" s="10"/>
      <c r="AG842" s="10"/>
      <c r="AH842" s="10"/>
    </row>
    <row r="843" spans="1:34">
      <c r="A843" s="13"/>
      <c r="B843" s="14"/>
      <c r="C843" s="14"/>
      <c r="D843" s="14"/>
      <c r="E843" s="15"/>
      <c r="F843" s="14"/>
      <c r="G843" s="14"/>
      <c r="H843" s="14"/>
      <c r="I843" s="14"/>
      <c r="J843" s="14"/>
      <c r="K843" s="23"/>
      <c r="L843" s="14"/>
      <c r="M843" s="14"/>
      <c r="N843" s="14"/>
      <c r="O843" s="14"/>
      <c r="P843" s="14"/>
      <c r="Q843" s="14"/>
      <c r="R843" s="14"/>
      <c r="S843" s="10"/>
      <c r="T843" s="10"/>
      <c r="U843" s="10"/>
      <c r="V843" s="10"/>
      <c r="W843" s="10"/>
      <c r="X843" s="10"/>
      <c r="Y843" s="10"/>
      <c r="Z843" s="10"/>
      <c r="AA843" s="10"/>
      <c r="AB843" s="10"/>
      <c r="AC843" s="10"/>
      <c r="AD843" s="10"/>
      <c r="AE843" s="10"/>
      <c r="AF843" s="10"/>
      <c r="AG843" s="10"/>
      <c r="AH843" s="10"/>
    </row>
    <row r="844" spans="1:34">
      <c r="A844" s="13"/>
      <c r="B844" s="14"/>
      <c r="C844" s="14"/>
      <c r="D844" s="14"/>
      <c r="E844" s="15"/>
      <c r="F844" s="14"/>
      <c r="G844" s="14"/>
      <c r="H844" s="14"/>
      <c r="I844" s="14"/>
      <c r="J844" s="14"/>
      <c r="K844" s="23"/>
      <c r="L844" s="14"/>
      <c r="M844" s="14"/>
      <c r="N844" s="14"/>
      <c r="O844" s="14"/>
      <c r="P844" s="14"/>
      <c r="Q844" s="14"/>
      <c r="R844" s="14"/>
      <c r="S844" s="10"/>
      <c r="T844" s="10"/>
      <c r="U844" s="10"/>
      <c r="V844" s="10"/>
      <c r="W844" s="10"/>
      <c r="X844" s="10"/>
      <c r="Y844" s="10"/>
      <c r="Z844" s="10"/>
      <c r="AA844" s="10"/>
      <c r="AB844" s="10"/>
      <c r="AC844" s="10"/>
      <c r="AD844" s="10"/>
      <c r="AE844" s="10"/>
      <c r="AF844" s="10"/>
      <c r="AG844" s="10"/>
      <c r="AH844" s="10"/>
    </row>
    <row r="845" spans="1:34">
      <c r="A845" s="13"/>
      <c r="B845" s="14"/>
      <c r="C845" s="14"/>
      <c r="D845" s="14"/>
      <c r="E845" s="15"/>
      <c r="F845" s="14"/>
      <c r="G845" s="14"/>
      <c r="H845" s="14"/>
      <c r="I845" s="14"/>
      <c r="J845" s="14"/>
      <c r="K845" s="23"/>
      <c r="L845" s="14"/>
      <c r="M845" s="14"/>
      <c r="N845" s="14"/>
      <c r="O845" s="14"/>
      <c r="P845" s="14"/>
      <c r="Q845" s="14"/>
      <c r="R845" s="14"/>
      <c r="S845" s="10"/>
      <c r="T845" s="10"/>
      <c r="U845" s="10"/>
      <c r="V845" s="10"/>
      <c r="W845" s="10"/>
      <c r="X845" s="10"/>
      <c r="Y845" s="10"/>
      <c r="Z845" s="10"/>
      <c r="AA845" s="10"/>
      <c r="AB845" s="10"/>
      <c r="AC845" s="10"/>
      <c r="AD845" s="10"/>
      <c r="AE845" s="10"/>
      <c r="AF845" s="10"/>
      <c r="AG845" s="10"/>
      <c r="AH845" s="10"/>
    </row>
    <row r="846" spans="1:34">
      <c r="A846" s="13"/>
      <c r="B846" s="14"/>
      <c r="C846" s="14"/>
      <c r="D846" s="14"/>
      <c r="E846" s="15"/>
      <c r="F846" s="14"/>
      <c r="G846" s="14"/>
      <c r="H846" s="14"/>
      <c r="I846" s="14"/>
      <c r="J846" s="14"/>
      <c r="K846" s="23"/>
      <c r="L846" s="14"/>
      <c r="M846" s="14"/>
      <c r="N846" s="14"/>
      <c r="O846" s="14"/>
      <c r="P846" s="14"/>
      <c r="Q846" s="14"/>
      <c r="R846" s="14"/>
      <c r="S846" s="10"/>
      <c r="T846" s="10"/>
      <c r="U846" s="10"/>
      <c r="V846" s="10"/>
      <c r="W846" s="10"/>
      <c r="X846" s="10"/>
      <c r="Y846" s="10"/>
      <c r="Z846" s="10"/>
      <c r="AA846" s="10"/>
      <c r="AB846" s="10"/>
      <c r="AC846" s="10"/>
      <c r="AD846" s="10"/>
      <c r="AE846" s="10"/>
      <c r="AF846" s="10"/>
      <c r="AG846" s="10"/>
      <c r="AH846" s="10"/>
    </row>
    <row r="847" spans="1:34">
      <c r="A847" s="13"/>
      <c r="B847" s="14"/>
      <c r="C847" s="14"/>
      <c r="D847" s="14"/>
      <c r="E847" s="15"/>
      <c r="F847" s="14"/>
      <c r="G847" s="14"/>
      <c r="H847" s="14"/>
      <c r="I847" s="14"/>
      <c r="J847" s="14"/>
      <c r="K847" s="23"/>
      <c r="L847" s="14"/>
      <c r="M847" s="14"/>
      <c r="N847" s="14"/>
      <c r="O847" s="14"/>
      <c r="P847" s="14"/>
      <c r="Q847" s="14"/>
      <c r="R847" s="14"/>
      <c r="S847" s="10"/>
      <c r="T847" s="10"/>
      <c r="U847" s="10"/>
      <c r="V847" s="10"/>
      <c r="W847" s="10"/>
      <c r="X847" s="10"/>
      <c r="Y847" s="10"/>
      <c r="Z847" s="10"/>
      <c r="AA847" s="10"/>
      <c r="AB847" s="10"/>
      <c r="AC847" s="10"/>
      <c r="AD847" s="10"/>
      <c r="AE847" s="10"/>
      <c r="AF847" s="10"/>
      <c r="AG847" s="10"/>
      <c r="AH847" s="10"/>
    </row>
    <row r="848" spans="1:34">
      <c r="A848" s="13"/>
      <c r="B848" s="14"/>
      <c r="C848" s="14"/>
      <c r="D848" s="14"/>
      <c r="E848" s="15"/>
      <c r="F848" s="14"/>
      <c r="G848" s="14"/>
      <c r="H848" s="14"/>
      <c r="I848" s="14"/>
      <c r="J848" s="14"/>
      <c r="K848" s="23"/>
      <c r="L848" s="14"/>
      <c r="M848" s="14"/>
      <c r="N848" s="14"/>
      <c r="O848" s="14"/>
      <c r="P848" s="14"/>
      <c r="Q848" s="14"/>
      <c r="R848" s="14"/>
      <c r="S848" s="10"/>
      <c r="T848" s="10"/>
      <c r="U848" s="10"/>
      <c r="V848" s="10"/>
      <c r="W848" s="10"/>
      <c r="X848" s="10"/>
      <c r="Y848" s="10"/>
      <c r="Z848" s="10"/>
      <c r="AA848" s="10"/>
      <c r="AB848" s="10"/>
      <c r="AC848" s="10"/>
      <c r="AD848" s="10"/>
      <c r="AE848" s="10"/>
      <c r="AF848" s="10"/>
      <c r="AG848" s="10"/>
      <c r="AH848" s="10"/>
    </row>
    <row r="849" spans="1:34">
      <c r="A849" s="13"/>
      <c r="B849" s="14"/>
      <c r="C849" s="14"/>
      <c r="D849" s="14"/>
      <c r="E849" s="15"/>
      <c r="F849" s="14"/>
      <c r="G849" s="14"/>
      <c r="H849" s="14"/>
      <c r="I849" s="14"/>
      <c r="J849" s="14"/>
      <c r="K849" s="23"/>
      <c r="L849" s="14"/>
      <c r="M849" s="14"/>
      <c r="N849" s="14"/>
      <c r="O849" s="14"/>
      <c r="P849" s="14"/>
      <c r="Q849" s="14"/>
      <c r="R849" s="14"/>
      <c r="S849" s="10"/>
      <c r="T849" s="10"/>
      <c r="U849" s="10"/>
      <c r="V849" s="10"/>
      <c r="W849" s="10"/>
      <c r="X849" s="10"/>
      <c r="Y849" s="10"/>
      <c r="Z849" s="10"/>
      <c r="AA849" s="10"/>
      <c r="AB849" s="10"/>
      <c r="AC849" s="10"/>
      <c r="AD849" s="10"/>
      <c r="AE849" s="10"/>
      <c r="AF849" s="10"/>
      <c r="AG849" s="10"/>
      <c r="AH849" s="10"/>
    </row>
    <row r="850" spans="1:34">
      <c r="A850" s="13"/>
      <c r="B850" s="14"/>
      <c r="C850" s="14"/>
      <c r="D850" s="14"/>
      <c r="E850" s="15"/>
      <c r="F850" s="14"/>
      <c r="G850" s="14"/>
      <c r="H850" s="14"/>
      <c r="I850" s="14"/>
      <c r="J850" s="14"/>
      <c r="K850" s="23"/>
      <c r="L850" s="14"/>
      <c r="M850" s="14"/>
      <c r="N850" s="14"/>
      <c r="O850" s="14"/>
      <c r="P850" s="14"/>
      <c r="Q850" s="14"/>
      <c r="R850" s="14"/>
      <c r="S850" s="10"/>
      <c r="T850" s="10"/>
      <c r="U850" s="10"/>
      <c r="V850" s="10"/>
      <c r="W850" s="10"/>
      <c r="X850" s="10"/>
      <c r="Y850" s="10"/>
      <c r="Z850" s="10"/>
      <c r="AA850" s="10"/>
      <c r="AB850" s="10"/>
      <c r="AC850" s="10"/>
      <c r="AD850" s="10"/>
      <c r="AE850" s="10"/>
      <c r="AF850" s="10"/>
      <c r="AG850" s="10"/>
      <c r="AH850" s="10"/>
    </row>
    <row r="851" spans="1:34">
      <c r="A851" s="13"/>
      <c r="B851" s="14"/>
      <c r="C851" s="14"/>
      <c r="D851" s="14"/>
      <c r="E851" s="15"/>
      <c r="F851" s="14"/>
      <c r="G851" s="14"/>
      <c r="H851" s="14"/>
      <c r="I851" s="14"/>
      <c r="J851" s="14"/>
      <c r="K851" s="23"/>
      <c r="L851" s="14"/>
      <c r="M851" s="14"/>
      <c r="N851" s="14"/>
      <c r="O851" s="14"/>
      <c r="P851" s="14"/>
      <c r="Q851" s="14"/>
      <c r="R851" s="14"/>
      <c r="S851" s="10"/>
      <c r="T851" s="10"/>
      <c r="U851" s="10"/>
      <c r="V851" s="10"/>
      <c r="W851" s="10"/>
      <c r="X851" s="10"/>
      <c r="Y851" s="10"/>
      <c r="Z851" s="10"/>
      <c r="AA851" s="10"/>
      <c r="AB851" s="10"/>
      <c r="AC851" s="10"/>
      <c r="AD851" s="10"/>
      <c r="AE851" s="10"/>
      <c r="AF851" s="10"/>
      <c r="AG851" s="10"/>
      <c r="AH851" s="10"/>
    </row>
    <row r="852" spans="1:34">
      <c r="A852" s="13"/>
      <c r="B852" s="14"/>
      <c r="C852" s="14"/>
      <c r="D852" s="14"/>
      <c r="E852" s="15"/>
      <c r="F852" s="14"/>
      <c r="G852" s="14"/>
      <c r="H852" s="14"/>
      <c r="I852" s="14"/>
      <c r="J852" s="14"/>
      <c r="K852" s="23"/>
      <c r="L852" s="14"/>
      <c r="M852" s="14"/>
      <c r="N852" s="14"/>
      <c r="O852" s="14"/>
      <c r="P852" s="14"/>
      <c r="Q852" s="14"/>
      <c r="R852" s="14"/>
      <c r="S852" s="10"/>
      <c r="T852" s="10"/>
      <c r="U852" s="10"/>
      <c r="V852" s="10"/>
      <c r="W852" s="10"/>
      <c r="X852" s="10"/>
      <c r="Y852" s="10"/>
      <c r="Z852" s="10"/>
      <c r="AA852" s="10"/>
      <c r="AB852" s="10"/>
      <c r="AC852" s="10"/>
      <c r="AD852" s="10"/>
      <c r="AE852" s="10"/>
      <c r="AF852" s="10"/>
      <c r="AG852" s="10"/>
      <c r="AH852" s="10"/>
    </row>
    <row r="853" spans="1:34">
      <c r="A853" s="13"/>
      <c r="B853" s="14"/>
      <c r="C853" s="14"/>
      <c r="D853" s="14"/>
      <c r="E853" s="15"/>
      <c r="F853" s="14"/>
      <c r="G853" s="14"/>
      <c r="H853" s="14"/>
      <c r="I853" s="14"/>
      <c r="J853" s="14"/>
      <c r="K853" s="23"/>
      <c r="L853" s="14"/>
      <c r="M853" s="14"/>
      <c r="N853" s="14"/>
      <c r="O853" s="14"/>
      <c r="P853" s="14"/>
      <c r="Q853" s="14"/>
      <c r="R853" s="14"/>
      <c r="S853" s="10"/>
      <c r="T853" s="10"/>
      <c r="U853" s="10"/>
      <c r="V853" s="10"/>
      <c r="W853" s="10"/>
      <c r="X853" s="10"/>
      <c r="Y853" s="10"/>
      <c r="Z853" s="10"/>
      <c r="AA853" s="10"/>
      <c r="AB853" s="10"/>
      <c r="AC853" s="10"/>
      <c r="AD853" s="10"/>
      <c r="AE853" s="10"/>
      <c r="AF853" s="10"/>
      <c r="AG853" s="10"/>
      <c r="AH853" s="10"/>
    </row>
    <row r="854" spans="1:34">
      <c r="A854" s="13"/>
      <c r="B854" s="14"/>
      <c r="C854" s="14"/>
      <c r="D854" s="14"/>
      <c r="E854" s="15"/>
      <c r="F854" s="14"/>
      <c r="G854" s="14"/>
      <c r="H854" s="14"/>
      <c r="I854" s="14"/>
      <c r="J854" s="14"/>
      <c r="K854" s="23"/>
      <c r="L854" s="14"/>
      <c r="M854" s="14"/>
      <c r="N854" s="14"/>
      <c r="O854" s="14"/>
      <c r="P854" s="14"/>
      <c r="Q854" s="14"/>
      <c r="R854" s="14"/>
      <c r="S854" s="10"/>
      <c r="T854" s="10"/>
      <c r="U854" s="10"/>
      <c r="V854" s="10"/>
      <c r="W854" s="10"/>
      <c r="X854" s="10"/>
      <c r="Y854" s="10"/>
      <c r="Z854" s="10"/>
      <c r="AA854" s="10"/>
      <c r="AB854" s="10"/>
      <c r="AC854" s="10"/>
      <c r="AD854" s="10"/>
      <c r="AE854" s="10"/>
      <c r="AF854" s="10"/>
      <c r="AG854" s="10"/>
      <c r="AH854" s="10"/>
    </row>
    <row r="855" spans="1:34">
      <c r="A855" s="13"/>
      <c r="B855" s="14"/>
      <c r="C855" s="14"/>
      <c r="D855" s="14"/>
      <c r="E855" s="15"/>
      <c r="F855" s="14"/>
      <c r="G855" s="14"/>
      <c r="H855" s="14"/>
      <c r="I855" s="14"/>
      <c r="J855" s="14"/>
      <c r="K855" s="23"/>
      <c r="L855" s="14"/>
      <c r="M855" s="14"/>
      <c r="N855" s="14"/>
      <c r="O855" s="14"/>
      <c r="P855" s="14"/>
      <c r="Q855" s="14"/>
      <c r="R855" s="14"/>
      <c r="S855" s="10"/>
      <c r="T855" s="10"/>
      <c r="U855" s="10"/>
      <c r="V855" s="10"/>
      <c r="W855" s="10"/>
      <c r="X855" s="10"/>
      <c r="Y855" s="10"/>
      <c r="Z855" s="10"/>
      <c r="AA855" s="10"/>
      <c r="AB855" s="10"/>
      <c r="AC855" s="10"/>
      <c r="AD855" s="10"/>
      <c r="AE855" s="10"/>
      <c r="AF855" s="10"/>
      <c r="AG855" s="10"/>
      <c r="AH855" s="10"/>
    </row>
    <row r="856" spans="1:34">
      <c r="A856" s="13"/>
      <c r="B856" s="14"/>
      <c r="C856" s="14"/>
      <c r="D856" s="14"/>
      <c r="E856" s="15"/>
      <c r="F856" s="14"/>
      <c r="G856" s="14"/>
      <c r="H856" s="14"/>
      <c r="I856" s="14"/>
      <c r="J856" s="14"/>
      <c r="K856" s="23"/>
      <c r="L856" s="14"/>
      <c r="M856" s="14"/>
      <c r="N856" s="14"/>
      <c r="O856" s="14"/>
      <c r="P856" s="14"/>
      <c r="Q856" s="14"/>
      <c r="R856" s="14"/>
      <c r="S856" s="10"/>
      <c r="T856" s="10"/>
      <c r="U856" s="10"/>
      <c r="V856" s="10"/>
      <c r="W856" s="10"/>
      <c r="X856" s="10"/>
      <c r="Y856" s="10"/>
      <c r="Z856" s="10"/>
      <c r="AA856" s="10"/>
      <c r="AB856" s="10"/>
      <c r="AC856" s="10"/>
      <c r="AD856" s="10"/>
      <c r="AE856" s="10"/>
      <c r="AF856" s="10"/>
      <c r="AG856" s="10"/>
      <c r="AH856" s="10"/>
    </row>
    <row r="857" spans="1:34">
      <c r="A857" s="13"/>
      <c r="B857" s="14"/>
      <c r="C857" s="14"/>
      <c r="D857" s="14"/>
      <c r="E857" s="15"/>
      <c r="F857" s="14"/>
      <c r="G857" s="14"/>
      <c r="H857" s="14"/>
      <c r="I857" s="14"/>
      <c r="J857" s="14"/>
      <c r="K857" s="23"/>
      <c r="L857" s="14"/>
      <c r="M857" s="14"/>
      <c r="N857" s="14"/>
      <c r="O857" s="14"/>
      <c r="P857" s="14"/>
      <c r="Q857" s="14"/>
      <c r="R857" s="14"/>
      <c r="S857" s="10"/>
      <c r="T857" s="10"/>
      <c r="U857" s="10"/>
      <c r="V857" s="10"/>
      <c r="W857" s="10"/>
      <c r="X857" s="10"/>
      <c r="Y857" s="10"/>
      <c r="Z857" s="10"/>
      <c r="AA857" s="10"/>
      <c r="AB857" s="10"/>
      <c r="AC857" s="10"/>
      <c r="AD857" s="10"/>
      <c r="AE857" s="10"/>
      <c r="AF857" s="10"/>
      <c r="AG857" s="10"/>
      <c r="AH857" s="10"/>
    </row>
    <row r="858" spans="1:34">
      <c r="A858" s="13"/>
      <c r="B858" s="14"/>
      <c r="C858" s="14"/>
      <c r="D858" s="14"/>
      <c r="E858" s="15"/>
      <c r="F858" s="14"/>
      <c r="G858" s="14"/>
      <c r="H858" s="14"/>
      <c r="I858" s="14"/>
      <c r="J858" s="14"/>
      <c r="K858" s="23"/>
      <c r="L858" s="14"/>
      <c r="M858" s="14"/>
      <c r="N858" s="14"/>
      <c r="O858" s="14"/>
      <c r="P858" s="14"/>
      <c r="Q858" s="14"/>
      <c r="R858" s="14"/>
      <c r="S858" s="10"/>
      <c r="T858" s="10"/>
      <c r="U858" s="10"/>
      <c r="V858" s="10"/>
      <c r="W858" s="10"/>
      <c r="X858" s="10"/>
      <c r="Y858" s="10"/>
      <c r="Z858" s="10"/>
      <c r="AA858" s="10"/>
      <c r="AB858" s="10"/>
      <c r="AC858" s="10"/>
      <c r="AD858" s="10"/>
      <c r="AE858" s="10"/>
      <c r="AF858" s="10"/>
      <c r="AG858" s="10"/>
      <c r="AH858" s="10"/>
    </row>
    <row r="859" spans="1:34">
      <c r="A859" s="13"/>
      <c r="B859" s="14"/>
      <c r="C859" s="14"/>
      <c r="D859" s="14"/>
      <c r="E859" s="15"/>
      <c r="F859" s="14"/>
      <c r="G859" s="14"/>
      <c r="H859" s="14"/>
      <c r="I859" s="14"/>
      <c r="J859" s="14"/>
      <c r="K859" s="23"/>
      <c r="L859" s="14"/>
      <c r="M859" s="14"/>
      <c r="N859" s="14"/>
      <c r="O859" s="14"/>
      <c r="P859" s="14"/>
      <c r="Q859" s="14"/>
      <c r="R859" s="14"/>
      <c r="S859" s="10"/>
      <c r="T859" s="10"/>
      <c r="U859" s="10"/>
      <c r="V859" s="10"/>
      <c r="W859" s="10"/>
      <c r="X859" s="10"/>
      <c r="Y859" s="10"/>
      <c r="Z859" s="10"/>
      <c r="AA859" s="10"/>
      <c r="AB859" s="10"/>
      <c r="AC859" s="10"/>
      <c r="AD859" s="10"/>
      <c r="AE859" s="10"/>
      <c r="AF859" s="10"/>
      <c r="AG859" s="10"/>
      <c r="AH859" s="10"/>
    </row>
    <row r="860" spans="1:34">
      <c r="A860" s="13"/>
      <c r="B860" s="14"/>
      <c r="C860" s="14"/>
      <c r="D860" s="14"/>
      <c r="E860" s="15"/>
      <c r="F860" s="14"/>
      <c r="G860" s="14"/>
      <c r="H860" s="14"/>
      <c r="I860" s="14"/>
      <c r="J860" s="14"/>
      <c r="K860" s="23"/>
      <c r="L860" s="14"/>
      <c r="M860" s="14"/>
      <c r="N860" s="14"/>
      <c r="O860" s="14"/>
      <c r="P860" s="14"/>
      <c r="Q860" s="14"/>
      <c r="R860" s="14"/>
      <c r="S860" s="10"/>
      <c r="T860" s="10"/>
      <c r="U860" s="10"/>
      <c r="V860" s="10"/>
      <c r="W860" s="10"/>
      <c r="X860" s="10"/>
      <c r="Y860" s="10"/>
      <c r="Z860" s="10"/>
      <c r="AA860" s="10"/>
      <c r="AB860" s="10"/>
      <c r="AC860" s="10"/>
      <c r="AD860" s="10"/>
      <c r="AE860" s="10"/>
      <c r="AF860" s="10"/>
      <c r="AG860" s="10"/>
      <c r="AH860" s="10"/>
    </row>
    <row r="861" spans="1:34">
      <c r="A861" s="13"/>
      <c r="B861" s="14"/>
      <c r="C861" s="14"/>
      <c r="D861" s="14"/>
      <c r="E861" s="15"/>
      <c r="F861" s="14"/>
      <c r="G861" s="14"/>
      <c r="H861" s="14"/>
      <c r="I861" s="14"/>
      <c r="J861" s="14"/>
      <c r="K861" s="23"/>
      <c r="L861" s="14"/>
      <c r="M861" s="14"/>
      <c r="N861" s="14"/>
      <c r="O861" s="14"/>
      <c r="P861" s="14"/>
      <c r="Q861" s="14"/>
      <c r="R861" s="14"/>
      <c r="S861" s="10"/>
      <c r="T861" s="10"/>
      <c r="U861" s="10"/>
      <c r="V861" s="10"/>
      <c r="W861" s="10"/>
      <c r="X861" s="10"/>
      <c r="Y861" s="10"/>
      <c r="Z861" s="10"/>
      <c r="AA861" s="10"/>
      <c r="AB861" s="10"/>
      <c r="AC861" s="10"/>
      <c r="AD861" s="10"/>
      <c r="AE861" s="10"/>
      <c r="AF861" s="10"/>
      <c r="AG861" s="10"/>
      <c r="AH861" s="10"/>
    </row>
    <row r="862" spans="1:34">
      <c r="A862" s="13"/>
      <c r="B862" s="14"/>
      <c r="C862" s="14"/>
      <c r="D862" s="14"/>
      <c r="E862" s="15"/>
      <c r="F862" s="14"/>
      <c r="G862" s="14"/>
      <c r="H862" s="14"/>
      <c r="I862" s="14"/>
      <c r="J862" s="14"/>
      <c r="K862" s="23"/>
      <c r="L862" s="14"/>
      <c r="M862" s="14"/>
      <c r="N862" s="14"/>
      <c r="O862" s="14"/>
      <c r="P862" s="14"/>
      <c r="Q862" s="14"/>
      <c r="R862" s="14"/>
      <c r="S862" s="10"/>
      <c r="T862" s="10"/>
      <c r="U862" s="10"/>
      <c r="V862" s="10"/>
      <c r="W862" s="10"/>
      <c r="X862" s="10"/>
      <c r="Y862" s="10"/>
      <c r="Z862" s="10"/>
      <c r="AA862" s="10"/>
      <c r="AB862" s="10"/>
      <c r="AC862" s="10"/>
      <c r="AD862" s="10"/>
      <c r="AE862" s="10"/>
      <c r="AF862" s="10"/>
      <c r="AG862" s="10"/>
      <c r="AH862" s="10"/>
    </row>
    <row r="863" spans="1:34">
      <c r="A863" s="13"/>
      <c r="B863" s="14"/>
      <c r="C863" s="14"/>
      <c r="D863" s="14"/>
      <c r="E863" s="15"/>
      <c r="F863" s="14"/>
      <c r="G863" s="14"/>
      <c r="H863" s="14"/>
      <c r="I863" s="14"/>
      <c r="J863" s="14"/>
      <c r="K863" s="23"/>
      <c r="L863" s="14"/>
      <c r="M863" s="14"/>
      <c r="N863" s="14"/>
      <c r="O863" s="14"/>
      <c r="P863" s="14"/>
      <c r="Q863" s="14"/>
      <c r="R863" s="14"/>
      <c r="S863" s="10"/>
      <c r="T863" s="10"/>
      <c r="U863" s="10"/>
      <c r="V863" s="10"/>
      <c r="W863" s="10"/>
      <c r="X863" s="10"/>
      <c r="Y863" s="10"/>
      <c r="Z863" s="10"/>
      <c r="AA863" s="10"/>
      <c r="AB863" s="10"/>
      <c r="AC863" s="10"/>
      <c r="AD863" s="10"/>
      <c r="AE863" s="10"/>
      <c r="AF863" s="10"/>
      <c r="AG863" s="10"/>
      <c r="AH863" s="10"/>
    </row>
    <row r="864" spans="1:34">
      <c r="A864" s="13"/>
      <c r="B864" s="14"/>
      <c r="C864" s="14"/>
      <c r="D864" s="14"/>
      <c r="E864" s="15"/>
      <c r="F864" s="14"/>
      <c r="G864" s="14"/>
      <c r="H864" s="14"/>
      <c r="I864" s="14"/>
      <c r="J864" s="14"/>
      <c r="K864" s="23"/>
      <c r="L864" s="14"/>
      <c r="M864" s="14"/>
      <c r="N864" s="14"/>
      <c r="O864" s="14"/>
      <c r="P864" s="14"/>
      <c r="Q864" s="14"/>
      <c r="R864" s="14"/>
      <c r="S864" s="10"/>
      <c r="T864" s="10"/>
      <c r="U864" s="10"/>
      <c r="V864" s="10"/>
      <c r="W864" s="10"/>
      <c r="X864" s="10"/>
      <c r="Y864" s="10"/>
      <c r="Z864" s="10"/>
      <c r="AA864" s="10"/>
      <c r="AB864" s="10"/>
      <c r="AC864" s="10"/>
      <c r="AD864" s="10"/>
      <c r="AE864" s="10"/>
      <c r="AF864" s="10"/>
      <c r="AG864" s="10"/>
      <c r="AH864" s="10"/>
    </row>
    <row r="865" spans="1:34">
      <c r="A865" s="13"/>
      <c r="B865" s="14"/>
      <c r="C865" s="14"/>
      <c r="D865" s="14"/>
      <c r="E865" s="15"/>
      <c r="F865" s="14"/>
      <c r="G865" s="14"/>
      <c r="H865" s="14"/>
      <c r="I865" s="14"/>
      <c r="J865" s="14"/>
      <c r="K865" s="23"/>
      <c r="L865" s="14"/>
      <c r="M865" s="14"/>
      <c r="N865" s="14"/>
      <c r="O865" s="14"/>
      <c r="P865" s="14"/>
      <c r="Q865" s="14"/>
      <c r="R865" s="14"/>
      <c r="S865" s="10"/>
      <c r="T865" s="10"/>
      <c r="U865" s="10"/>
      <c r="V865" s="10"/>
      <c r="W865" s="10"/>
      <c r="X865" s="10"/>
      <c r="Y865" s="10"/>
      <c r="Z865" s="10"/>
      <c r="AA865" s="10"/>
      <c r="AB865" s="10"/>
      <c r="AC865" s="10"/>
      <c r="AD865" s="10"/>
      <c r="AE865" s="10"/>
      <c r="AF865" s="10"/>
      <c r="AG865" s="10"/>
      <c r="AH865" s="10"/>
    </row>
    <row r="866" spans="1:34">
      <c r="A866" s="13"/>
      <c r="B866" s="14"/>
      <c r="C866" s="14"/>
      <c r="D866" s="14"/>
      <c r="E866" s="15"/>
      <c r="F866" s="14"/>
      <c r="G866" s="14"/>
      <c r="H866" s="14"/>
      <c r="I866" s="14"/>
      <c r="J866" s="14"/>
      <c r="K866" s="23"/>
      <c r="L866" s="14"/>
      <c r="M866" s="14"/>
      <c r="N866" s="14"/>
      <c r="O866" s="14"/>
      <c r="P866" s="14"/>
      <c r="Q866" s="14"/>
      <c r="R866" s="14"/>
      <c r="S866" s="10"/>
      <c r="T866" s="10"/>
      <c r="U866" s="10"/>
      <c r="V866" s="10"/>
      <c r="W866" s="10"/>
      <c r="X866" s="10"/>
      <c r="Y866" s="10"/>
      <c r="Z866" s="10"/>
      <c r="AA866" s="10"/>
      <c r="AB866" s="10"/>
      <c r="AC866" s="10"/>
      <c r="AD866" s="10"/>
      <c r="AE866" s="10"/>
      <c r="AF866" s="10"/>
      <c r="AG866" s="10"/>
      <c r="AH866" s="10"/>
    </row>
    <row r="867" spans="1:34">
      <c r="A867" s="13"/>
      <c r="B867" s="14"/>
      <c r="C867" s="14"/>
      <c r="D867" s="14"/>
      <c r="E867" s="15"/>
      <c r="F867" s="14"/>
      <c r="G867" s="14"/>
      <c r="H867" s="14"/>
      <c r="I867" s="14"/>
      <c r="J867" s="14"/>
      <c r="K867" s="23"/>
      <c r="L867" s="14"/>
      <c r="M867" s="14"/>
      <c r="N867" s="14"/>
      <c r="O867" s="14"/>
      <c r="P867" s="14"/>
      <c r="Q867" s="14"/>
      <c r="R867" s="14"/>
      <c r="S867" s="10"/>
      <c r="T867" s="10"/>
      <c r="U867" s="10"/>
      <c r="V867" s="10"/>
      <c r="W867" s="10"/>
      <c r="X867" s="10"/>
      <c r="Y867" s="10"/>
      <c r="Z867" s="10"/>
      <c r="AA867" s="10"/>
      <c r="AB867" s="10"/>
      <c r="AC867" s="10"/>
      <c r="AD867" s="10"/>
      <c r="AE867" s="10"/>
      <c r="AF867" s="10"/>
      <c r="AG867" s="10"/>
      <c r="AH867" s="10"/>
    </row>
    <row r="868" spans="1:34">
      <c r="A868" s="13"/>
      <c r="B868" s="14"/>
      <c r="C868" s="14"/>
      <c r="D868" s="14"/>
      <c r="E868" s="15"/>
      <c r="F868" s="14"/>
      <c r="G868" s="14"/>
      <c r="H868" s="14"/>
      <c r="I868" s="14"/>
      <c r="J868" s="14"/>
      <c r="K868" s="23"/>
      <c r="L868" s="14"/>
      <c r="M868" s="14"/>
      <c r="N868" s="14"/>
      <c r="O868" s="14"/>
      <c r="P868" s="14"/>
      <c r="Q868" s="14"/>
      <c r="R868" s="14"/>
      <c r="S868" s="10"/>
      <c r="T868" s="10"/>
      <c r="U868" s="10"/>
      <c r="V868" s="10"/>
      <c r="W868" s="10"/>
      <c r="X868" s="10"/>
      <c r="Y868" s="10"/>
      <c r="Z868" s="10"/>
      <c r="AA868" s="10"/>
      <c r="AB868" s="10"/>
      <c r="AC868" s="10"/>
      <c r="AD868" s="10"/>
      <c r="AE868" s="10"/>
      <c r="AF868" s="10"/>
      <c r="AG868" s="10"/>
      <c r="AH868" s="10"/>
    </row>
    <row r="869" spans="1:34">
      <c r="A869" s="13"/>
      <c r="B869" s="14"/>
      <c r="C869" s="14"/>
      <c r="D869" s="14"/>
      <c r="E869" s="15"/>
      <c r="F869" s="14"/>
      <c r="G869" s="14"/>
      <c r="H869" s="14"/>
      <c r="I869" s="14"/>
      <c r="J869" s="14"/>
      <c r="K869" s="23"/>
      <c r="L869" s="14"/>
      <c r="M869" s="14"/>
      <c r="N869" s="14"/>
      <c r="O869" s="14"/>
      <c r="P869" s="14"/>
      <c r="Q869" s="14"/>
      <c r="R869" s="14"/>
      <c r="S869" s="10"/>
      <c r="T869" s="10"/>
      <c r="U869" s="10"/>
      <c r="V869" s="10"/>
      <c r="W869" s="10"/>
      <c r="X869" s="10"/>
      <c r="Y869" s="10"/>
      <c r="Z869" s="10"/>
      <c r="AA869" s="10"/>
      <c r="AB869" s="10"/>
      <c r="AC869" s="10"/>
      <c r="AD869" s="10"/>
      <c r="AE869" s="10"/>
      <c r="AF869" s="10"/>
      <c r="AG869" s="10"/>
      <c r="AH869" s="10"/>
    </row>
    <row r="870" spans="1:34">
      <c r="A870" s="13"/>
      <c r="B870" s="14"/>
      <c r="C870" s="14"/>
      <c r="D870" s="14"/>
      <c r="E870" s="15"/>
      <c r="F870" s="14"/>
      <c r="G870" s="14"/>
      <c r="H870" s="14"/>
      <c r="I870" s="14"/>
      <c r="J870" s="14"/>
      <c r="K870" s="23"/>
      <c r="L870" s="14"/>
      <c r="M870" s="14"/>
      <c r="N870" s="14"/>
      <c r="O870" s="14"/>
      <c r="P870" s="14"/>
      <c r="Q870" s="14"/>
      <c r="R870" s="14"/>
      <c r="S870" s="10"/>
      <c r="T870" s="10"/>
      <c r="U870" s="10"/>
      <c r="V870" s="10"/>
      <c r="W870" s="10"/>
      <c r="X870" s="10"/>
      <c r="Y870" s="10"/>
      <c r="Z870" s="10"/>
      <c r="AA870" s="10"/>
      <c r="AB870" s="10"/>
      <c r="AC870" s="10"/>
      <c r="AD870" s="10"/>
      <c r="AE870" s="10"/>
      <c r="AF870" s="10"/>
      <c r="AG870" s="10"/>
      <c r="AH870" s="10"/>
    </row>
    <row r="871" spans="1:34">
      <c r="A871" s="13"/>
      <c r="B871" s="14"/>
      <c r="C871" s="14"/>
      <c r="D871" s="14"/>
      <c r="E871" s="15"/>
      <c r="F871" s="14"/>
      <c r="G871" s="14"/>
      <c r="H871" s="14"/>
      <c r="I871" s="14"/>
      <c r="J871" s="14"/>
      <c r="K871" s="23"/>
      <c r="L871" s="14"/>
      <c r="M871" s="14"/>
      <c r="N871" s="14"/>
      <c r="O871" s="14"/>
      <c r="P871" s="14"/>
      <c r="Q871" s="14"/>
      <c r="R871" s="14"/>
      <c r="S871" s="10"/>
      <c r="T871" s="10"/>
      <c r="U871" s="10"/>
      <c r="V871" s="10"/>
      <c r="W871" s="10"/>
      <c r="X871" s="10"/>
      <c r="Y871" s="10"/>
      <c r="Z871" s="10"/>
      <c r="AA871" s="10"/>
      <c r="AB871" s="10"/>
      <c r="AC871" s="10"/>
      <c r="AD871" s="10"/>
      <c r="AE871" s="10"/>
      <c r="AF871" s="10"/>
      <c r="AG871" s="10"/>
      <c r="AH871" s="10"/>
    </row>
    <row r="872" spans="1:34">
      <c r="A872" s="13"/>
      <c r="B872" s="14"/>
      <c r="C872" s="14"/>
      <c r="D872" s="14"/>
      <c r="E872" s="15"/>
      <c r="F872" s="14"/>
      <c r="G872" s="14"/>
      <c r="H872" s="14"/>
      <c r="I872" s="14"/>
      <c r="J872" s="14"/>
      <c r="K872" s="23"/>
      <c r="L872" s="14"/>
      <c r="M872" s="14"/>
      <c r="N872" s="14"/>
      <c r="O872" s="14"/>
      <c r="P872" s="14"/>
      <c r="Q872" s="14"/>
      <c r="R872" s="14"/>
      <c r="S872" s="10"/>
      <c r="T872" s="10"/>
      <c r="U872" s="10"/>
      <c r="V872" s="10"/>
      <c r="W872" s="10"/>
      <c r="X872" s="10"/>
      <c r="Y872" s="10"/>
      <c r="Z872" s="10"/>
      <c r="AA872" s="10"/>
      <c r="AB872" s="10"/>
      <c r="AC872" s="10"/>
      <c r="AD872" s="10"/>
      <c r="AE872" s="10"/>
      <c r="AF872" s="10"/>
      <c r="AG872" s="10"/>
      <c r="AH872" s="10"/>
    </row>
    <row r="873" spans="1:34">
      <c r="A873" s="13"/>
      <c r="B873" s="14"/>
      <c r="C873" s="14"/>
      <c r="D873" s="14"/>
      <c r="E873" s="15"/>
      <c r="F873" s="14"/>
      <c r="G873" s="14"/>
      <c r="H873" s="14"/>
      <c r="I873" s="14"/>
      <c r="J873" s="14"/>
      <c r="K873" s="23"/>
      <c r="L873" s="14"/>
      <c r="M873" s="14"/>
      <c r="N873" s="14"/>
      <c r="O873" s="14"/>
      <c r="P873" s="14"/>
      <c r="Q873" s="14"/>
      <c r="R873" s="14"/>
      <c r="S873" s="10"/>
      <c r="T873" s="10"/>
      <c r="U873" s="10"/>
      <c r="V873" s="10"/>
      <c r="W873" s="10"/>
      <c r="X873" s="10"/>
      <c r="Y873" s="10"/>
      <c r="Z873" s="10"/>
      <c r="AA873" s="10"/>
      <c r="AB873" s="10"/>
      <c r="AC873" s="10"/>
      <c r="AD873" s="10"/>
      <c r="AE873" s="10"/>
      <c r="AF873" s="10"/>
      <c r="AG873" s="10"/>
      <c r="AH873" s="10"/>
    </row>
    <row r="874" spans="1:34">
      <c r="A874" s="13"/>
      <c r="B874" s="14"/>
      <c r="C874" s="14"/>
      <c r="D874" s="14"/>
      <c r="E874" s="15"/>
      <c r="F874" s="14"/>
      <c r="G874" s="14"/>
      <c r="H874" s="14"/>
      <c r="I874" s="14"/>
      <c r="J874" s="14"/>
      <c r="K874" s="23"/>
      <c r="L874" s="14"/>
      <c r="M874" s="14"/>
      <c r="N874" s="14"/>
      <c r="O874" s="14"/>
      <c r="P874" s="14"/>
      <c r="Q874" s="14"/>
      <c r="R874" s="14"/>
      <c r="S874" s="10"/>
      <c r="T874" s="10"/>
      <c r="U874" s="10"/>
      <c r="V874" s="10"/>
      <c r="W874" s="10"/>
      <c r="X874" s="10"/>
      <c r="Y874" s="10"/>
      <c r="Z874" s="10"/>
      <c r="AA874" s="10"/>
      <c r="AB874" s="10"/>
      <c r="AC874" s="10"/>
      <c r="AD874" s="10"/>
      <c r="AE874" s="10"/>
      <c r="AF874" s="10"/>
      <c r="AG874" s="10"/>
      <c r="AH874" s="10"/>
    </row>
    <row r="875" spans="1:34">
      <c r="A875" s="13"/>
      <c r="B875" s="14"/>
      <c r="C875" s="14"/>
      <c r="D875" s="14"/>
      <c r="E875" s="15"/>
      <c r="F875" s="14"/>
      <c r="G875" s="14"/>
      <c r="H875" s="14"/>
      <c r="I875" s="14"/>
      <c r="J875" s="14"/>
      <c r="K875" s="23"/>
      <c r="L875" s="14"/>
      <c r="M875" s="14"/>
      <c r="N875" s="14"/>
      <c r="O875" s="14"/>
      <c r="P875" s="14"/>
      <c r="Q875" s="14"/>
      <c r="R875" s="14"/>
      <c r="S875" s="10"/>
      <c r="T875" s="10"/>
      <c r="U875" s="10"/>
      <c r="V875" s="10"/>
      <c r="W875" s="10"/>
      <c r="X875" s="10"/>
      <c r="Y875" s="10"/>
      <c r="Z875" s="10"/>
      <c r="AA875" s="10"/>
      <c r="AB875" s="10"/>
      <c r="AC875" s="10"/>
      <c r="AD875" s="10"/>
      <c r="AE875" s="10"/>
      <c r="AF875" s="10"/>
      <c r="AG875" s="10"/>
      <c r="AH875" s="10"/>
    </row>
    <row r="876" spans="1:34">
      <c r="A876" s="13"/>
      <c r="B876" s="14"/>
      <c r="C876" s="14"/>
      <c r="D876" s="14"/>
      <c r="E876" s="15"/>
      <c r="F876" s="14"/>
      <c r="G876" s="14"/>
      <c r="H876" s="14"/>
      <c r="I876" s="14"/>
      <c r="J876" s="14"/>
      <c r="K876" s="23"/>
      <c r="L876" s="14"/>
      <c r="M876" s="14"/>
      <c r="N876" s="14"/>
      <c r="O876" s="14"/>
      <c r="P876" s="14"/>
      <c r="Q876" s="14"/>
      <c r="R876" s="14"/>
      <c r="S876" s="10"/>
      <c r="T876" s="10"/>
      <c r="U876" s="10"/>
      <c r="V876" s="10"/>
      <c r="W876" s="10"/>
      <c r="X876" s="10"/>
      <c r="Y876" s="10"/>
      <c r="Z876" s="10"/>
      <c r="AA876" s="10"/>
      <c r="AB876" s="10"/>
      <c r="AC876" s="10"/>
      <c r="AD876" s="10"/>
      <c r="AE876" s="10"/>
      <c r="AF876" s="10"/>
      <c r="AG876" s="10"/>
      <c r="AH876" s="10"/>
    </row>
    <row r="877" spans="1:34">
      <c r="A877" s="13"/>
      <c r="B877" s="14"/>
      <c r="C877" s="14"/>
      <c r="D877" s="14"/>
      <c r="E877" s="15"/>
      <c r="F877" s="14"/>
      <c r="G877" s="14"/>
      <c r="H877" s="14"/>
      <c r="I877" s="14"/>
      <c r="J877" s="14"/>
      <c r="K877" s="23"/>
      <c r="L877" s="14"/>
      <c r="M877" s="14"/>
      <c r="N877" s="14"/>
      <c r="O877" s="14"/>
      <c r="P877" s="14"/>
      <c r="Q877" s="14"/>
      <c r="R877" s="14"/>
      <c r="S877" s="10"/>
      <c r="T877" s="10"/>
      <c r="U877" s="10"/>
      <c r="V877" s="10"/>
      <c r="W877" s="10"/>
      <c r="X877" s="10"/>
      <c r="Y877" s="10"/>
      <c r="Z877" s="10"/>
      <c r="AA877" s="10"/>
      <c r="AB877" s="10"/>
      <c r="AC877" s="10"/>
      <c r="AD877" s="10"/>
      <c r="AE877" s="10"/>
      <c r="AF877" s="10"/>
      <c r="AG877" s="10"/>
      <c r="AH877" s="10"/>
    </row>
    <row r="878" spans="1:34">
      <c r="A878" s="13"/>
      <c r="B878" s="14"/>
      <c r="C878" s="14"/>
      <c r="D878" s="14"/>
      <c r="E878" s="15"/>
      <c r="F878" s="14"/>
      <c r="G878" s="14"/>
      <c r="H878" s="14"/>
      <c r="I878" s="14"/>
      <c r="J878" s="14"/>
      <c r="K878" s="23"/>
      <c r="L878" s="14"/>
      <c r="M878" s="14"/>
      <c r="N878" s="14"/>
      <c r="O878" s="14"/>
      <c r="P878" s="14"/>
      <c r="Q878" s="14"/>
      <c r="R878" s="14"/>
      <c r="S878" s="10"/>
      <c r="T878" s="10"/>
      <c r="U878" s="10"/>
      <c r="V878" s="10"/>
      <c r="W878" s="10"/>
      <c r="X878" s="10"/>
      <c r="Y878" s="10"/>
      <c r="Z878" s="10"/>
      <c r="AA878" s="10"/>
      <c r="AB878" s="10"/>
      <c r="AC878" s="10"/>
      <c r="AD878" s="10"/>
      <c r="AE878" s="10"/>
      <c r="AF878" s="10"/>
      <c r="AG878" s="10"/>
      <c r="AH878" s="10"/>
    </row>
    <row r="879" spans="1:34">
      <c r="A879" s="13"/>
      <c r="B879" s="14"/>
      <c r="C879" s="14"/>
      <c r="D879" s="14"/>
      <c r="E879" s="15"/>
      <c r="F879" s="14"/>
      <c r="G879" s="14"/>
      <c r="H879" s="14"/>
      <c r="I879" s="14"/>
      <c r="J879" s="14"/>
      <c r="K879" s="23"/>
      <c r="L879" s="14"/>
      <c r="M879" s="14"/>
      <c r="N879" s="14"/>
      <c r="O879" s="14"/>
      <c r="P879" s="14"/>
      <c r="Q879" s="14"/>
      <c r="R879" s="14"/>
      <c r="S879" s="10"/>
      <c r="T879" s="10"/>
      <c r="U879" s="10"/>
      <c r="V879" s="10"/>
      <c r="W879" s="10"/>
      <c r="X879" s="10"/>
      <c r="Y879" s="10"/>
      <c r="Z879" s="10"/>
      <c r="AA879" s="10"/>
      <c r="AB879" s="10"/>
      <c r="AC879" s="10"/>
      <c r="AD879" s="10"/>
      <c r="AE879" s="10"/>
      <c r="AF879" s="10"/>
      <c r="AG879" s="10"/>
      <c r="AH879" s="10"/>
    </row>
    <row r="880" spans="1:34">
      <c r="A880" s="13"/>
      <c r="B880" s="14"/>
      <c r="C880" s="14"/>
      <c r="D880" s="14"/>
      <c r="E880" s="15"/>
      <c r="F880" s="14"/>
      <c r="G880" s="14"/>
      <c r="H880" s="14"/>
      <c r="I880" s="14"/>
      <c r="J880" s="14"/>
      <c r="K880" s="23"/>
      <c r="L880" s="14"/>
      <c r="M880" s="14"/>
      <c r="N880" s="14"/>
      <c r="O880" s="14"/>
      <c r="P880" s="14"/>
      <c r="Q880" s="14"/>
      <c r="R880" s="14"/>
      <c r="S880" s="10"/>
      <c r="T880" s="10"/>
      <c r="U880" s="10"/>
      <c r="V880" s="10"/>
      <c r="W880" s="10"/>
      <c r="X880" s="10"/>
      <c r="Y880" s="10"/>
      <c r="Z880" s="10"/>
      <c r="AA880" s="10"/>
      <c r="AB880" s="10"/>
      <c r="AC880" s="10"/>
      <c r="AD880" s="10"/>
      <c r="AE880" s="10"/>
      <c r="AF880" s="10"/>
      <c r="AG880" s="10"/>
      <c r="AH880" s="10"/>
    </row>
    <row r="881" spans="1:34">
      <c r="A881" s="13"/>
      <c r="B881" s="14"/>
      <c r="C881" s="14"/>
      <c r="D881" s="14"/>
      <c r="E881" s="15"/>
      <c r="F881" s="14"/>
      <c r="G881" s="14"/>
      <c r="H881" s="14"/>
      <c r="I881" s="14"/>
      <c r="J881" s="14"/>
      <c r="K881" s="23"/>
      <c r="L881" s="14"/>
      <c r="M881" s="14"/>
      <c r="N881" s="14"/>
      <c r="O881" s="14"/>
      <c r="P881" s="14"/>
      <c r="Q881" s="14"/>
      <c r="R881" s="14"/>
      <c r="S881" s="10"/>
      <c r="T881" s="10"/>
      <c r="U881" s="10"/>
      <c r="V881" s="10"/>
      <c r="W881" s="10"/>
      <c r="X881" s="10"/>
      <c r="Y881" s="10"/>
      <c r="Z881" s="10"/>
      <c r="AA881" s="10"/>
      <c r="AB881" s="10"/>
      <c r="AC881" s="10"/>
      <c r="AD881" s="10"/>
      <c r="AE881" s="10"/>
      <c r="AF881" s="10"/>
      <c r="AG881" s="10"/>
      <c r="AH881" s="10"/>
    </row>
    <row r="882" spans="1:34">
      <c r="A882" s="13"/>
      <c r="B882" s="14"/>
      <c r="C882" s="14"/>
      <c r="D882" s="14"/>
      <c r="E882" s="15"/>
      <c r="F882" s="14"/>
      <c r="G882" s="14"/>
      <c r="H882" s="14"/>
      <c r="I882" s="14"/>
      <c r="J882" s="14"/>
      <c r="K882" s="23"/>
      <c r="L882" s="14"/>
      <c r="M882" s="14"/>
      <c r="N882" s="14"/>
      <c r="O882" s="14"/>
      <c r="P882" s="14"/>
      <c r="Q882" s="14"/>
      <c r="R882" s="14"/>
      <c r="S882" s="10"/>
      <c r="T882" s="10"/>
      <c r="U882" s="10"/>
      <c r="V882" s="10"/>
      <c r="W882" s="10"/>
      <c r="X882" s="10"/>
      <c r="Y882" s="10"/>
      <c r="Z882" s="10"/>
      <c r="AA882" s="10"/>
      <c r="AB882" s="10"/>
      <c r="AC882" s="10"/>
      <c r="AD882" s="10"/>
      <c r="AE882" s="10"/>
      <c r="AF882" s="10"/>
      <c r="AG882" s="10"/>
      <c r="AH882" s="10"/>
    </row>
    <row r="883" spans="1:34">
      <c r="A883" s="13"/>
      <c r="B883" s="14"/>
      <c r="C883" s="14"/>
      <c r="D883" s="14"/>
      <c r="E883" s="15"/>
      <c r="F883" s="14"/>
      <c r="G883" s="14"/>
      <c r="H883" s="14"/>
      <c r="I883" s="14"/>
      <c r="J883" s="14"/>
      <c r="K883" s="23"/>
      <c r="L883" s="14"/>
      <c r="M883" s="14"/>
      <c r="N883" s="14"/>
      <c r="O883" s="14"/>
      <c r="P883" s="14"/>
      <c r="Q883" s="14"/>
      <c r="R883" s="14"/>
      <c r="S883" s="10"/>
      <c r="T883" s="10"/>
      <c r="U883" s="10"/>
      <c r="V883" s="10"/>
      <c r="W883" s="10"/>
      <c r="X883" s="10"/>
      <c r="Y883" s="10"/>
      <c r="Z883" s="10"/>
      <c r="AA883" s="10"/>
      <c r="AB883" s="10"/>
      <c r="AC883" s="10"/>
      <c r="AD883" s="10"/>
      <c r="AE883" s="10"/>
      <c r="AF883" s="10"/>
      <c r="AG883" s="10"/>
      <c r="AH883" s="10"/>
    </row>
    <row r="884" spans="1:34">
      <c r="A884" s="13"/>
      <c r="B884" s="14"/>
      <c r="C884" s="14"/>
      <c r="D884" s="14"/>
      <c r="E884" s="15"/>
      <c r="F884" s="14"/>
      <c r="G884" s="14"/>
      <c r="H884" s="14"/>
      <c r="I884" s="14"/>
      <c r="J884" s="14"/>
      <c r="K884" s="23"/>
      <c r="L884" s="14"/>
      <c r="M884" s="14"/>
      <c r="N884" s="14"/>
      <c r="O884" s="14"/>
      <c r="P884" s="14"/>
      <c r="Q884" s="14"/>
      <c r="R884" s="14"/>
      <c r="S884" s="10"/>
      <c r="T884" s="10"/>
      <c r="U884" s="10"/>
      <c r="V884" s="10"/>
      <c r="W884" s="10"/>
      <c r="X884" s="10"/>
      <c r="Y884" s="10"/>
      <c r="Z884" s="10"/>
      <c r="AA884" s="10"/>
      <c r="AB884" s="10"/>
      <c r="AC884" s="10"/>
      <c r="AD884" s="10"/>
      <c r="AE884" s="10"/>
      <c r="AF884" s="10"/>
      <c r="AG884" s="10"/>
      <c r="AH884" s="10"/>
    </row>
    <row r="885" spans="1:34">
      <c r="A885" s="13"/>
      <c r="B885" s="14"/>
      <c r="C885" s="14"/>
      <c r="D885" s="14"/>
      <c r="E885" s="15"/>
      <c r="F885" s="14"/>
      <c r="G885" s="14"/>
      <c r="H885" s="14"/>
      <c r="I885" s="14"/>
      <c r="J885" s="14"/>
      <c r="K885" s="23"/>
      <c r="L885" s="14"/>
      <c r="M885" s="14"/>
      <c r="N885" s="14"/>
      <c r="O885" s="14"/>
      <c r="P885" s="14"/>
      <c r="Q885" s="14"/>
      <c r="R885" s="14"/>
      <c r="S885" s="10"/>
      <c r="T885" s="10"/>
      <c r="U885" s="10"/>
      <c r="V885" s="10"/>
      <c r="W885" s="10"/>
      <c r="X885" s="10"/>
      <c r="Y885" s="10"/>
      <c r="Z885" s="10"/>
      <c r="AA885" s="10"/>
      <c r="AB885" s="10"/>
      <c r="AC885" s="10"/>
      <c r="AD885" s="10"/>
      <c r="AE885" s="10"/>
      <c r="AF885" s="10"/>
      <c r="AG885" s="10"/>
      <c r="AH885" s="10"/>
    </row>
    <row r="886" spans="1:34">
      <c r="A886" s="13"/>
      <c r="B886" s="14"/>
      <c r="C886" s="14"/>
      <c r="D886" s="14"/>
      <c r="E886" s="15"/>
      <c r="F886" s="14"/>
      <c r="G886" s="14"/>
      <c r="H886" s="14"/>
      <c r="I886" s="14"/>
      <c r="J886" s="14"/>
      <c r="K886" s="23"/>
      <c r="L886" s="14"/>
      <c r="M886" s="14"/>
      <c r="N886" s="14"/>
      <c r="O886" s="14"/>
      <c r="P886" s="14"/>
      <c r="Q886" s="14"/>
      <c r="R886" s="14"/>
      <c r="S886" s="10"/>
      <c r="T886" s="10"/>
      <c r="U886" s="10"/>
      <c r="V886" s="10"/>
      <c r="W886" s="10"/>
      <c r="X886" s="10"/>
      <c r="Y886" s="10"/>
      <c r="Z886" s="10"/>
      <c r="AA886" s="10"/>
      <c r="AB886" s="10"/>
      <c r="AC886" s="10"/>
      <c r="AD886" s="10"/>
      <c r="AE886" s="10"/>
      <c r="AF886" s="10"/>
      <c r="AG886" s="10"/>
      <c r="AH886" s="10"/>
    </row>
    <row r="887" spans="1:34">
      <c r="A887" s="13"/>
      <c r="B887" s="14"/>
      <c r="C887" s="14"/>
      <c r="D887" s="14"/>
      <c r="E887" s="15"/>
      <c r="F887" s="14"/>
      <c r="G887" s="14"/>
      <c r="H887" s="14"/>
      <c r="I887" s="14"/>
      <c r="J887" s="14"/>
      <c r="K887" s="23"/>
      <c r="L887" s="14"/>
      <c r="M887" s="14"/>
      <c r="N887" s="14"/>
      <c r="O887" s="14"/>
      <c r="P887" s="14"/>
      <c r="Q887" s="14"/>
      <c r="R887" s="14"/>
      <c r="S887" s="10"/>
      <c r="T887" s="10"/>
      <c r="U887" s="10"/>
      <c r="V887" s="10"/>
      <c r="W887" s="10"/>
      <c r="X887" s="10"/>
      <c r="Y887" s="10"/>
      <c r="Z887" s="10"/>
      <c r="AA887" s="10"/>
      <c r="AB887" s="10"/>
      <c r="AC887" s="10"/>
      <c r="AD887" s="10"/>
      <c r="AE887" s="10"/>
      <c r="AF887" s="10"/>
      <c r="AG887" s="10"/>
      <c r="AH887" s="10"/>
    </row>
    <row r="888" spans="1:34">
      <c r="A888" s="13"/>
      <c r="B888" s="14"/>
      <c r="C888" s="14"/>
      <c r="D888" s="14"/>
      <c r="E888" s="15"/>
      <c r="F888" s="14"/>
      <c r="G888" s="14"/>
      <c r="H888" s="14"/>
      <c r="I888" s="14"/>
      <c r="J888" s="14"/>
      <c r="K888" s="23"/>
      <c r="L888" s="14"/>
      <c r="M888" s="14"/>
      <c r="N888" s="14"/>
      <c r="O888" s="14"/>
      <c r="P888" s="14"/>
      <c r="Q888" s="14"/>
      <c r="R888" s="14"/>
      <c r="S888" s="10"/>
      <c r="T888" s="10"/>
      <c r="U888" s="10"/>
      <c r="V888" s="10"/>
      <c r="W888" s="10"/>
      <c r="X888" s="10"/>
      <c r="Y888" s="10"/>
      <c r="Z888" s="10"/>
      <c r="AA888" s="10"/>
      <c r="AB888" s="10"/>
      <c r="AC888" s="10"/>
      <c r="AD888" s="10"/>
      <c r="AE888" s="10"/>
      <c r="AF888" s="10"/>
      <c r="AG888" s="10"/>
      <c r="AH888" s="10"/>
    </row>
    <row r="889" spans="1:34">
      <c r="A889" s="13"/>
      <c r="B889" s="14"/>
      <c r="C889" s="14"/>
      <c r="D889" s="14"/>
      <c r="E889" s="15"/>
      <c r="F889" s="14"/>
      <c r="G889" s="14"/>
      <c r="H889" s="14"/>
      <c r="I889" s="14"/>
      <c r="J889" s="14"/>
      <c r="K889" s="23"/>
      <c r="L889" s="14"/>
      <c r="M889" s="14"/>
      <c r="N889" s="14"/>
      <c r="O889" s="14"/>
      <c r="P889" s="14"/>
      <c r="Q889" s="14"/>
      <c r="R889" s="14"/>
      <c r="S889" s="10"/>
      <c r="T889" s="10"/>
      <c r="U889" s="10"/>
      <c r="V889" s="10"/>
      <c r="W889" s="10"/>
      <c r="X889" s="10"/>
      <c r="Y889" s="10"/>
      <c r="Z889" s="10"/>
      <c r="AA889" s="10"/>
      <c r="AB889" s="10"/>
      <c r="AC889" s="10"/>
      <c r="AD889" s="10"/>
      <c r="AE889" s="10"/>
      <c r="AF889" s="10"/>
      <c r="AG889" s="10"/>
      <c r="AH889" s="10"/>
    </row>
    <row r="890" spans="1:34">
      <c r="A890" s="13"/>
      <c r="B890" s="14"/>
      <c r="C890" s="14"/>
      <c r="D890" s="14"/>
      <c r="E890" s="15"/>
      <c r="F890" s="14"/>
      <c r="G890" s="14"/>
      <c r="H890" s="14"/>
      <c r="I890" s="14"/>
      <c r="J890" s="14"/>
      <c r="K890" s="23"/>
      <c r="L890" s="14"/>
      <c r="M890" s="14"/>
      <c r="N890" s="14"/>
      <c r="O890" s="14"/>
      <c r="P890" s="14"/>
      <c r="Q890" s="14"/>
      <c r="R890" s="14"/>
      <c r="S890" s="10"/>
      <c r="T890" s="10"/>
      <c r="U890" s="10"/>
      <c r="V890" s="10"/>
      <c r="W890" s="10"/>
      <c r="X890" s="10"/>
      <c r="Y890" s="10"/>
      <c r="Z890" s="10"/>
      <c r="AA890" s="10"/>
      <c r="AB890" s="10"/>
      <c r="AC890" s="10"/>
      <c r="AD890" s="10"/>
      <c r="AE890" s="10"/>
      <c r="AF890" s="10"/>
      <c r="AG890" s="10"/>
      <c r="AH890" s="10"/>
    </row>
    <row r="891" spans="1:34">
      <c r="A891" s="13"/>
      <c r="B891" s="14"/>
      <c r="C891" s="14"/>
      <c r="D891" s="14"/>
      <c r="E891" s="15"/>
      <c r="F891" s="14"/>
      <c r="G891" s="14"/>
      <c r="H891" s="14"/>
      <c r="I891" s="14"/>
      <c r="J891" s="14"/>
      <c r="K891" s="23"/>
      <c r="L891" s="14"/>
      <c r="M891" s="14"/>
      <c r="N891" s="14"/>
      <c r="O891" s="14"/>
      <c r="P891" s="14"/>
      <c r="Q891" s="14"/>
      <c r="R891" s="14"/>
      <c r="S891" s="10"/>
      <c r="T891" s="10"/>
      <c r="U891" s="10"/>
      <c r="V891" s="10"/>
      <c r="W891" s="10"/>
      <c r="X891" s="10"/>
      <c r="Y891" s="10"/>
      <c r="Z891" s="10"/>
      <c r="AA891" s="10"/>
      <c r="AB891" s="10"/>
      <c r="AC891" s="10"/>
      <c r="AD891" s="10"/>
      <c r="AE891" s="10"/>
      <c r="AF891" s="10"/>
      <c r="AG891" s="10"/>
      <c r="AH891" s="10"/>
    </row>
    <row r="892" spans="1:34">
      <c r="A892" s="13"/>
      <c r="B892" s="14"/>
      <c r="C892" s="14"/>
      <c r="D892" s="14"/>
      <c r="E892" s="15"/>
      <c r="F892" s="14"/>
      <c r="G892" s="14"/>
      <c r="H892" s="14"/>
      <c r="I892" s="14"/>
      <c r="J892" s="14"/>
      <c r="K892" s="23"/>
      <c r="L892" s="14"/>
      <c r="M892" s="14"/>
      <c r="N892" s="14"/>
      <c r="O892" s="14"/>
      <c r="P892" s="14"/>
      <c r="Q892" s="14"/>
      <c r="R892" s="14"/>
      <c r="S892" s="10"/>
      <c r="T892" s="10"/>
      <c r="U892" s="10"/>
      <c r="V892" s="10"/>
      <c r="W892" s="10"/>
      <c r="X892" s="10"/>
      <c r="Y892" s="10"/>
      <c r="Z892" s="10"/>
      <c r="AA892" s="10"/>
      <c r="AB892" s="10"/>
      <c r="AC892" s="10"/>
      <c r="AD892" s="10"/>
      <c r="AE892" s="10"/>
      <c r="AF892" s="10"/>
      <c r="AG892" s="10"/>
      <c r="AH892" s="10"/>
    </row>
    <row r="893" spans="1:34">
      <c r="A893" s="13"/>
      <c r="B893" s="14"/>
      <c r="C893" s="14"/>
      <c r="D893" s="14"/>
      <c r="E893" s="15"/>
      <c r="F893" s="14"/>
      <c r="G893" s="14"/>
      <c r="H893" s="14"/>
      <c r="I893" s="14"/>
      <c r="J893" s="14"/>
      <c r="K893" s="23"/>
      <c r="L893" s="14"/>
      <c r="M893" s="14"/>
      <c r="N893" s="14"/>
      <c r="O893" s="14"/>
      <c r="P893" s="14"/>
      <c r="Q893" s="14"/>
      <c r="R893" s="14"/>
      <c r="S893" s="10"/>
      <c r="T893" s="10"/>
      <c r="U893" s="10"/>
      <c r="V893" s="10"/>
      <c r="W893" s="10"/>
      <c r="X893" s="10"/>
      <c r="Y893" s="10"/>
      <c r="Z893" s="10"/>
      <c r="AA893" s="10"/>
      <c r="AB893" s="10"/>
      <c r="AC893" s="10"/>
      <c r="AD893" s="10"/>
      <c r="AE893" s="10"/>
      <c r="AF893" s="10"/>
      <c r="AG893" s="10"/>
      <c r="AH893" s="10"/>
    </row>
    <row r="894" spans="1:34">
      <c r="A894" s="13"/>
      <c r="B894" s="14"/>
      <c r="C894" s="14"/>
      <c r="D894" s="14"/>
      <c r="E894" s="15"/>
      <c r="F894" s="14"/>
      <c r="G894" s="14"/>
      <c r="H894" s="14"/>
      <c r="I894" s="14"/>
      <c r="J894" s="14"/>
      <c r="K894" s="23"/>
      <c r="L894" s="14"/>
      <c r="M894" s="14"/>
      <c r="N894" s="14"/>
      <c r="O894" s="14"/>
      <c r="P894" s="14"/>
      <c r="Q894" s="14"/>
      <c r="R894" s="14"/>
      <c r="S894" s="10"/>
      <c r="T894" s="10"/>
      <c r="U894" s="10"/>
      <c r="V894" s="10"/>
      <c r="W894" s="10"/>
      <c r="X894" s="10"/>
      <c r="Y894" s="10"/>
      <c r="Z894" s="10"/>
      <c r="AA894" s="10"/>
      <c r="AB894" s="10"/>
      <c r="AC894" s="10"/>
      <c r="AD894" s="10"/>
      <c r="AE894" s="10"/>
      <c r="AF894" s="10"/>
      <c r="AG894" s="10"/>
      <c r="AH894" s="10"/>
    </row>
    <row r="895" spans="1:34">
      <c r="A895" s="13"/>
      <c r="B895" s="14"/>
      <c r="C895" s="14"/>
      <c r="D895" s="14"/>
      <c r="E895" s="15"/>
      <c r="F895" s="14"/>
      <c r="G895" s="14"/>
      <c r="H895" s="14"/>
      <c r="I895" s="14"/>
      <c r="J895" s="14"/>
      <c r="K895" s="23"/>
      <c r="L895" s="14"/>
      <c r="M895" s="14"/>
      <c r="N895" s="14"/>
      <c r="O895" s="14"/>
      <c r="P895" s="14"/>
      <c r="Q895" s="14"/>
      <c r="R895" s="14"/>
      <c r="S895" s="10"/>
      <c r="T895" s="10"/>
      <c r="U895" s="10"/>
      <c r="V895" s="10"/>
      <c r="W895" s="10"/>
      <c r="X895" s="10"/>
      <c r="Y895" s="10"/>
      <c r="Z895" s="10"/>
      <c r="AA895" s="10"/>
      <c r="AB895" s="10"/>
      <c r="AC895" s="10"/>
      <c r="AD895" s="10"/>
      <c r="AE895" s="10"/>
      <c r="AF895" s="10"/>
      <c r="AG895" s="10"/>
      <c r="AH895" s="10"/>
    </row>
    <row r="896" spans="1:34">
      <c r="A896" s="13"/>
      <c r="B896" s="14"/>
      <c r="C896" s="14"/>
      <c r="D896" s="14"/>
      <c r="E896" s="15"/>
      <c r="F896" s="14"/>
      <c r="G896" s="14"/>
      <c r="H896" s="14"/>
      <c r="I896" s="14"/>
      <c r="J896" s="14"/>
      <c r="K896" s="23"/>
      <c r="L896" s="14"/>
      <c r="M896" s="14"/>
      <c r="N896" s="14"/>
      <c r="O896" s="14"/>
      <c r="P896" s="14"/>
      <c r="Q896" s="14"/>
      <c r="R896" s="14"/>
      <c r="S896" s="10"/>
      <c r="T896" s="10"/>
      <c r="U896" s="10"/>
      <c r="V896" s="10"/>
      <c r="W896" s="10"/>
      <c r="X896" s="10"/>
      <c r="Y896" s="10"/>
      <c r="Z896" s="10"/>
      <c r="AA896" s="10"/>
      <c r="AB896" s="10"/>
      <c r="AC896" s="10"/>
      <c r="AD896" s="10"/>
      <c r="AE896" s="10"/>
      <c r="AF896" s="10"/>
      <c r="AG896" s="10"/>
      <c r="AH896" s="10"/>
    </row>
    <row r="897" spans="1:34">
      <c r="A897" s="13"/>
      <c r="B897" s="14"/>
      <c r="C897" s="14"/>
      <c r="D897" s="14"/>
      <c r="E897" s="15"/>
      <c r="F897" s="14"/>
      <c r="G897" s="14"/>
      <c r="H897" s="14"/>
      <c r="I897" s="14"/>
      <c r="J897" s="14"/>
      <c r="K897" s="23"/>
      <c r="L897" s="14"/>
      <c r="M897" s="14"/>
      <c r="N897" s="14"/>
      <c r="O897" s="14"/>
      <c r="P897" s="14"/>
      <c r="Q897" s="14"/>
      <c r="R897" s="14"/>
      <c r="S897" s="10"/>
      <c r="T897" s="10"/>
      <c r="U897" s="10"/>
      <c r="V897" s="10"/>
      <c r="W897" s="10"/>
      <c r="X897" s="10"/>
      <c r="Y897" s="10"/>
      <c r="Z897" s="10"/>
      <c r="AA897" s="10"/>
      <c r="AB897" s="10"/>
      <c r="AC897" s="10"/>
      <c r="AD897" s="10"/>
      <c r="AE897" s="10"/>
      <c r="AF897" s="10"/>
      <c r="AG897" s="10"/>
      <c r="AH897" s="10"/>
    </row>
    <row r="898" spans="1:34">
      <c r="A898" s="13"/>
      <c r="B898" s="14"/>
      <c r="C898" s="14"/>
      <c r="D898" s="14"/>
      <c r="E898" s="15"/>
      <c r="F898" s="14"/>
      <c r="G898" s="14"/>
      <c r="H898" s="14"/>
      <c r="I898" s="14"/>
      <c r="J898" s="14"/>
      <c r="K898" s="23"/>
      <c r="L898" s="14"/>
      <c r="M898" s="14"/>
      <c r="N898" s="14"/>
      <c r="O898" s="14"/>
      <c r="P898" s="14"/>
      <c r="Q898" s="14"/>
      <c r="R898" s="14"/>
      <c r="S898" s="10"/>
      <c r="T898" s="10"/>
      <c r="U898" s="10"/>
      <c r="V898" s="10"/>
      <c r="W898" s="10"/>
      <c r="X898" s="10"/>
      <c r="Y898" s="10"/>
      <c r="Z898" s="10"/>
      <c r="AA898" s="10"/>
      <c r="AB898" s="10"/>
      <c r="AC898" s="10"/>
      <c r="AD898" s="10"/>
      <c r="AE898" s="10"/>
      <c r="AF898" s="10"/>
      <c r="AG898" s="10"/>
      <c r="AH898" s="10"/>
    </row>
    <row r="899" spans="1:34">
      <c r="A899" s="13"/>
      <c r="B899" s="14"/>
      <c r="C899" s="14"/>
      <c r="D899" s="14"/>
      <c r="E899" s="15"/>
      <c r="F899" s="14"/>
      <c r="G899" s="14"/>
      <c r="H899" s="14"/>
      <c r="I899" s="14"/>
      <c r="J899" s="14"/>
      <c r="K899" s="23"/>
      <c r="L899" s="14"/>
      <c r="M899" s="14"/>
      <c r="N899" s="14"/>
      <c r="O899" s="14"/>
      <c r="P899" s="14"/>
      <c r="Q899" s="14"/>
      <c r="R899" s="14"/>
      <c r="S899" s="10"/>
      <c r="T899" s="10"/>
      <c r="U899" s="10"/>
      <c r="V899" s="10"/>
      <c r="W899" s="10"/>
      <c r="X899" s="10"/>
      <c r="Y899" s="10"/>
      <c r="Z899" s="10"/>
      <c r="AA899" s="10"/>
      <c r="AB899" s="10"/>
      <c r="AC899" s="10"/>
      <c r="AD899" s="10"/>
      <c r="AE899" s="10"/>
      <c r="AF899" s="10"/>
      <c r="AG899" s="10"/>
      <c r="AH899" s="10"/>
    </row>
    <row r="900" spans="1:34">
      <c r="A900" s="13"/>
      <c r="B900" s="14"/>
      <c r="C900" s="14"/>
      <c r="D900" s="14"/>
      <c r="E900" s="15"/>
      <c r="F900" s="14"/>
      <c r="G900" s="14"/>
      <c r="H900" s="14"/>
      <c r="I900" s="14"/>
      <c r="J900" s="14"/>
      <c r="K900" s="23"/>
      <c r="L900" s="14"/>
      <c r="M900" s="14"/>
      <c r="N900" s="14"/>
      <c r="O900" s="14"/>
      <c r="P900" s="14"/>
      <c r="Q900" s="14"/>
      <c r="R900" s="14"/>
      <c r="S900" s="10"/>
      <c r="T900" s="10"/>
      <c r="U900" s="10"/>
      <c r="V900" s="10"/>
      <c r="W900" s="10"/>
      <c r="X900" s="10"/>
      <c r="Y900" s="10"/>
      <c r="Z900" s="10"/>
      <c r="AA900" s="10"/>
      <c r="AB900" s="10"/>
      <c r="AC900" s="10"/>
      <c r="AD900" s="10"/>
      <c r="AE900" s="10"/>
      <c r="AF900" s="10"/>
      <c r="AG900" s="10"/>
      <c r="AH900" s="10"/>
    </row>
    <row r="901" spans="1:34">
      <c r="A901" s="13"/>
      <c r="B901" s="14"/>
      <c r="C901" s="14"/>
      <c r="D901" s="14"/>
      <c r="E901" s="15"/>
      <c r="F901" s="14"/>
      <c r="G901" s="14"/>
      <c r="H901" s="14"/>
      <c r="I901" s="14"/>
      <c r="J901" s="14"/>
      <c r="K901" s="23"/>
      <c r="L901" s="14"/>
      <c r="M901" s="14"/>
      <c r="N901" s="14"/>
      <c r="O901" s="14"/>
      <c r="P901" s="14"/>
      <c r="Q901" s="14"/>
      <c r="R901" s="14"/>
      <c r="S901" s="10"/>
      <c r="T901" s="10"/>
      <c r="U901" s="10"/>
      <c r="V901" s="10"/>
      <c r="W901" s="10"/>
      <c r="X901" s="10"/>
      <c r="Y901" s="10"/>
      <c r="Z901" s="10"/>
      <c r="AA901" s="10"/>
      <c r="AB901" s="10"/>
      <c r="AC901" s="10"/>
      <c r="AD901" s="10"/>
      <c r="AE901" s="10"/>
      <c r="AF901" s="10"/>
      <c r="AG901" s="10"/>
      <c r="AH901" s="10"/>
    </row>
    <row r="902" spans="1:34">
      <c r="A902" s="13"/>
      <c r="B902" s="14"/>
      <c r="C902" s="14"/>
      <c r="D902" s="14"/>
      <c r="E902" s="15"/>
      <c r="F902" s="14"/>
      <c r="G902" s="14"/>
      <c r="H902" s="14"/>
      <c r="I902" s="14"/>
      <c r="J902" s="14"/>
      <c r="K902" s="23"/>
      <c r="L902" s="14"/>
      <c r="M902" s="14"/>
      <c r="N902" s="14"/>
      <c r="O902" s="14"/>
      <c r="P902" s="14"/>
      <c r="Q902" s="14"/>
      <c r="R902" s="14"/>
      <c r="S902" s="10"/>
      <c r="T902" s="10"/>
      <c r="U902" s="10"/>
      <c r="V902" s="10"/>
      <c r="W902" s="10"/>
      <c r="X902" s="10"/>
      <c r="Y902" s="10"/>
      <c r="Z902" s="10"/>
      <c r="AA902" s="10"/>
      <c r="AB902" s="10"/>
      <c r="AC902" s="10"/>
      <c r="AD902" s="10"/>
      <c r="AE902" s="10"/>
      <c r="AF902" s="10"/>
      <c r="AG902" s="10"/>
      <c r="AH902" s="10"/>
    </row>
    <row r="903" spans="1:34">
      <c r="A903" s="13"/>
      <c r="B903" s="14"/>
      <c r="C903" s="14"/>
      <c r="D903" s="14"/>
      <c r="E903" s="15"/>
      <c r="F903" s="14"/>
      <c r="G903" s="14"/>
      <c r="H903" s="14"/>
      <c r="I903" s="14"/>
      <c r="J903" s="14"/>
      <c r="K903" s="23"/>
      <c r="L903" s="14"/>
      <c r="M903" s="14"/>
      <c r="N903" s="14"/>
      <c r="O903" s="14"/>
      <c r="P903" s="14"/>
      <c r="Q903" s="14"/>
      <c r="R903" s="14"/>
      <c r="S903" s="10"/>
      <c r="T903" s="10"/>
      <c r="U903" s="10"/>
      <c r="V903" s="10"/>
      <c r="W903" s="10"/>
      <c r="X903" s="10"/>
      <c r="Y903" s="10"/>
      <c r="Z903" s="10"/>
      <c r="AA903" s="10"/>
      <c r="AB903" s="10"/>
      <c r="AC903" s="10"/>
      <c r="AD903" s="10"/>
      <c r="AE903" s="10"/>
      <c r="AF903" s="10"/>
      <c r="AG903" s="10"/>
      <c r="AH903" s="10"/>
    </row>
    <row r="904" spans="1:34">
      <c r="A904" s="13"/>
      <c r="B904" s="14"/>
      <c r="C904" s="14"/>
      <c r="D904" s="14"/>
      <c r="E904" s="15"/>
      <c r="F904" s="14"/>
      <c r="G904" s="14"/>
      <c r="H904" s="14"/>
      <c r="I904" s="14"/>
      <c r="J904" s="14"/>
      <c r="K904" s="23"/>
      <c r="L904" s="14"/>
      <c r="M904" s="14"/>
      <c r="N904" s="14"/>
      <c r="O904" s="14"/>
      <c r="P904" s="14"/>
      <c r="Q904" s="14"/>
      <c r="R904" s="14"/>
      <c r="S904" s="10"/>
      <c r="T904" s="10"/>
      <c r="U904" s="10"/>
      <c r="V904" s="10"/>
      <c r="W904" s="10"/>
      <c r="X904" s="10"/>
      <c r="Y904" s="10"/>
      <c r="Z904" s="10"/>
      <c r="AA904" s="10"/>
      <c r="AB904" s="10"/>
      <c r="AC904" s="10"/>
      <c r="AD904" s="10"/>
      <c r="AE904" s="10"/>
      <c r="AF904" s="10"/>
      <c r="AG904" s="10"/>
      <c r="AH904" s="10"/>
    </row>
    <row r="905" spans="1:34">
      <c r="A905" s="13"/>
      <c r="B905" s="14"/>
      <c r="C905" s="14"/>
      <c r="D905" s="14"/>
      <c r="E905" s="15"/>
      <c r="F905" s="14"/>
      <c r="G905" s="14"/>
      <c r="H905" s="14"/>
      <c r="I905" s="14"/>
      <c r="J905" s="14"/>
      <c r="K905" s="23"/>
      <c r="L905" s="14"/>
      <c r="M905" s="14"/>
      <c r="N905" s="14"/>
      <c r="O905" s="14"/>
      <c r="P905" s="14"/>
      <c r="Q905" s="14"/>
      <c r="R905" s="14"/>
      <c r="S905" s="10"/>
      <c r="T905" s="10"/>
      <c r="U905" s="10"/>
      <c r="V905" s="10"/>
      <c r="W905" s="10"/>
      <c r="X905" s="10"/>
      <c r="Y905" s="10"/>
      <c r="Z905" s="10"/>
      <c r="AA905" s="10"/>
      <c r="AB905" s="10"/>
      <c r="AC905" s="10"/>
      <c r="AD905" s="10"/>
      <c r="AE905" s="10"/>
      <c r="AF905" s="10"/>
      <c r="AG905" s="10"/>
      <c r="AH905" s="10"/>
    </row>
    <row r="906" spans="1:34">
      <c r="A906" s="13"/>
      <c r="B906" s="14"/>
      <c r="C906" s="14"/>
      <c r="D906" s="14"/>
      <c r="E906" s="15"/>
      <c r="F906" s="14"/>
      <c r="G906" s="14"/>
      <c r="H906" s="14"/>
      <c r="I906" s="14"/>
      <c r="J906" s="14"/>
      <c r="K906" s="23"/>
      <c r="L906" s="14"/>
      <c r="M906" s="14"/>
      <c r="N906" s="14"/>
      <c r="O906" s="14"/>
      <c r="P906" s="14"/>
      <c r="Q906" s="14"/>
      <c r="R906" s="14"/>
      <c r="S906" s="10"/>
      <c r="T906" s="10"/>
      <c r="U906" s="10"/>
      <c r="V906" s="10"/>
      <c r="W906" s="10"/>
      <c r="X906" s="10"/>
      <c r="Y906" s="10"/>
      <c r="Z906" s="10"/>
      <c r="AA906" s="10"/>
      <c r="AB906" s="10"/>
      <c r="AC906" s="10"/>
      <c r="AD906" s="10"/>
      <c r="AE906" s="10"/>
      <c r="AF906" s="10"/>
      <c r="AG906" s="10"/>
      <c r="AH906" s="10"/>
    </row>
    <row r="907" spans="1:34">
      <c r="A907" s="13"/>
      <c r="B907" s="14"/>
      <c r="C907" s="14"/>
      <c r="D907" s="14"/>
      <c r="E907" s="15"/>
      <c r="F907" s="14"/>
      <c r="G907" s="14"/>
      <c r="H907" s="14"/>
      <c r="I907" s="14"/>
      <c r="J907" s="14"/>
      <c r="K907" s="23"/>
      <c r="L907" s="14"/>
      <c r="M907" s="14"/>
      <c r="N907" s="14"/>
      <c r="O907" s="14"/>
      <c r="P907" s="14"/>
      <c r="Q907" s="14"/>
      <c r="R907" s="14"/>
      <c r="S907" s="10"/>
      <c r="T907" s="10"/>
      <c r="U907" s="10"/>
      <c r="V907" s="10"/>
      <c r="W907" s="10"/>
      <c r="X907" s="10"/>
      <c r="Y907" s="10"/>
      <c r="Z907" s="10"/>
      <c r="AA907" s="10"/>
      <c r="AB907" s="10"/>
      <c r="AC907" s="10"/>
      <c r="AD907" s="10"/>
      <c r="AE907" s="10"/>
      <c r="AF907" s="10"/>
      <c r="AG907" s="10"/>
      <c r="AH907" s="10"/>
    </row>
    <row r="908" spans="1:34">
      <c r="A908" s="13"/>
      <c r="B908" s="14"/>
      <c r="C908" s="14"/>
      <c r="D908" s="14"/>
      <c r="E908" s="15"/>
      <c r="F908" s="14"/>
      <c r="G908" s="14"/>
      <c r="H908" s="14"/>
      <c r="I908" s="14"/>
      <c r="J908" s="14"/>
      <c r="K908" s="23"/>
      <c r="L908" s="14"/>
      <c r="M908" s="14"/>
      <c r="N908" s="14"/>
      <c r="O908" s="14"/>
      <c r="P908" s="14"/>
      <c r="Q908" s="14"/>
      <c r="R908" s="14"/>
      <c r="S908" s="10"/>
      <c r="T908" s="10"/>
      <c r="U908" s="10"/>
      <c r="V908" s="10"/>
      <c r="W908" s="10"/>
      <c r="X908" s="10"/>
      <c r="Y908" s="10"/>
      <c r="Z908" s="10"/>
      <c r="AA908" s="10"/>
      <c r="AB908" s="10"/>
      <c r="AC908" s="10"/>
      <c r="AD908" s="10"/>
      <c r="AE908" s="10"/>
      <c r="AF908" s="10"/>
      <c r="AG908" s="10"/>
      <c r="AH908" s="10"/>
    </row>
    <row r="909" spans="1:34">
      <c r="A909" s="13"/>
      <c r="B909" s="14"/>
      <c r="C909" s="14"/>
      <c r="D909" s="14"/>
      <c r="E909" s="15"/>
      <c r="F909" s="14"/>
      <c r="G909" s="14"/>
      <c r="H909" s="14"/>
      <c r="I909" s="14"/>
      <c r="J909" s="14"/>
      <c r="K909" s="23"/>
      <c r="L909" s="14"/>
      <c r="M909" s="14"/>
      <c r="N909" s="14"/>
      <c r="O909" s="14"/>
      <c r="P909" s="14"/>
      <c r="Q909" s="14"/>
      <c r="R909" s="14"/>
      <c r="S909" s="10"/>
      <c r="T909" s="10"/>
      <c r="U909" s="10"/>
      <c r="V909" s="10"/>
      <c r="W909" s="10"/>
      <c r="X909" s="10"/>
      <c r="Y909" s="10"/>
      <c r="Z909" s="10"/>
      <c r="AA909" s="10"/>
      <c r="AB909" s="10"/>
      <c r="AC909" s="10"/>
      <c r="AD909" s="10"/>
      <c r="AE909" s="10"/>
      <c r="AF909" s="10"/>
      <c r="AG909" s="10"/>
      <c r="AH909" s="10"/>
    </row>
    <row r="910" spans="1:34">
      <c r="A910" s="13"/>
      <c r="B910" s="14"/>
      <c r="C910" s="14"/>
      <c r="D910" s="14"/>
      <c r="E910" s="15"/>
      <c r="F910" s="14"/>
      <c r="G910" s="14"/>
      <c r="H910" s="14"/>
      <c r="I910" s="14"/>
      <c r="J910" s="14"/>
      <c r="K910" s="23"/>
      <c r="L910" s="14"/>
      <c r="M910" s="14"/>
      <c r="N910" s="14"/>
      <c r="O910" s="14"/>
      <c r="P910" s="14"/>
      <c r="Q910" s="14"/>
      <c r="R910" s="14"/>
      <c r="S910" s="10"/>
      <c r="T910" s="10"/>
      <c r="U910" s="10"/>
      <c r="V910" s="10"/>
      <c r="W910" s="10"/>
      <c r="X910" s="10"/>
      <c r="Y910" s="10"/>
      <c r="Z910" s="10"/>
      <c r="AA910" s="10"/>
      <c r="AB910" s="10"/>
      <c r="AC910" s="10"/>
      <c r="AD910" s="10"/>
      <c r="AE910" s="10"/>
      <c r="AF910" s="10"/>
      <c r="AG910" s="10"/>
      <c r="AH910" s="10"/>
    </row>
    <row r="911" spans="1:34">
      <c r="A911" s="13"/>
      <c r="B911" s="14"/>
      <c r="C911" s="14"/>
      <c r="D911" s="14"/>
      <c r="E911" s="15"/>
      <c r="F911" s="14"/>
      <c r="G911" s="14"/>
      <c r="H911" s="14"/>
      <c r="I911" s="14"/>
      <c r="J911" s="14"/>
      <c r="K911" s="23"/>
      <c r="L911" s="14"/>
      <c r="M911" s="14"/>
      <c r="N911" s="14"/>
      <c r="O911" s="14"/>
      <c r="P911" s="14"/>
      <c r="Q911" s="14"/>
      <c r="R911" s="14"/>
      <c r="S911" s="10"/>
      <c r="T911" s="10"/>
      <c r="U911" s="10"/>
      <c r="V911" s="10"/>
      <c r="W911" s="10"/>
      <c r="X911" s="10"/>
      <c r="Y911" s="10"/>
      <c r="Z911" s="10"/>
      <c r="AA911" s="10"/>
      <c r="AB911" s="10"/>
      <c r="AC911" s="10"/>
      <c r="AD911" s="10"/>
      <c r="AE911" s="10"/>
      <c r="AF911" s="10"/>
      <c r="AG911" s="10"/>
      <c r="AH911" s="10"/>
    </row>
    <row r="912" spans="1:34">
      <c r="A912" s="13"/>
      <c r="B912" s="14"/>
      <c r="C912" s="14"/>
      <c r="D912" s="14"/>
      <c r="E912" s="15"/>
      <c r="F912" s="14"/>
      <c r="G912" s="14"/>
      <c r="H912" s="14"/>
      <c r="I912" s="14"/>
      <c r="J912" s="14"/>
      <c r="K912" s="23"/>
      <c r="L912" s="14"/>
      <c r="M912" s="14"/>
      <c r="N912" s="14"/>
      <c r="O912" s="14"/>
      <c r="P912" s="14"/>
      <c r="Q912" s="14"/>
      <c r="R912" s="14"/>
      <c r="S912" s="10"/>
      <c r="T912" s="10"/>
      <c r="U912" s="10"/>
      <c r="V912" s="10"/>
      <c r="W912" s="10"/>
      <c r="X912" s="10"/>
      <c r="Y912" s="10"/>
      <c r="Z912" s="10"/>
      <c r="AA912" s="10"/>
      <c r="AB912" s="10"/>
      <c r="AC912" s="10"/>
      <c r="AD912" s="10"/>
      <c r="AE912" s="10"/>
      <c r="AF912" s="10"/>
      <c r="AG912" s="10"/>
      <c r="AH912" s="10"/>
    </row>
    <row r="913" spans="1:34">
      <c r="A913" s="13"/>
      <c r="B913" s="14"/>
      <c r="C913" s="14"/>
      <c r="D913" s="14"/>
      <c r="E913" s="15"/>
      <c r="F913" s="14"/>
      <c r="G913" s="14"/>
      <c r="H913" s="14"/>
      <c r="I913" s="14"/>
      <c r="J913" s="14"/>
      <c r="K913" s="23"/>
      <c r="L913" s="14"/>
      <c r="M913" s="14"/>
      <c r="N913" s="14"/>
      <c r="O913" s="14"/>
      <c r="P913" s="14"/>
      <c r="Q913" s="14"/>
      <c r="R913" s="14"/>
      <c r="S913" s="10"/>
      <c r="T913" s="10"/>
      <c r="U913" s="10"/>
      <c r="V913" s="10"/>
      <c r="W913" s="10"/>
      <c r="X913" s="10"/>
      <c r="Y913" s="10"/>
      <c r="Z913" s="10"/>
      <c r="AA913" s="10"/>
      <c r="AB913" s="10"/>
      <c r="AC913" s="10"/>
      <c r="AD913" s="10"/>
      <c r="AE913" s="10"/>
      <c r="AF913" s="10"/>
      <c r="AG913" s="10"/>
      <c r="AH913" s="10"/>
    </row>
    <row r="914" spans="1:34">
      <c r="A914" s="13"/>
      <c r="B914" s="14"/>
      <c r="C914" s="14"/>
      <c r="D914" s="14"/>
      <c r="E914" s="15"/>
      <c r="F914" s="14"/>
      <c r="G914" s="14"/>
      <c r="H914" s="14"/>
      <c r="I914" s="14"/>
      <c r="J914" s="14"/>
      <c r="K914" s="23"/>
      <c r="L914" s="14"/>
      <c r="M914" s="14"/>
      <c r="N914" s="14"/>
      <c r="O914" s="14"/>
      <c r="P914" s="14"/>
      <c r="Q914" s="14"/>
      <c r="R914" s="14"/>
      <c r="S914" s="10"/>
      <c r="T914" s="10"/>
      <c r="U914" s="10"/>
      <c r="V914" s="10"/>
      <c r="W914" s="10"/>
      <c r="X914" s="10"/>
      <c r="Y914" s="10"/>
      <c r="Z914" s="10"/>
      <c r="AA914" s="10"/>
      <c r="AB914" s="10"/>
      <c r="AC914" s="10"/>
      <c r="AD914" s="10"/>
      <c r="AE914" s="10"/>
      <c r="AF914" s="10"/>
      <c r="AG914" s="10"/>
      <c r="AH914" s="10"/>
    </row>
    <row r="915" spans="1:34">
      <c r="A915" s="13"/>
      <c r="B915" s="14"/>
      <c r="C915" s="14"/>
      <c r="D915" s="14"/>
      <c r="E915" s="15"/>
      <c r="F915" s="14"/>
      <c r="G915" s="14"/>
      <c r="H915" s="14"/>
      <c r="I915" s="14"/>
      <c r="J915" s="14"/>
      <c r="K915" s="23"/>
      <c r="L915" s="14"/>
      <c r="M915" s="14"/>
      <c r="N915" s="14"/>
      <c r="O915" s="14"/>
      <c r="P915" s="14"/>
      <c r="Q915" s="14"/>
      <c r="R915" s="14"/>
      <c r="S915" s="10"/>
      <c r="T915" s="10"/>
      <c r="U915" s="10"/>
      <c r="V915" s="10"/>
      <c r="W915" s="10"/>
      <c r="X915" s="10"/>
      <c r="Y915" s="10"/>
      <c r="Z915" s="10"/>
      <c r="AA915" s="10"/>
      <c r="AB915" s="10"/>
      <c r="AC915" s="10"/>
      <c r="AD915" s="10"/>
      <c r="AE915" s="10"/>
      <c r="AF915" s="10"/>
      <c r="AG915" s="10"/>
      <c r="AH915" s="10"/>
    </row>
    <row r="916" spans="1:34">
      <c r="A916" s="13"/>
      <c r="B916" s="14"/>
      <c r="C916" s="14"/>
      <c r="D916" s="14"/>
      <c r="E916" s="15"/>
      <c r="F916" s="14"/>
      <c r="G916" s="14"/>
      <c r="H916" s="14"/>
      <c r="I916" s="14"/>
      <c r="J916" s="14"/>
      <c r="K916" s="23"/>
      <c r="L916" s="14"/>
      <c r="M916" s="14"/>
      <c r="N916" s="14"/>
      <c r="O916" s="14"/>
      <c r="P916" s="14"/>
      <c r="Q916" s="14"/>
      <c r="R916" s="14"/>
      <c r="S916" s="10"/>
      <c r="T916" s="10"/>
      <c r="U916" s="10"/>
      <c r="V916" s="10"/>
      <c r="W916" s="10"/>
      <c r="X916" s="10"/>
      <c r="Y916" s="10"/>
      <c r="Z916" s="10"/>
      <c r="AA916" s="10"/>
      <c r="AB916" s="10"/>
      <c r="AC916" s="10"/>
      <c r="AD916" s="10"/>
      <c r="AE916" s="10"/>
      <c r="AF916" s="10"/>
      <c r="AG916" s="10"/>
      <c r="AH916" s="10"/>
    </row>
    <row r="917" spans="1:34">
      <c r="A917" s="13"/>
      <c r="B917" s="14"/>
      <c r="C917" s="14"/>
      <c r="D917" s="14"/>
      <c r="E917" s="15"/>
      <c r="F917" s="14"/>
      <c r="G917" s="14"/>
      <c r="H917" s="14"/>
      <c r="I917" s="14"/>
      <c r="J917" s="14"/>
      <c r="K917" s="23"/>
      <c r="L917" s="14"/>
      <c r="M917" s="14"/>
      <c r="N917" s="14"/>
      <c r="O917" s="14"/>
      <c r="P917" s="14"/>
      <c r="Q917" s="14"/>
      <c r="R917" s="14"/>
      <c r="S917" s="10"/>
      <c r="T917" s="10"/>
      <c r="U917" s="10"/>
      <c r="V917" s="10"/>
      <c r="W917" s="10"/>
      <c r="X917" s="10"/>
      <c r="Y917" s="10"/>
      <c r="Z917" s="10"/>
      <c r="AA917" s="10"/>
      <c r="AB917" s="10"/>
      <c r="AC917" s="10"/>
      <c r="AD917" s="10"/>
      <c r="AE917" s="10"/>
      <c r="AF917" s="10"/>
      <c r="AG917" s="10"/>
      <c r="AH917" s="10"/>
    </row>
    <row r="918" spans="1:34">
      <c r="A918" s="13"/>
      <c r="B918" s="14"/>
      <c r="C918" s="14"/>
      <c r="D918" s="14"/>
      <c r="E918" s="15"/>
      <c r="F918" s="14"/>
      <c r="G918" s="14"/>
      <c r="H918" s="14"/>
      <c r="I918" s="14"/>
      <c r="J918" s="14"/>
      <c r="K918" s="23"/>
      <c r="L918" s="14"/>
      <c r="M918" s="14"/>
      <c r="N918" s="14"/>
      <c r="O918" s="14"/>
      <c r="P918" s="14"/>
      <c r="Q918" s="14"/>
      <c r="R918" s="14"/>
      <c r="S918" s="10"/>
      <c r="T918" s="10"/>
      <c r="U918" s="10"/>
      <c r="V918" s="10"/>
      <c r="W918" s="10"/>
      <c r="X918" s="10"/>
      <c r="Y918" s="10"/>
      <c r="Z918" s="10"/>
      <c r="AA918" s="10"/>
      <c r="AB918" s="10"/>
      <c r="AC918" s="10"/>
      <c r="AD918" s="10"/>
      <c r="AE918" s="10"/>
      <c r="AF918" s="10"/>
      <c r="AG918" s="10"/>
      <c r="AH918" s="10"/>
    </row>
    <row r="919" spans="1:34">
      <c r="A919" s="13"/>
      <c r="B919" s="14"/>
      <c r="C919" s="14"/>
      <c r="D919" s="14"/>
      <c r="E919" s="15"/>
      <c r="F919" s="14"/>
      <c r="G919" s="14"/>
      <c r="H919" s="14"/>
      <c r="I919" s="14"/>
      <c r="J919" s="14"/>
      <c r="K919" s="23"/>
      <c r="L919" s="14"/>
      <c r="M919" s="14"/>
      <c r="N919" s="14"/>
      <c r="O919" s="14"/>
      <c r="P919" s="14"/>
      <c r="Q919" s="14"/>
      <c r="R919" s="14"/>
      <c r="S919" s="10"/>
      <c r="T919" s="10"/>
      <c r="U919" s="10"/>
      <c r="V919" s="10"/>
      <c r="W919" s="10"/>
      <c r="X919" s="10"/>
      <c r="Y919" s="10"/>
      <c r="Z919" s="10"/>
      <c r="AA919" s="10"/>
      <c r="AB919" s="10"/>
      <c r="AC919" s="10"/>
      <c r="AD919" s="10"/>
      <c r="AE919" s="10"/>
      <c r="AF919" s="10"/>
      <c r="AG919" s="10"/>
      <c r="AH919" s="10"/>
    </row>
    <row r="920" spans="1:34">
      <c r="A920" s="13"/>
      <c r="B920" s="14"/>
      <c r="C920" s="14"/>
      <c r="D920" s="14"/>
      <c r="E920" s="15"/>
      <c r="F920" s="14"/>
      <c r="G920" s="14"/>
      <c r="H920" s="14"/>
      <c r="I920" s="14"/>
      <c r="J920" s="14"/>
      <c r="K920" s="23"/>
      <c r="L920" s="14"/>
      <c r="M920" s="14"/>
      <c r="N920" s="14"/>
      <c r="O920" s="14"/>
      <c r="P920" s="14"/>
      <c r="Q920" s="14"/>
      <c r="R920" s="14"/>
      <c r="S920" s="10"/>
      <c r="T920" s="10"/>
      <c r="U920" s="10"/>
      <c r="V920" s="10"/>
      <c r="W920" s="10"/>
      <c r="X920" s="10"/>
      <c r="Y920" s="10"/>
      <c r="Z920" s="10"/>
      <c r="AA920" s="10"/>
      <c r="AB920" s="10"/>
      <c r="AC920" s="10"/>
      <c r="AD920" s="10"/>
      <c r="AE920" s="10"/>
      <c r="AF920" s="10"/>
      <c r="AG920" s="10"/>
      <c r="AH920" s="10"/>
    </row>
    <row r="921" spans="1:34">
      <c r="A921" s="13"/>
      <c r="B921" s="14"/>
      <c r="C921" s="14"/>
      <c r="D921" s="14"/>
      <c r="E921" s="15"/>
      <c r="F921" s="14"/>
      <c r="G921" s="14"/>
      <c r="H921" s="14"/>
      <c r="I921" s="14"/>
      <c r="J921" s="14"/>
      <c r="K921" s="23"/>
      <c r="L921" s="14"/>
      <c r="M921" s="14"/>
      <c r="N921" s="14"/>
      <c r="O921" s="14"/>
      <c r="P921" s="14"/>
      <c r="Q921" s="14"/>
      <c r="R921" s="14"/>
      <c r="S921" s="10"/>
      <c r="T921" s="10"/>
      <c r="U921" s="10"/>
      <c r="V921" s="10"/>
      <c r="W921" s="10"/>
      <c r="X921" s="10"/>
      <c r="Y921" s="10"/>
      <c r="Z921" s="10"/>
      <c r="AA921" s="10"/>
      <c r="AB921" s="10"/>
      <c r="AC921" s="10"/>
      <c r="AD921" s="10"/>
      <c r="AE921" s="10"/>
      <c r="AF921" s="10"/>
      <c r="AG921" s="10"/>
      <c r="AH921" s="10"/>
    </row>
    <row r="922" spans="1:34">
      <c r="A922" s="13"/>
      <c r="B922" s="14"/>
      <c r="C922" s="14"/>
      <c r="D922" s="14"/>
      <c r="E922" s="15"/>
      <c r="F922" s="14"/>
      <c r="G922" s="14"/>
      <c r="H922" s="14"/>
      <c r="I922" s="14"/>
      <c r="J922" s="14"/>
      <c r="K922" s="23"/>
      <c r="L922" s="14"/>
      <c r="M922" s="14"/>
      <c r="N922" s="14"/>
      <c r="O922" s="14"/>
      <c r="P922" s="14"/>
      <c r="Q922" s="14"/>
      <c r="R922" s="14"/>
      <c r="S922" s="10"/>
      <c r="T922" s="10"/>
      <c r="U922" s="10"/>
      <c r="V922" s="10"/>
      <c r="W922" s="10"/>
      <c r="X922" s="10"/>
      <c r="Y922" s="10"/>
      <c r="Z922" s="10"/>
      <c r="AA922" s="10"/>
      <c r="AB922" s="10"/>
      <c r="AC922" s="10"/>
      <c r="AD922" s="10"/>
      <c r="AE922" s="10"/>
      <c r="AF922" s="10"/>
      <c r="AG922" s="10"/>
      <c r="AH922" s="10"/>
    </row>
    <row r="923" spans="1:34">
      <c r="A923" s="13"/>
      <c r="B923" s="14"/>
      <c r="C923" s="14"/>
      <c r="D923" s="14"/>
      <c r="E923" s="15"/>
      <c r="F923" s="14"/>
      <c r="G923" s="14"/>
      <c r="H923" s="14"/>
      <c r="I923" s="14"/>
      <c r="J923" s="14"/>
      <c r="K923" s="23"/>
      <c r="L923" s="14"/>
      <c r="M923" s="14"/>
      <c r="N923" s="14"/>
      <c r="O923" s="14"/>
      <c r="P923" s="14"/>
      <c r="Q923" s="14"/>
      <c r="R923" s="14"/>
      <c r="S923" s="10"/>
      <c r="T923" s="10"/>
      <c r="U923" s="10"/>
      <c r="V923" s="10"/>
      <c r="W923" s="10"/>
      <c r="X923" s="10"/>
      <c r="Y923" s="10"/>
      <c r="Z923" s="10"/>
      <c r="AA923" s="10"/>
      <c r="AB923" s="10"/>
      <c r="AC923" s="10"/>
      <c r="AD923" s="10"/>
      <c r="AE923" s="10"/>
      <c r="AF923" s="10"/>
      <c r="AG923" s="10"/>
      <c r="AH923" s="10"/>
    </row>
    <row r="924" spans="1:34">
      <c r="A924" s="13"/>
      <c r="B924" s="14"/>
      <c r="C924" s="14"/>
      <c r="D924" s="14"/>
      <c r="E924" s="15"/>
      <c r="F924" s="14"/>
      <c r="G924" s="14"/>
      <c r="H924" s="14"/>
      <c r="I924" s="14"/>
      <c r="J924" s="14"/>
      <c r="K924" s="23"/>
      <c r="L924" s="14"/>
      <c r="M924" s="14"/>
      <c r="N924" s="14"/>
      <c r="O924" s="14"/>
      <c r="P924" s="14"/>
      <c r="Q924" s="14"/>
      <c r="R924" s="14"/>
      <c r="S924" s="10"/>
      <c r="T924" s="10"/>
      <c r="U924" s="10"/>
      <c r="V924" s="10"/>
      <c r="W924" s="10"/>
      <c r="X924" s="10"/>
      <c r="Y924" s="10"/>
      <c r="Z924" s="10"/>
      <c r="AA924" s="10"/>
      <c r="AB924" s="10"/>
      <c r="AC924" s="10"/>
      <c r="AD924" s="10"/>
      <c r="AE924" s="10"/>
      <c r="AF924" s="10"/>
      <c r="AG924" s="10"/>
      <c r="AH924" s="10"/>
    </row>
    <row r="925" spans="1:34">
      <c r="A925" s="13"/>
      <c r="B925" s="14"/>
      <c r="C925" s="14"/>
      <c r="D925" s="14"/>
      <c r="E925" s="15"/>
      <c r="F925" s="14"/>
      <c r="G925" s="14"/>
      <c r="H925" s="14"/>
      <c r="I925" s="14"/>
      <c r="J925" s="14"/>
      <c r="K925" s="23"/>
      <c r="L925" s="14"/>
      <c r="M925" s="14"/>
      <c r="N925" s="14"/>
      <c r="O925" s="14"/>
      <c r="P925" s="14"/>
      <c r="Q925" s="14"/>
      <c r="R925" s="14"/>
      <c r="S925" s="10"/>
      <c r="T925" s="10"/>
      <c r="U925" s="10"/>
      <c r="V925" s="10"/>
      <c r="W925" s="10"/>
      <c r="X925" s="10"/>
      <c r="Y925" s="10"/>
      <c r="Z925" s="10"/>
      <c r="AA925" s="10"/>
      <c r="AB925" s="10"/>
      <c r="AC925" s="10"/>
      <c r="AD925" s="10"/>
      <c r="AE925" s="10"/>
      <c r="AF925" s="10"/>
      <c r="AG925" s="10"/>
      <c r="AH925" s="10"/>
    </row>
    <row r="926" spans="1:34">
      <c r="A926" s="13"/>
      <c r="B926" s="14"/>
      <c r="C926" s="14"/>
      <c r="D926" s="14"/>
      <c r="E926" s="15"/>
      <c r="F926" s="14"/>
      <c r="G926" s="14"/>
      <c r="H926" s="14"/>
      <c r="I926" s="14"/>
      <c r="J926" s="14"/>
      <c r="K926" s="23"/>
      <c r="L926" s="14"/>
      <c r="M926" s="14"/>
      <c r="N926" s="14"/>
      <c r="O926" s="14"/>
      <c r="P926" s="14"/>
      <c r="Q926" s="14"/>
      <c r="R926" s="14"/>
      <c r="S926" s="10"/>
      <c r="T926" s="10"/>
      <c r="U926" s="10"/>
      <c r="V926" s="10"/>
      <c r="W926" s="10"/>
      <c r="X926" s="10"/>
      <c r="Y926" s="10"/>
      <c r="Z926" s="10"/>
      <c r="AA926" s="10"/>
      <c r="AB926" s="10"/>
      <c r="AC926" s="10"/>
      <c r="AD926" s="10"/>
      <c r="AE926" s="10"/>
      <c r="AF926" s="10"/>
      <c r="AG926" s="10"/>
      <c r="AH926" s="10"/>
    </row>
    <row r="927" spans="1:34">
      <c r="A927" s="13"/>
      <c r="B927" s="14"/>
      <c r="C927" s="14"/>
      <c r="D927" s="14"/>
      <c r="E927" s="15"/>
      <c r="F927" s="14"/>
      <c r="G927" s="14"/>
      <c r="H927" s="14"/>
      <c r="I927" s="14"/>
      <c r="J927" s="14"/>
      <c r="K927" s="23"/>
      <c r="L927" s="14"/>
      <c r="M927" s="14"/>
      <c r="N927" s="14"/>
      <c r="O927" s="14"/>
      <c r="P927" s="14"/>
      <c r="Q927" s="14"/>
      <c r="R927" s="14"/>
      <c r="S927" s="10"/>
      <c r="T927" s="10"/>
      <c r="U927" s="10"/>
      <c r="V927" s="10"/>
      <c r="W927" s="10"/>
      <c r="X927" s="10"/>
      <c r="Y927" s="10"/>
      <c r="Z927" s="10"/>
      <c r="AA927" s="10"/>
      <c r="AB927" s="10"/>
      <c r="AC927" s="10"/>
      <c r="AD927" s="10"/>
      <c r="AE927" s="10"/>
      <c r="AF927" s="10"/>
      <c r="AG927" s="10"/>
      <c r="AH927" s="10"/>
    </row>
    <row r="928" spans="1:34">
      <c r="A928" s="13"/>
      <c r="B928" s="14"/>
      <c r="C928" s="14"/>
      <c r="D928" s="14"/>
      <c r="E928" s="15"/>
      <c r="F928" s="14"/>
      <c r="G928" s="14"/>
      <c r="H928" s="14"/>
      <c r="I928" s="14"/>
      <c r="J928" s="14"/>
      <c r="K928" s="23"/>
      <c r="L928" s="14"/>
      <c r="M928" s="14"/>
      <c r="N928" s="14"/>
      <c r="O928" s="14"/>
      <c r="P928" s="14"/>
      <c r="Q928" s="14"/>
      <c r="R928" s="14"/>
      <c r="S928" s="10"/>
      <c r="T928" s="10"/>
      <c r="U928" s="10"/>
      <c r="V928" s="10"/>
      <c r="W928" s="10"/>
      <c r="X928" s="10"/>
      <c r="Y928" s="10"/>
      <c r="Z928" s="10"/>
      <c r="AA928" s="10"/>
      <c r="AB928" s="10"/>
      <c r="AC928" s="10"/>
      <c r="AD928" s="10"/>
      <c r="AE928" s="10"/>
      <c r="AF928" s="10"/>
      <c r="AG928" s="10"/>
      <c r="AH928" s="10"/>
    </row>
    <row r="929" spans="1:34">
      <c r="A929" s="13"/>
      <c r="B929" s="14"/>
      <c r="C929" s="14"/>
      <c r="D929" s="14"/>
      <c r="E929" s="15"/>
      <c r="F929" s="14"/>
      <c r="G929" s="14"/>
      <c r="H929" s="14"/>
      <c r="I929" s="14"/>
      <c r="J929" s="14"/>
      <c r="K929" s="23"/>
      <c r="L929" s="14"/>
      <c r="M929" s="14"/>
      <c r="N929" s="14"/>
      <c r="O929" s="14"/>
      <c r="P929" s="14"/>
      <c r="Q929" s="14"/>
      <c r="R929" s="14"/>
      <c r="S929" s="10"/>
      <c r="T929" s="10"/>
      <c r="U929" s="10"/>
      <c r="V929" s="10"/>
      <c r="W929" s="10"/>
      <c r="X929" s="10"/>
      <c r="Y929" s="10"/>
      <c r="Z929" s="10"/>
      <c r="AA929" s="10"/>
      <c r="AB929" s="10"/>
      <c r="AC929" s="10"/>
      <c r="AD929" s="10"/>
      <c r="AE929" s="10"/>
      <c r="AF929" s="10"/>
      <c r="AG929" s="10"/>
      <c r="AH929" s="10"/>
    </row>
    <row r="930" spans="1:34">
      <c r="A930" s="13"/>
      <c r="B930" s="14"/>
      <c r="C930" s="14"/>
      <c r="D930" s="14"/>
      <c r="E930" s="15"/>
      <c r="F930" s="14"/>
      <c r="G930" s="14"/>
      <c r="H930" s="14"/>
      <c r="I930" s="14"/>
      <c r="J930" s="14"/>
      <c r="K930" s="23"/>
      <c r="L930" s="14"/>
      <c r="M930" s="14"/>
      <c r="N930" s="14"/>
      <c r="O930" s="14"/>
      <c r="P930" s="14"/>
      <c r="Q930" s="14"/>
      <c r="R930" s="14"/>
      <c r="S930" s="10"/>
      <c r="T930" s="10"/>
      <c r="U930" s="10"/>
      <c r="V930" s="10"/>
      <c r="W930" s="10"/>
      <c r="X930" s="10"/>
      <c r="Y930" s="10"/>
      <c r="Z930" s="10"/>
      <c r="AA930" s="10"/>
      <c r="AB930" s="10"/>
      <c r="AC930" s="10"/>
      <c r="AD930" s="10"/>
      <c r="AE930" s="10"/>
      <c r="AF930" s="10"/>
      <c r="AG930" s="10"/>
      <c r="AH930" s="10"/>
    </row>
    <row r="931" spans="1:34">
      <c r="A931" s="13"/>
      <c r="B931" s="14"/>
      <c r="C931" s="14"/>
      <c r="D931" s="14"/>
      <c r="E931" s="15"/>
      <c r="F931" s="14"/>
      <c r="G931" s="14"/>
      <c r="H931" s="14"/>
      <c r="I931" s="14"/>
      <c r="J931" s="14"/>
      <c r="K931" s="23"/>
      <c r="L931" s="14"/>
      <c r="M931" s="14"/>
      <c r="N931" s="14"/>
      <c r="O931" s="14"/>
      <c r="P931" s="14"/>
      <c r="Q931" s="14"/>
      <c r="R931" s="14"/>
      <c r="S931" s="10"/>
      <c r="T931" s="10"/>
      <c r="U931" s="10"/>
      <c r="V931" s="10"/>
      <c r="W931" s="10"/>
      <c r="X931" s="10"/>
      <c r="Y931" s="10"/>
      <c r="Z931" s="10"/>
      <c r="AA931" s="10"/>
      <c r="AB931" s="10"/>
      <c r="AC931" s="10"/>
      <c r="AD931" s="10"/>
      <c r="AE931" s="10"/>
      <c r="AF931" s="10"/>
      <c r="AG931" s="10"/>
      <c r="AH931" s="10"/>
    </row>
    <row r="932" spans="1:34">
      <c r="A932" s="13"/>
      <c r="B932" s="14"/>
      <c r="C932" s="14"/>
      <c r="D932" s="14"/>
      <c r="E932" s="15"/>
      <c r="F932" s="14"/>
      <c r="G932" s="14"/>
      <c r="H932" s="14"/>
      <c r="I932" s="14"/>
      <c r="J932" s="14"/>
      <c r="K932" s="23"/>
      <c r="L932" s="14"/>
      <c r="M932" s="14"/>
      <c r="N932" s="14"/>
      <c r="O932" s="14"/>
      <c r="P932" s="14"/>
      <c r="Q932" s="14"/>
      <c r="R932" s="14"/>
      <c r="S932" s="10"/>
      <c r="T932" s="10"/>
      <c r="U932" s="10"/>
      <c r="V932" s="10"/>
      <c r="W932" s="10"/>
      <c r="X932" s="10"/>
      <c r="Y932" s="10"/>
      <c r="Z932" s="10"/>
      <c r="AA932" s="10"/>
      <c r="AB932" s="10"/>
      <c r="AC932" s="10"/>
      <c r="AD932" s="10"/>
      <c r="AE932" s="10"/>
      <c r="AF932" s="10"/>
      <c r="AG932" s="10"/>
      <c r="AH932" s="10"/>
    </row>
    <row r="933" spans="1:34">
      <c r="A933" s="13"/>
      <c r="B933" s="14"/>
      <c r="C933" s="14"/>
      <c r="D933" s="14"/>
      <c r="E933" s="15"/>
      <c r="F933" s="14"/>
      <c r="G933" s="14"/>
      <c r="H933" s="14"/>
      <c r="I933" s="14"/>
      <c r="J933" s="14"/>
      <c r="K933" s="23"/>
      <c r="L933" s="14"/>
      <c r="M933" s="14"/>
      <c r="N933" s="14"/>
      <c r="O933" s="14"/>
      <c r="P933" s="14"/>
      <c r="Q933" s="14"/>
      <c r="R933" s="14"/>
      <c r="S933" s="10"/>
      <c r="T933" s="10"/>
      <c r="U933" s="10"/>
      <c r="V933" s="10"/>
      <c r="W933" s="10"/>
      <c r="X933" s="10"/>
      <c r="Y933" s="10"/>
      <c r="Z933" s="10"/>
      <c r="AA933" s="10"/>
      <c r="AB933" s="10"/>
      <c r="AC933" s="10"/>
      <c r="AD933" s="10"/>
      <c r="AE933" s="10"/>
      <c r="AF933" s="10"/>
      <c r="AG933" s="10"/>
      <c r="AH933" s="10"/>
    </row>
    <row r="934" spans="1:34">
      <c r="A934" s="13"/>
      <c r="B934" s="14"/>
      <c r="C934" s="14"/>
      <c r="D934" s="14"/>
      <c r="E934" s="15"/>
      <c r="F934" s="14"/>
      <c r="G934" s="14"/>
      <c r="H934" s="14"/>
      <c r="I934" s="14"/>
      <c r="J934" s="14"/>
      <c r="K934" s="23"/>
      <c r="L934" s="14"/>
      <c r="M934" s="14"/>
      <c r="N934" s="14"/>
      <c r="O934" s="14"/>
      <c r="P934" s="14"/>
      <c r="Q934" s="14"/>
      <c r="R934" s="14"/>
      <c r="S934" s="10"/>
      <c r="T934" s="10"/>
      <c r="U934" s="10"/>
      <c r="V934" s="10"/>
      <c r="W934" s="10"/>
      <c r="X934" s="10"/>
      <c r="Y934" s="10"/>
      <c r="Z934" s="10"/>
      <c r="AA934" s="10"/>
      <c r="AB934" s="10"/>
      <c r="AC934" s="10"/>
      <c r="AD934" s="10"/>
      <c r="AE934" s="10"/>
      <c r="AF934" s="10"/>
      <c r="AG934" s="10"/>
      <c r="AH934" s="10"/>
    </row>
    <row r="935" spans="1:34">
      <c r="A935" s="13"/>
      <c r="B935" s="14"/>
      <c r="C935" s="14"/>
      <c r="D935" s="14"/>
      <c r="E935" s="15"/>
      <c r="F935" s="14"/>
      <c r="G935" s="14"/>
      <c r="H935" s="14"/>
      <c r="I935" s="14"/>
      <c r="J935" s="14"/>
      <c r="K935" s="23"/>
      <c r="L935" s="14"/>
      <c r="M935" s="14"/>
      <c r="N935" s="14"/>
      <c r="O935" s="14"/>
      <c r="P935" s="14"/>
      <c r="Q935" s="14"/>
      <c r="R935" s="14"/>
      <c r="S935" s="10"/>
      <c r="T935" s="10"/>
      <c r="U935" s="10"/>
      <c r="V935" s="10"/>
      <c r="W935" s="10"/>
      <c r="X935" s="10"/>
      <c r="Y935" s="10"/>
      <c r="Z935" s="10"/>
      <c r="AA935" s="10"/>
      <c r="AB935" s="10"/>
      <c r="AC935" s="10"/>
      <c r="AD935" s="10"/>
      <c r="AE935" s="10"/>
      <c r="AF935" s="10"/>
      <c r="AG935" s="10"/>
      <c r="AH935" s="10"/>
    </row>
    <row r="936" spans="1:34">
      <c r="A936" s="13"/>
      <c r="B936" s="14"/>
      <c r="C936" s="14"/>
      <c r="D936" s="14"/>
      <c r="E936" s="15"/>
      <c r="F936" s="14"/>
      <c r="G936" s="14"/>
      <c r="H936" s="14"/>
      <c r="I936" s="14"/>
      <c r="J936" s="14"/>
      <c r="K936" s="23"/>
      <c r="L936" s="14"/>
      <c r="M936" s="14"/>
      <c r="N936" s="14"/>
      <c r="O936" s="14"/>
      <c r="P936" s="14"/>
      <c r="Q936" s="14"/>
      <c r="R936" s="14"/>
      <c r="S936" s="10"/>
      <c r="T936" s="10"/>
      <c r="U936" s="10"/>
      <c r="V936" s="10"/>
      <c r="W936" s="10"/>
      <c r="X936" s="10"/>
      <c r="Y936" s="10"/>
      <c r="Z936" s="10"/>
      <c r="AA936" s="10"/>
      <c r="AB936" s="10"/>
      <c r="AC936" s="10"/>
      <c r="AD936" s="10"/>
      <c r="AE936" s="10"/>
      <c r="AF936" s="10"/>
      <c r="AG936" s="10"/>
      <c r="AH936" s="10"/>
    </row>
    <row r="937" spans="1:34">
      <c r="A937" s="13"/>
      <c r="B937" s="14"/>
      <c r="C937" s="14"/>
      <c r="D937" s="14"/>
      <c r="E937" s="15"/>
      <c r="F937" s="14"/>
      <c r="G937" s="14"/>
      <c r="H937" s="14"/>
      <c r="I937" s="14"/>
      <c r="J937" s="14"/>
      <c r="K937" s="23"/>
      <c r="L937" s="14"/>
      <c r="M937" s="14"/>
      <c r="N937" s="14"/>
      <c r="O937" s="14"/>
      <c r="P937" s="14"/>
      <c r="Q937" s="14"/>
      <c r="R937" s="14"/>
      <c r="S937" s="10"/>
      <c r="T937" s="10"/>
      <c r="U937" s="10"/>
      <c r="V937" s="10"/>
      <c r="W937" s="10"/>
      <c r="X937" s="10"/>
      <c r="Y937" s="10"/>
      <c r="Z937" s="10"/>
      <c r="AA937" s="10"/>
      <c r="AB937" s="10"/>
      <c r="AC937" s="10"/>
      <c r="AD937" s="10"/>
      <c r="AE937" s="10"/>
      <c r="AF937" s="10"/>
      <c r="AG937" s="10"/>
      <c r="AH937" s="10"/>
    </row>
    <row r="938" spans="1:34">
      <c r="A938" s="13"/>
      <c r="B938" s="14"/>
      <c r="C938" s="14"/>
      <c r="D938" s="14"/>
      <c r="E938" s="15"/>
      <c r="F938" s="14"/>
      <c r="G938" s="14"/>
      <c r="H938" s="14"/>
      <c r="I938" s="14"/>
      <c r="J938" s="14"/>
      <c r="K938" s="23"/>
      <c r="L938" s="14"/>
      <c r="M938" s="14"/>
      <c r="N938" s="14"/>
      <c r="O938" s="14"/>
      <c r="P938" s="14"/>
      <c r="Q938" s="14"/>
      <c r="R938" s="14"/>
      <c r="S938" s="10"/>
      <c r="T938" s="10"/>
      <c r="U938" s="10"/>
      <c r="V938" s="10"/>
      <c r="W938" s="10"/>
      <c r="X938" s="10"/>
      <c r="Y938" s="10"/>
      <c r="Z938" s="10"/>
      <c r="AA938" s="10"/>
      <c r="AB938" s="10"/>
      <c r="AC938" s="10"/>
      <c r="AD938" s="10"/>
      <c r="AE938" s="10"/>
      <c r="AF938" s="10"/>
      <c r="AG938" s="10"/>
      <c r="AH938" s="10"/>
    </row>
    <row r="939" spans="1:34">
      <c r="A939" s="13"/>
      <c r="B939" s="14"/>
      <c r="C939" s="14"/>
      <c r="D939" s="14"/>
      <c r="E939" s="15"/>
      <c r="F939" s="14"/>
      <c r="G939" s="14"/>
      <c r="H939" s="14"/>
      <c r="I939" s="14"/>
      <c r="J939" s="14"/>
      <c r="K939" s="23"/>
      <c r="L939" s="14"/>
      <c r="M939" s="14"/>
      <c r="N939" s="14"/>
      <c r="O939" s="14"/>
      <c r="P939" s="14"/>
      <c r="Q939" s="14"/>
      <c r="R939" s="14"/>
      <c r="S939" s="10"/>
      <c r="T939" s="10"/>
      <c r="U939" s="10"/>
      <c r="V939" s="10"/>
      <c r="W939" s="10"/>
      <c r="X939" s="10"/>
      <c r="Y939" s="10"/>
      <c r="Z939" s="10"/>
      <c r="AA939" s="10"/>
      <c r="AB939" s="10"/>
      <c r="AC939" s="10"/>
      <c r="AD939" s="10"/>
      <c r="AE939" s="10"/>
      <c r="AF939" s="10"/>
      <c r="AG939" s="10"/>
      <c r="AH939" s="10"/>
    </row>
    <row r="940" spans="1:34">
      <c r="A940" s="13"/>
      <c r="B940" s="14"/>
      <c r="C940" s="14"/>
      <c r="D940" s="14"/>
      <c r="E940" s="15"/>
      <c r="F940" s="14"/>
      <c r="G940" s="14"/>
      <c r="H940" s="14"/>
      <c r="I940" s="14"/>
      <c r="J940" s="14"/>
      <c r="K940" s="23"/>
      <c r="L940" s="14"/>
      <c r="M940" s="14"/>
      <c r="N940" s="14"/>
      <c r="O940" s="14"/>
      <c r="P940" s="14"/>
      <c r="Q940" s="14"/>
      <c r="R940" s="14"/>
      <c r="S940" s="10"/>
      <c r="T940" s="10"/>
      <c r="U940" s="10"/>
      <c r="V940" s="10"/>
      <c r="W940" s="10"/>
      <c r="X940" s="10"/>
      <c r="Y940" s="10"/>
      <c r="Z940" s="10"/>
      <c r="AA940" s="10"/>
      <c r="AB940" s="10"/>
      <c r="AC940" s="10"/>
      <c r="AD940" s="10"/>
      <c r="AE940" s="10"/>
      <c r="AF940" s="10"/>
      <c r="AG940" s="10"/>
      <c r="AH940" s="10"/>
    </row>
    <row r="941" spans="1:34">
      <c r="A941" s="13"/>
      <c r="B941" s="14"/>
      <c r="C941" s="14"/>
      <c r="D941" s="14"/>
      <c r="E941" s="15"/>
      <c r="F941" s="14"/>
      <c r="G941" s="14"/>
      <c r="H941" s="14"/>
      <c r="I941" s="14"/>
      <c r="J941" s="14"/>
      <c r="K941" s="23"/>
      <c r="L941" s="14"/>
      <c r="M941" s="14"/>
      <c r="N941" s="14"/>
      <c r="O941" s="14"/>
      <c r="P941" s="14"/>
      <c r="Q941" s="14"/>
      <c r="R941" s="14"/>
      <c r="S941" s="10"/>
      <c r="T941" s="10"/>
      <c r="U941" s="10"/>
      <c r="V941" s="10"/>
      <c r="W941" s="10"/>
      <c r="X941" s="10"/>
      <c r="Y941" s="10"/>
      <c r="Z941" s="10"/>
      <c r="AA941" s="10"/>
      <c r="AB941" s="10"/>
      <c r="AC941" s="10"/>
      <c r="AD941" s="10"/>
      <c r="AE941" s="10"/>
      <c r="AF941" s="10"/>
      <c r="AG941" s="10"/>
      <c r="AH941" s="10"/>
    </row>
    <row r="942" spans="1:34">
      <c r="A942" s="13"/>
      <c r="B942" s="14"/>
      <c r="C942" s="14"/>
      <c r="D942" s="14"/>
      <c r="E942" s="15"/>
      <c r="F942" s="14"/>
      <c r="G942" s="14"/>
      <c r="H942" s="14"/>
      <c r="I942" s="14"/>
      <c r="J942" s="14"/>
      <c r="K942" s="23"/>
      <c r="L942" s="14"/>
      <c r="M942" s="14"/>
      <c r="N942" s="14"/>
      <c r="O942" s="14"/>
      <c r="P942" s="14"/>
      <c r="Q942" s="14"/>
      <c r="R942" s="14"/>
      <c r="S942" s="10"/>
      <c r="T942" s="10"/>
      <c r="U942" s="10"/>
      <c r="V942" s="10"/>
      <c r="W942" s="10"/>
      <c r="X942" s="10"/>
      <c r="Y942" s="10"/>
      <c r="Z942" s="10"/>
      <c r="AA942" s="10"/>
      <c r="AB942" s="10"/>
      <c r="AC942" s="10"/>
      <c r="AD942" s="10"/>
      <c r="AE942" s="10"/>
      <c r="AF942" s="10"/>
      <c r="AG942" s="10"/>
      <c r="AH942" s="10"/>
    </row>
    <row r="943" spans="1:34">
      <c r="A943" s="13"/>
      <c r="B943" s="14"/>
      <c r="C943" s="14"/>
      <c r="D943" s="14"/>
      <c r="E943" s="15"/>
      <c r="F943" s="14"/>
      <c r="G943" s="14"/>
      <c r="H943" s="14"/>
      <c r="I943" s="14"/>
      <c r="J943" s="14"/>
      <c r="K943" s="23"/>
      <c r="L943" s="14"/>
      <c r="M943" s="14"/>
      <c r="N943" s="14"/>
      <c r="O943" s="14"/>
      <c r="P943" s="14"/>
      <c r="Q943" s="14"/>
      <c r="R943" s="14"/>
      <c r="S943" s="10"/>
      <c r="T943" s="10"/>
      <c r="U943" s="10"/>
      <c r="V943" s="10"/>
      <c r="W943" s="10"/>
      <c r="X943" s="10"/>
      <c r="Y943" s="10"/>
      <c r="Z943" s="10"/>
      <c r="AA943" s="10"/>
      <c r="AB943" s="10"/>
      <c r="AC943" s="10"/>
      <c r="AD943" s="10"/>
      <c r="AE943" s="10"/>
      <c r="AF943" s="10"/>
      <c r="AG943" s="10"/>
      <c r="AH943" s="10"/>
    </row>
    <row r="944" spans="1:34">
      <c r="A944" s="13"/>
      <c r="B944" s="14"/>
      <c r="C944" s="14"/>
      <c r="D944" s="14"/>
      <c r="E944" s="15"/>
      <c r="F944" s="14"/>
      <c r="G944" s="14"/>
      <c r="H944" s="14"/>
      <c r="I944" s="14"/>
      <c r="J944" s="14"/>
      <c r="K944" s="23"/>
      <c r="L944" s="14"/>
      <c r="M944" s="14"/>
      <c r="N944" s="14"/>
      <c r="O944" s="14"/>
      <c r="P944" s="14"/>
      <c r="Q944" s="14"/>
      <c r="R944" s="14"/>
      <c r="S944" s="10"/>
      <c r="T944" s="10"/>
      <c r="U944" s="10"/>
      <c r="V944" s="10"/>
      <c r="W944" s="10"/>
      <c r="X944" s="10"/>
      <c r="Y944" s="10"/>
      <c r="Z944" s="10"/>
      <c r="AA944" s="10"/>
      <c r="AB944" s="10"/>
      <c r="AC944" s="10"/>
      <c r="AD944" s="10"/>
      <c r="AE944" s="10"/>
      <c r="AF944" s="10"/>
      <c r="AG944" s="10"/>
      <c r="AH944" s="10"/>
    </row>
    <row r="945" spans="1:34">
      <c r="A945" s="13"/>
      <c r="B945" s="14"/>
      <c r="C945" s="14"/>
      <c r="D945" s="14"/>
      <c r="E945" s="15"/>
      <c r="F945" s="14"/>
      <c r="G945" s="14"/>
      <c r="H945" s="14"/>
      <c r="I945" s="14"/>
      <c r="J945" s="14"/>
      <c r="K945" s="23"/>
      <c r="L945" s="14"/>
      <c r="M945" s="14"/>
      <c r="N945" s="14"/>
      <c r="O945" s="14"/>
      <c r="P945" s="14"/>
      <c r="Q945" s="14"/>
      <c r="R945" s="14"/>
      <c r="S945" s="10"/>
      <c r="T945" s="10"/>
      <c r="U945" s="10"/>
      <c r="V945" s="10"/>
      <c r="W945" s="10"/>
      <c r="X945" s="10"/>
      <c r="Y945" s="10"/>
      <c r="Z945" s="10"/>
      <c r="AA945" s="10"/>
      <c r="AB945" s="10"/>
      <c r="AC945" s="10"/>
      <c r="AD945" s="10"/>
      <c r="AE945" s="10"/>
      <c r="AF945" s="10"/>
      <c r="AG945" s="10"/>
      <c r="AH945" s="10"/>
    </row>
    <row r="946" spans="1:34">
      <c r="A946" s="13"/>
      <c r="B946" s="14"/>
      <c r="C946" s="14"/>
      <c r="D946" s="14"/>
      <c r="E946" s="15"/>
      <c r="F946" s="14"/>
      <c r="G946" s="14"/>
      <c r="H946" s="14"/>
      <c r="I946" s="14"/>
      <c r="J946" s="14"/>
      <c r="K946" s="23"/>
      <c r="L946" s="14"/>
      <c r="M946" s="14"/>
      <c r="N946" s="14"/>
      <c r="O946" s="14"/>
      <c r="P946" s="14"/>
      <c r="Q946" s="14"/>
      <c r="R946" s="14"/>
      <c r="S946" s="10"/>
      <c r="T946" s="10"/>
      <c r="U946" s="10"/>
      <c r="V946" s="10"/>
      <c r="W946" s="10"/>
      <c r="X946" s="10"/>
      <c r="Y946" s="10"/>
      <c r="Z946" s="10"/>
      <c r="AA946" s="10"/>
      <c r="AB946" s="10"/>
      <c r="AC946" s="10"/>
      <c r="AD946" s="10"/>
      <c r="AE946" s="10"/>
      <c r="AF946" s="10"/>
      <c r="AG946" s="10"/>
      <c r="AH946" s="10"/>
    </row>
    <row r="947" spans="1:34">
      <c r="A947" s="13"/>
      <c r="B947" s="14"/>
      <c r="C947" s="14"/>
      <c r="D947" s="14"/>
      <c r="E947" s="15"/>
      <c r="F947" s="14"/>
      <c r="G947" s="14"/>
      <c r="H947" s="14"/>
      <c r="I947" s="14"/>
      <c r="J947" s="14"/>
      <c r="K947" s="23"/>
      <c r="L947" s="14"/>
      <c r="M947" s="14"/>
      <c r="N947" s="14"/>
      <c r="O947" s="14"/>
      <c r="P947" s="14"/>
      <c r="Q947" s="14"/>
      <c r="R947" s="14"/>
      <c r="S947" s="10"/>
      <c r="T947" s="10"/>
      <c r="U947" s="10"/>
      <c r="V947" s="10"/>
      <c r="W947" s="10"/>
      <c r="X947" s="10"/>
      <c r="Y947" s="10"/>
      <c r="Z947" s="10"/>
      <c r="AA947" s="10"/>
      <c r="AB947" s="10"/>
      <c r="AC947" s="10"/>
      <c r="AD947" s="10"/>
      <c r="AE947" s="10"/>
      <c r="AF947" s="10"/>
      <c r="AG947" s="10"/>
      <c r="AH947" s="10"/>
    </row>
    <row r="948" spans="1:34">
      <c r="A948" s="13"/>
      <c r="B948" s="14"/>
      <c r="C948" s="14"/>
      <c r="D948" s="14"/>
      <c r="E948" s="15"/>
      <c r="F948" s="14"/>
      <c r="G948" s="14"/>
      <c r="H948" s="14"/>
      <c r="I948" s="14"/>
      <c r="J948" s="14"/>
      <c r="K948" s="23"/>
      <c r="L948" s="14"/>
      <c r="M948" s="14"/>
      <c r="N948" s="14"/>
      <c r="O948" s="14"/>
      <c r="P948" s="14"/>
      <c r="Q948" s="14"/>
      <c r="R948" s="14"/>
      <c r="S948" s="10"/>
      <c r="T948" s="10"/>
      <c r="U948" s="10"/>
      <c r="V948" s="10"/>
      <c r="W948" s="10"/>
      <c r="X948" s="10"/>
      <c r="Y948" s="10"/>
      <c r="Z948" s="10"/>
      <c r="AA948" s="10"/>
      <c r="AB948" s="10"/>
      <c r="AC948" s="10"/>
      <c r="AD948" s="10"/>
      <c r="AE948" s="10"/>
      <c r="AF948" s="10"/>
      <c r="AG948" s="10"/>
      <c r="AH948" s="10"/>
    </row>
    <row r="949" spans="1:34">
      <c r="A949" s="13"/>
      <c r="B949" s="14"/>
      <c r="C949" s="14"/>
      <c r="D949" s="14"/>
      <c r="E949" s="15"/>
      <c r="F949" s="14"/>
      <c r="G949" s="14"/>
      <c r="H949" s="14"/>
      <c r="I949" s="14"/>
      <c r="J949" s="14"/>
      <c r="K949" s="23"/>
      <c r="L949" s="14"/>
      <c r="M949" s="14"/>
      <c r="N949" s="14"/>
      <c r="O949" s="14"/>
      <c r="P949" s="14"/>
      <c r="Q949" s="14"/>
      <c r="R949" s="14"/>
      <c r="S949" s="10"/>
      <c r="T949" s="10"/>
      <c r="U949" s="10"/>
      <c r="V949" s="10"/>
      <c r="W949" s="10"/>
      <c r="X949" s="10"/>
      <c r="Y949" s="10"/>
      <c r="Z949" s="10"/>
      <c r="AA949" s="10"/>
      <c r="AB949" s="10"/>
      <c r="AC949" s="10"/>
      <c r="AD949" s="10"/>
      <c r="AE949" s="10"/>
      <c r="AF949" s="10"/>
      <c r="AG949" s="10"/>
      <c r="AH949" s="10"/>
    </row>
    <row r="950" spans="1:34">
      <c r="A950" s="13"/>
      <c r="B950" s="14"/>
      <c r="C950" s="14"/>
      <c r="D950" s="14"/>
      <c r="E950" s="15"/>
      <c r="F950" s="14"/>
      <c r="G950" s="14"/>
      <c r="H950" s="14"/>
      <c r="I950" s="14"/>
      <c r="J950" s="14"/>
      <c r="K950" s="23"/>
      <c r="L950" s="14"/>
      <c r="M950" s="14"/>
      <c r="N950" s="14"/>
      <c r="O950" s="14"/>
      <c r="P950" s="14"/>
      <c r="Q950" s="14"/>
      <c r="R950" s="14"/>
      <c r="S950" s="10"/>
      <c r="T950" s="10"/>
      <c r="U950" s="10"/>
      <c r="V950" s="10"/>
      <c r="W950" s="10"/>
      <c r="X950" s="10"/>
      <c r="Y950" s="10"/>
      <c r="Z950" s="10"/>
      <c r="AA950" s="10"/>
      <c r="AB950" s="10"/>
      <c r="AC950" s="10"/>
      <c r="AD950" s="10"/>
      <c r="AE950" s="10"/>
      <c r="AF950" s="10"/>
      <c r="AG950" s="10"/>
      <c r="AH950" s="10"/>
    </row>
    <row r="951" spans="1:34">
      <c r="A951" s="13"/>
      <c r="B951" s="14"/>
      <c r="C951" s="14"/>
      <c r="D951" s="14"/>
      <c r="E951" s="15"/>
      <c r="F951" s="14"/>
      <c r="G951" s="14"/>
      <c r="H951" s="14"/>
      <c r="I951" s="14"/>
      <c r="J951" s="14"/>
      <c r="K951" s="23"/>
      <c r="L951" s="14"/>
      <c r="M951" s="14"/>
      <c r="N951" s="14"/>
      <c r="O951" s="14"/>
      <c r="P951" s="14"/>
      <c r="Q951" s="14"/>
      <c r="R951" s="14"/>
      <c r="S951" s="10"/>
      <c r="T951" s="10"/>
      <c r="U951" s="10"/>
      <c r="V951" s="10"/>
      <c r="W951" s="10"/>
      <c r="X951" s="10"/>
      <c r="Y951" s="10"/>
      <c r="Z951" s="10"/>
      <c r="AA951" s="10"/>
      <c r="AB951" s="10"/>
      <c r="AC951" s="10"/>
      <c r="AD951" s="10"/>
      <c r="AE951" s="10"/>
      <c r="AF951" s="10"/>
      <c r="AG951" s="10"/>
      <c r="AH951" s="10"/>
    </row>
    <row r="952" spans="1:34">
      <c r="A952" s="13"/>
      <c r="B952" s="14"/>
      <c r="C952" s="14"/>
      <c r="D952" s="14"/>
      <c r="E952" s="15"/>
      <c r="F952" s="14"/>
      <c r="G952" s="14"/>
      <c r="H952" s="14"/>
      <c r="I952" s="14"/>
      <c r="J952" s="14"/>
      <c r="K952" s="23"/>
      <c r="L952" s="14"/>
      <c r="M952" s="14"/>
      <c r="N952" s="14"/>
      <c r="O952" s="14"/>
      <c r="P952" s="14"/>
      <c r="Q952" s="14"/>
      <c r="R952" s="14"/>
      <c r="S952" s="10"/>
      <c r="T952" s="10"/>
      <c r="U952" s="10"/>
      <c r="V952" s="10"/>
      <c r="W952" s="10"/>
      <c r="X952" s="10"/>
      <c r="Y952" s="10"/>
      <c r="Z952" s="10"/>
      <c r="AA952" s="10"/>
      <c r="AB952" s="10"/>
      <c r="AC952" s="10"/>
      <c r="AD952" s="10"/>
      <c r="AE952" s="10"/>
      <c r="AF952" s="10"/>
      <c r="AG952" s="10"/>
      <c r="AH952" s="10"/>
    </row>
    <row r="953" spans="1:34">
      <c r="A953" s="13"/>
      <c r="B953" s="14"/>
      <c r="C953" s="14"/>
      <c r="D953" s="14"/>
      <c r="E953" s="15"/>
      <c r="F953" s="14"/>
      <c r="G953" s="14"/>
      <c r="H953" s="14"/>
      <c r="I953" s="14"/>
      <c r="J953" s="14"/>
      <c r="K953" s="23"/>
      <c r="L953" s="14"/>
      <c r="M953" s="14"/>
      <c r="N953" s="14"/>
      <c r="O953" s="14"/>
      <c r="P953" s="14"/>
      <c r="Q953" s="14"/>
      <c r="R953" s="14"/>
      <c r="S953" s="10"/>
      <c r="T953" s="10"/>
      <c r="U953" s="10"/>
      <c r="V953" s="10"/>
      <c r="W953" s="10"/>
      <c r="X953" s="10"/>
      <c r="Y953" s="10"/>
      <c r="Z953" s="10"/>
      <c r="AA953" s="10"/>
      <c r="AB953" s="10"/>
      <c r="AC953" s="10"/>
      <c r="AD953" s="10"/>
      <c r="AE953" s="10"/>
      <c r="AF953" s="10"/>
      <c r="AG953" s="10"/>
      <c r="AH953" s="10"/>
    </row>
    <row r="954" spans="1:34">
      <c r="A954" s="13"/>
      <c r="B954" s="14"/>
      <c r="C954" s="14"/>
      <c r="D954" s="14"/>
      <c r="E954" s="15"/>
      <c r="F954" s="14"/>
      <c r="G954" s="14"/>
      <c r="H954" s="14"/>
      <c r="I954" s="14"/>
      <c r="J954" s="14"/>
      <c r="K954" s="23"/>
      <c r="L954" s="14"/>
      <c r="M954" s="14"/>
      <c r="N954" s="14"/>
      <c r="O954" s="14"/>
      <c r="P954" s="14"/>
      <c r="Q954" s="14"/>
      <c r="R954" s="14"/>
      <c r="S954" s="10"/>
      <c r="T954" s="10"/>
      <c r="U954" s="10"/>
      <c r="V954" s="10"/>
      <c r="W954" s="10"/>
      <c r="X954" s="10"/>
      <c r="Y954" s="10"/>
      <c r="Z954" s="10"/>
      <c r="AA954" s="10"/>
      <c r="AB954" s="10"/>
      <c r="AC954" s="10"/>
      <c r="AD954" s="10"/>
      <c r="AE954" s="10"/>
      <c r="AF954" s="10"/>
      <c r="AG954" s="10"/>
      <c r="AH954" s="10"/>
    </row>
    <row r="955" spans="1:34">
      <c r="A955" s="13"/>
      <c r="B955" s="14"/>
      <c r="C955" s="14"/>
      <c r="D955" s="14"/>
      <c r="E955" s="15"/>
      <c r="F955" s="14"/>
      <c r="G955" s="14"/>
      <c r="H955" s="14"/>
      <c r="I955" s="14"/>
      <c r="J955" s="14"/>
      <c r="K955" s="23"/>
      <c r="L955" s="14"/>
      <c r="M955" s="14"/>
      <c r="N955" s="14"/>
      <c r="O955" s="14"/>
      <c r="P955" s="14"/>
      <c r="Q955" s="14"/>
      <c r="R955" s="14"/>
      <c r="S955" s="10"/>
      <c r="T955" s="10"/>
      <c r="U955" s="10"/>
      <c r="V955" s="10"/>
      <c r="W955" s="10"/>
      <c r="X955" s="10"/>
      <c r="Y955" s="10"/>
      <c r="Z955" s="10"/>
      <c r="AA955" s="10"/>
      <c r="AB955" s="10"/>
      <c r="AC955" s="10"/>
      <c r="AD955" s="10"/>
      <c r="AE955" s="10"/>
      <c r="AF955" s="10"/>
      <c r="AG955" s="10"/>
      <c r="AH955" s="10"/>
    </row>
    <row r="956" spans="1:34">
      <c r="A956" s="13"/>
      <c r="B956" s="14"/>
      <c r="C956" s="14"/>
      <c r="D956" s="14"/>
      <c r="E956" s="15"/>
      <c r="F956" s="14"/>
      <c r="G956" s="14"/>
      <c r="H956" s="14"/>
      <c r="I956" s="14"/>
      <c r="J956" s="14"/>
      <c r="K956" s="23"/>
      <c r="L956" s="14"/>
      <c r="M956" s="14"/>
      <c r="N956" s="14"/>
      <c r="O956" s="14"/>
      <c r="P956" s="14"/>
      <c r="Q956" s="14"/>
      <c r="R956" s="14"/>
      <c r="S956" s="10"/>
      <c r="T956" s="10"/>
      <c r="U956" s="10"/>
      <c r="V956" s="10"/>
      <c r="W956" s="10"/>
      <c r="X956" s="10"/>
      <c r="Y956" s="10"/>
      <c r="Z956" s="10"/>
      <c r="AA956" s="10"/>
      <c r="AB956" s="10"/>
      <c r="AC956" s="10"/>
      <c r="AD956" s="10"/>
      <c r="AE956" s="10"/>
      <c r="AF956" s="10"/>
      <c r="AG956" s="10"/>
      <c r="AH956" s="10"/>
    </row>
    <row r="957" spans="1:34">
      <c r="A957" s="13"/>
      <c r="B957" s="14"/>
      <c r="C957" s="14"/>
      <c r="D957" s="14"/>
      <c r="E957" s="15"/>
      <c r="F957" s="14"/>
      <c r="G957" s="14"/>
      <c r="H957" s="14"/>
      <c r="I957" s="14"/>
      <c r="J957" s="14"/>
      <c r="K957" s="23"/>
      <c r="L957" s="14"/>
      <c r="M957" s="14"/>
      <c r="N957" s="14"/>
      <c r="O957" s="14"/>
      <c r="P957" s="14"/>
      <c r="Q957" s="14"/>
      <c r="R957" s="14"/>
      <c r="S957" s="10"/>
      <c r="T957" s="10"/>
      <c r="U957" s="10"/>
      <c r="V957" s="10"/>
      <c r="W957" s="10"/>
      <c r="X957" s="10"/>
      <c r="Y957" s="10"/>
      <c r="Z957" s="10"/>
      <c r="AA957" s="10"/>
      <c r="AB957" s="10"/>
      <c r="AC957" s="10"/>
      <c r="AD957" s="10"/>
      <c r="AE957" s="10"/>
      <c r="AF957" s="10"/>
      <c r="AG957" s="10"/>
      <c r="AH957" s="10"/>
    </row>
    <row r="958" spans="1:34">
      <c r="A958" s="13"/>
      <c r="B958" s="14"/>
      <c r="C958" s="14"/>
      <c r="D958" s="14"/>
      <c r="E958" s="15"/>
      <c r="F958" s="14"/>
      <c r="G958" s="14"/>
      <c r="H958" s="14"/>
      <c r="I958" s="14"/>
      <c r="J958" s="14"/>
      <c r="K958" s="23"/>
      <c r="L958" s="14"/>
      <c r="M958" s="14"/>
      <c r="N958" s="14"/>
      <c r="O958" s="14"/>
      <c r="P958" s="14"/>
      <c r="Q958" s="14"/>
      <c r="R958" s="14"/>
      <c r="S958" s="10"/>
      <c r="T958" s="10"/>
      <c r="U958" s="10"/>
      <c r="V958" s="10"/>
      <c r="W958" s="10"/>
      <c r="X958" s="10"/>
      <c r="Y958" s="10"/>
      <c r="Z958" s="10"/>
      <c r="AA958" s="10"/>
      <c r="AB958" s="10"/>
      <c r="AC958" s="10"/>
      <c r="AD958" s="10"/>
      <c r="AE958" s="10"/>
      <c r="AF958" s="10"/>
      <c r="AG958" s="10"/>
      <c r="AH958" s="10"/>
    </row>
    <row r="959" spans="1:34">
      <c r="A959" s="13"/>
      <c r="B959" s="14"/>
      <c r="C959" s="14"/>
      <c r="D959" s="14"/>
      <c r="E959" s="15"/>
      <c r="F959" s="14"/>
      <c r="G959" s="14"/>
      <c r="H959" s="14"/>
      <c r="I959" s="14"/>
      <c r="J959" s="14"/>
      <c r="K959" s="23"/>
      <c r="L959" s="14"/>
      <c r="M959" s="14"/>
      <c r="N959" s="14"/>
      <c r="O959" s="14"/>
      <c r="P959" s="14"/>
      <c r="Q959" s="14"/>
      <c r="R959" s="14"/>
      <c r="S959" s="10"/>
      <c r="T959" s="10"/>
      <c r="U959" s="10"/>
      <c r="V959" s="10"/>
      <c r="W959" s="10"/>
      <c r="X959" s="10"/>
      <c r="Y959" s="10"/>
      <c r="Z959" s="10"/>
      <c r="AA959" s="10"/>
      <c r="AB959" s="10"/>
      <c r="AC959" s="10"/>
      <c r="AD959" s="10"/>
      <c r="AE959" s="10"/>
      <c r="AF959" s="10"/>
      <c r="AG959" s="10"/>
      <c r="AH959" s="10"/>
    </row>
    <row r="960" spans="1:34">
      <c r="A960" s="13"/>
      <c r="B960" s="14"/>
      <c r="C960" s="14"/>
      <c r="D960" s="14"/>
      <c r="E960" s="15"/>
      <c r="F960" s="14"/>
      <c r="G960" s="14"/>
      <c r="H960" s="14"/>
      <c r="I960" s="14"/>
      <c r="J960" s="14"/>
      <c r="K960" s="23"/>
      <c r="L960" s="14"/>
      <c r="M960" s="14"/>
      <c r="N960" s="14"/>
      <c r="O960" s="14"/>
      <c r="P960" s="14"/>
      <c r="Q960" s="14"/>
      <c r="R960" s="14"/>
      <c r="S960" s="10"/>
      <c r="T960" s="10"/>
      <c r="U960" s="10"/>
      <c r="V960" s="10"/>
      <c r="W960" s="10"/>
      <c r="X960" s="10"/>
      <c r="Y960" s="10"/>
      <c r="Z960" s="10"/>
      <c r="AA960" s="10"/>
      <c r="AB960" s="10"/>
      <c r="AC960" s="10"/>
      <c r="AD960" s="10"/>
      <c r="AE960" s="10"/>
      <c r="AF960" s="10"/>
      <c r="AG960" s="10"/>
      <c r="AH960" s="10"/>
    </row>
    <row r="961" spans="1:34">
      <c r="A961" s="13"/>
      <c r="B961" s="14"/>
      <c r="C961" s="14"/>
      <c r="D961" s="14"/>
      <c r="E961" s="15"/>
      <c r="F961" s="14"/>
      <c r="G961" s="14"/>
      <c r="H961" s="14"/>
      <c r="I961" s="14"/>
      <c r="J961" s="14"/>
      <c r="K961" s="23"/>
      <c r="L961" s="14"/>
      <c r="M961" s="14"/>
      <c r="N961" s="14"/>
      <c r="O961" s="14"/>
      <c r="P961" s="14"/>
      <c r="Q961" s="14"/>
      <c r="R961" s="14"/>
      <c r="S961" s="10"/>
      <c r="T961" s="10"/>
      <c r="U961" s="10"/>
      <c r="V961" s="10"/>
      <c r="W961" s="10"/>
      <c r="X961" s="10"/>
      <c r="Y961" s="10"/>
      <c r="Z961" s="10"/>
      <c r="AA961" s="10"/>
      <c r="AB961" s="10"/>
      <c r="AC961" s="10"/>
      <c r="AD961" s="10"/>
      <c r="AE961" s="10"/>
      <c r="AF961" s="10"/>
      <c r="AG961" s="10"/>
      <c r="AH961" s="10"/>
    </row>
    <row r="962" spans="1:34">
      <c r="A962" s="13"/>
      <c r="B962" s="14"/>
      <c r="C962" s="14"/>
      <c r="D962" s="14"/>
      <c r="E962" s="15"/>
      <c r="F962" s="14"/>
      <c r="G962" s="14"/>
      <c r="H962" s="14"/>
      <c r="I962" s="14"/>
      <c r="J962" s="14"/>
      <c r="K962" s="23"/>
      <c r="L962" s="14"/>
      <c r="M962" s="14"/>
      <c r="N962" s="14"/>
      <c r="O962" s="14"/>
      <c r="P962" s="14"/>
      <c r="Q962" s="14"/>
      <c r="R962" s="14"/>
      <c r="S962" s="10"/>
      <c r="T962" s="10"/>
      <c r="U962" s="10"/>
      <c r="V962" s="10"/>
      <c r="W962" s="10"/>
      <c r="X962" s="10"/>
      <c r="Y962" s="10"/>
      <c r="Z962" s="10"/>
      <c r="AA962" s="10"/>
      <c r="AB962" s="10"/>
      <c r="AC962" s="10"/>
      <c r="AD962" s="10"/>
      <c r="AE962" s="10"/>
      <c r="AF962" s="10"/>
      <c r="AG962" s="10"/>
      <c r="AH962" s="10"/>
    </row>
    <row r="963" spans="1:34">
      <c r="A963" s="13"/>
      <c r="B963" s="14"/>
      <c r="C963" s="14"/>
      <c r="D963" s="14"/>
      <c r="E963" s="15"/>
      <c r="F963" s="14"/>
      <c r="G963" s="14"/>
      <c r="H963" s="14"/>
      <c r="I963" s="14"/>
      <c r="J963" s="14"/>
      <c r="K963" s="23"/>
      <c r="L963" s="14"/>
      <c r="M963" s="14"/>
      <c r="N963" s="14"/>
      <c r="O963" s="14"/>
      <c r="P963" s="14"/>
      <c r="Q963" s="14"/>
      <c r="R963" s="14"/>
      <c r="S963" s="10"/>
      <c r="T963" s="10"/>
      <c r="U963" s="10"/>
      <c r="V963" s="10"/>
      <c r="W963" s="10"/>
      <c r="X963" s="10"/>
      <c r="Y963" s="10"/>
      <c r="Z963" s="10"/>
      <c r="AA963" s="10"/>
      <c r="AB963" s="10"/>
      <c r="AC963" s="10"/>
      <c r="AD963" s="10"/>
      <c r="AE963" s="10"/>
      <c r="AF963" s="10"/>
      <c r="AG963" s="10"/>
      <c r="AH963" s="10"/>
    </row>
    <row r="964" spans="1:34">
      <c r="A964" s="13"/>
      <c r="B964" s="14"/>
      <c r="C964" s="14"/>
      <c r="D964" s="14"/>
      <c r="E964" s="15"/>
      <c r="F964" s="14"/>
      <c r="G964" s="14"/>
      <c r="H964" s="14"/>
      <c r="I964" s="14"/>
      <c r="J964" s="14"/>
      <c r="K964" s="23"/>
      <c r="L964" s="14"/>
      <c r="M964" s="14"/>
      <c r="N964" s="14"/>
      <c r="O964" s="14"/>
      <c r="P964" s="14"/>
      <c r="Q964" s="14"/>
      <c r="R964" s="14"/>
      <c r="S964" s="10"/>
      <c r="T964" s="10"/>
      <c r="U964" s="10"/>
      <c r="V964" s="10"/>
      <c r="W964" s="10"/>
      <c r="X964" s="10"/>
      <c r="Y964" s="10"/>
      <c r="Z964" s="10"/>
      <c r="AA964" s="10"/>
      <c r="AB964" s="10"/>
      <c r="AC964" s="10"/>
      <c r="AD964" s="10"/>
      <c r="AE964" s="10"/>
      <c r="AF964" s="10"/>
      <c r="AG964" s="10"/>
      <c r="AH964" s="10"/>
    </row>
    <row r="965" spans="1:34">
      <c r="A965" s="13"/>
      <c r="B965" s="14"/>
      <c r="C965" s="14"/>
      <c r="D965" s="14"/>
      <c r="E965" s="15"/>
      <c r="F965" s="14"/>
      <c r="G965" s="14"/>
      <c r="H965" s="14"/>
      <c r="I965" s="14"/>
      <c r="J965" s="14"/>
      <c r="K965" s="23"/>
      <c r="L965" s="14"/>
      <c r="M965" s="14"/>
      <c r="N965" s="14"/>
      <c r="O965" s="14"/>
      <c r="P965" s="14"/>
      <c r="Q965" s="14"/>
      <c r="R965" s="14"/>
      <c r="S965" s="10"/>
      <c r="T965" s="10"/>
      <c r="U965" s="10"/>
      <c r="V965" s="10"/>
      <c r="W965" s="10"/>
      <c r="X965" s="10"/>
      <c r="Y965" s="10"/>
      <c r="Z965" s="10"/>
      <c r="AA965" s="10"/>
      <c r="AB965" s="10"/>
      <c r="AC965" s="10"/>
      <c r="AD965" s="10"/>
      <c r="AE965" s="10"/>
      <c r="AF965" s="10"/>
      <c r="AG965" s="10"/>
      <c r="AH965" s="10"/>
    </row>
    <row r="966" spans="1:34">
      <c r="A966" s="13"/>
      <c r="B966" s="14"/>
      <c r="C966" s="14"/>
      <c r="D966" s="14"/>
      <c r="E966" s="15"/>
      <c r="F966" s="14"/>
      <c r="G966" s="14"/>
      <c r="H966" s="14"/>
      <c r="I966" s="14"/>
      <c r="J966" s="14"/>
      <c r="K966" s="23"/>
      <c r="L966" s="14"/>
      <c r="M966" s="14"/>
      <c r="N966" s="14"/>
      <c r="O966" s="14"/>
      <c r="P966" s="14"/>
      <c r="Q966" s="14"/>
      <c r="R966" s="14"/>
      <c r="S966" s="10"/>
      <c r="T966" s="10"/>
      <c r="U966" s="10"/>
      <c r="V966" s="10"/>
      <c r="W966" s="10"/>
      <c r="X966" s="10"/>
      <c r="Y966" s="10"/>
      <c r="Z966" s="10"/>
      <c r="AA966" s="10"/>
      <c r="AB966" s="10"/>
      <c r="AC966" s="10"/>
      <c r="AD966" s="10"/>
      <c r="AE966" s="10"/>
      <c r="AF966" s="10"/>
      <c r="AG966" s="10"/>
      <c r="AH966" s="10"/>
    </row>
    <row r="967" spans="1:34">
      <c r="A967" s="13"/>
      <c r="B967" s="14"/>
      <c r="C967" s="14"/>
      <c r="D967" s="14"/>
      <c r="E967" s="15"/>
      <c r="F967" s="14"/>
      <c r="G967" s="14"/>
      <c r="H967" s="14"/>
      <c r="I967" s="14"/>
      <c r="J967" s="14"/>
      <c r="K967" s="23"/>
      <c r="L967" s="14"/>
      <c r="M967" s="14"/>
      <c r="N967" s="14"/>
      <c r="O967" s="14"/>
      <c r="P967" s="14"/>
      <c r="Q967" s="14"/>
      <c r="R967" s="14"/>
      <c r="S967" s="10"/>
      <c r="T967" s="10"/>
      <c r="U967" s="10"/>
      <c r="V967" s="10"/>
      <c r="W967" s="10"/>
      <c r="X967" s="10"/>
      <c r="Y967" s="10"/>
      <c r="Z967" s="10"/>
      <c r="AA967" s="10"/>
      <c r="AB967" s="10"/>
      <c r="AC967" s="10"/>
      <c r="AD967" s="10"/>
      <c r="AE967" s="10"/>
      <c r="AF967" s="10"/>
      <c r="AG967" s="10"/>
      <c r="AH967" s="10"/>
    </row>
    <row r="968" spans="1:34">
      <c r="A968" s="13"/>
      <c r="B968" s="14"/>
      <c r="C968" s="14"/>
      <c r="D968" s="14"/>
      <c r="E968" s="15"/>
      <c r="F968" s="14"/>
      <c r="G968" s="14"/>
      <c r="H968" s="14"/>
      <c r="I968" s="14"/>
      <c r="J968" s="14"/>
      <c r="K968" s="23"/>
      <c r="L968" s="14"/>
      <c r="M968" s="14"/>
      <c r="N968" s="14"/>
      <c r="O968" s="14"/>
      <c r="P968" s="14"/>
      <c r="Q968" s="14"/>
      <c r="R968" s="14"/>
      <c r="S968" s="10"/>
      <c r="T968" s="10"/>
      <c r="U968" s="10"/>
      <c r="V968" s="10"/>
      <c r="W968" s="10"/>
      <c r="X968" s="10"/>
      <c r="Y968" s="10"/>
      <c r="Z968" s="10"/>
      <c r="AA968" s="10"/>
      <c r="AB968" s="10"/>
      <c r="AC968" s="10"/>
      <c r="AD968" s="10"/>
      <c r="AE968" s="10"/>
      <c r="AF968" s="10"/>
      <c r="AG968" s="10"/>
      <c r="AH968" s="10"/>
    </row>
    <row r="969" spans="1:34">
      <c r="A969" s="13"/>
      <c r="B969" s="14"/>
      <c r="C969" s="14"/>
      <c r="D969" s="14"/>
      <c r="E969" s="15"/>
      <c r="F969" s="14"/>
      <c r="G969" s="14"/>
      <c r="H969" s="14"/>
      <c r="I969" s="14"/>
      <c r="J969" s="14"/>
      <c r="K969" s="23"/>
      <c r="L969" s="14"/>
      <c r="M969" s="14"/>
      <c r="N969" s="14"/>
      <c r="O969" s="14"/>
      <c r="P969" s="14"/>
      <c r="Q969" s="14"/>
      <c r="R969" s="14"/>
      <c r="S969" s="10"/>
      <c r="T969" s="10"/>
      <c r="U969" s="10"/>
      <c r="V969" s="10"/>
      <c r="W969" s="10"/>
      <c r="X969" s="10"/>
      <c r="Y969" s="10"/>
      <c r="Z969" s="10"/>
      <c r="AA969" s="10"/>
      <c r="AB969" s="10"/>
      <c r="AC969" s="10"/>
      <c r="AD969" s="10"/>
      <c r="AE969" s="10"/>
      <c r="AF969" s="10"/>
      <c r="AG969" s="10"/>
      <c r="AH969" s="10"/>
    </row>
    <row r="970" spans="1:34">
      <c r="A970" s="13"/>
      <c r="B970" s="14"/>
      <c r="C970" s="14"/>
      <c r="D970" s="14"/>
      <c r="E970" s="15"/>
      <c r="F970" s="14"/>
      <c r="G970" s="14"/>
      <c r="H970" s="14"/>
      <c r="I970" s="14"/>
      <c r="J970" s="14"/>
      <c r="K970" s="23"/>
      <c r="L970" s="14"/>
      <c r="M970" s="14"/>
      <c r="N970" s="14"/>
      <c r="O970" s="14"/>
      <c r="P970" s="14"/>
      <c r="Q970" s="14"/>
      <c r="R970" s="14"/>
      <c r="S970" s="10"/>
      <c r="T970" s="10"/>
      <c r="U970" s="10"/>
      <c r="V970" s="10"/>
      <c r="W970" s="10"/>
      <c r="X970" s="10"/>
      <c r="Y970" s="10"/>
      <c r="Z970" s="10"/>
      <c r="AA970" s="10"/>
      <c r="AB970" s="10"/>
      <c r="AC970" s="10"/>
      <c r="AD970" s="10"/>
      <c r="AE970" s="10"/>
      <c r="AF970" s="10"/>
      <c r="AG970" s="10"/>
      <c r="AH970" s="10"/>
    </row>
    <row r="971" spans="1:34">
      <c r="A971" s="13"/>
      <c r="B971" s="14"/>
      <c r="C971" s="14"/>
      <c r="D971" s="14"/>
      <c r="E971" s="15"/>
      <c r="F971" s="14"/>
      <c r="G971" s="14"/>
      <c r="H971" s="14"/>
      <c r="I971" s="14"/>
      <c r="J971" s="14"/>
      <c r="K971" s="23"/>
      <c r="L971" s="14"/>
      <c r="M971" s="14"/>
      <c r="N971" s="14"/>
      <c r="O971" s="14"/>
      <c r="P971" s="14"/>
      <c r="Q971" s="14"/>
      <c r="R971" s="14"/>
      <c r="S971" s="10"/>
      <c r="T971" s="10"/>
      <c r="U971" s="10"/>
      <c r="V971" s="10"/>
      <c r="W971" s="10"/>
      <c r="X971" s="10"/>
      <c r="Y971" s="10"/>
      <c r="Z971" s="10"/>
      <c r="AA971" s="10"/>
      <c r="AB971" s="10"/>
      <c r="AC971" s="10"/>
      <c r="AD971" s="10"/>
      <c r="AE971" s="10"/>
      <c r="AF971" s="10"/>
      <c r="AG971" s="10"/>
      <c r="AH971" s="10"/>
    </row>
    <row r="972" spans="1:34">
      <c r="A972" s="13"/>
      <c r="B972" s="14"/>
      <c r="C972" s="14"/>
      <c r="D972" s="14"/>
      <c r="E972" s="15"/>
      <c r="F972" s="14"/>
      <c r="G972" s="14"/>
      <c r="H972" s="14"/>
      <c r="I972" s="14"/>
      <c r="J972" s="14"/>
      <c r="K972" s="23"/>
      <c r="L972" s="14"/>
      <c r="M972" s="14"/>
      <c r="N972" s="14"/>
      <c r="O972" s="14"/>
      <c r="P972" s="14"/>
      <c r="Q972" s="14"/>
      <c r="R972" s="14"/>
      <c r="S972" s="10"/>
      <c r="T972" s="10"/>
      <c r="U972" s="10"/>
      <c r="V972" s="10"/>
      <c r="W972" s="10"/>
      <c r="X972" s="10"/>
      <c r="Y972" s="10"/>
      <c r="Z972" s="10"/>
      <c r="AA972" s="10"/>
      <c r="AB972" s="10"/>
      <c r="AC972" s="10"/>
      <c r="AD972" s="10"/>
      <c r="AE972" s="10"/>
      <c r="AF972" s="10"/>
      <c r="AG972" s="10"/>
      <c r="AH972" s="10"/>
    </row>
    <row r="973" spans="1:34">
      <c r="A973" s="13"/>
      <c r="B973" s="14"/>
      <c r="C973" s="14"/>
      <c r="D973" s="14"/>
      <c r="E973" s="15"/>
      <c r="F973" s="14"/>
      <c r="G973" s="14"/>
      <c r="H973" s="14"/>
      <c r="I973" s="14"/>
      <c r="J973" s="14"/>
      <c r="K973" s="23"/>
      <c r="L973" s="14"/>
      <c r="M973" s="14"/>
      <c r="N973" s="14"/>
      <c r="O973" s="14"/>
      <c r="P973" s="14"/>
      <c r="Q973" s="14"/>
      <c r="R973" s="14"/>
      <c r="S973" s="10"/>
      <c r="T973" s="10"/>
      <c r="U973" s="10"/>
      <c r="V973" s="10"/>
      <c r="W973" s="10"/>
      <c r="X973" s="10"/>
      <c r="Y973" s="10"/>
      <c r="Z973" s="10"/>
      <c r="AA973" s="10"/>
      <c r="AB973" s="10"/>
      <c r="AC973" s="10"/>
      <c r="AD973" s="10"/>
      <c r="AE973" s="10"/>
      <c r="AF973" s="10"/>
      <c r="AG973" s="10"/>
      <c r="AH973" s="10"/>
    </row>
    <row r="974" spans="1:34">
      <c r="A974" s="13"/>
      <c r="B974" s="14"/>
      <c r="C974" s="14"/>
      <c r="D974" s="14"/>
      <c r="E974" s="15"/>
      <c r="F974" s="14"/>
      <c r="G974" s="14"/>
      <c r="H974" s="14"/>
      <c r="I974" s="14"/>
      <c r="J974" s="14"/>
      <c r="K974" s="23"/>
      <c r="L974" s="14"/>
      <c r="M974" s="14"/>
      <c r="N974" s="14"/>
      <c r="O974" s="14"/>
      <c r="P974" s="14"/>
      <c r="Q974" s="14"/>
      <c r="R974" s="14"/>
      <c r="S974" s="10"/>
      <c r="T974" s="10"/>
      <c r="U974" s="10"/>
      <c r="V974" s="10"/>
      <c r="W974" s="10"/>
      <c r="X974" s="10"/>
      <c r="Y974" s="10"/>
      <c r="Z974" s="10"/>
      <c r="AA974" s="10"/>
      <c r="AB974" s="10"/>
      <c r="AC974" s="10"/>
      <c r="AD974" s="10"/>
      <c r="AE974" s="10"/>
      <c r="AF974" s="10"/>
      <c r="AG974" s="10"/>
      <c r="AH974" s="10"/>
    </row>
    <row r="975" spans="1:34">
      <c r="A975" s="13"/>
      <c r="B975" s="14"/>
      <c r="C975" s="14"/>
      <c r="D975" s="14"/>
      <c r="E975" s="15"/>
      <c r="F975" s="14"/>
      <c r="G975" s="14"/>
      <c r="H975" s="14"/>
      <c r="I975" s="14"/>
      <c r="J975" s="14"/>
      <c r="K975" s="23"/>
      <c r="L975" s="14"/>
      <c r="M975" s="14"/>
      <c r="N975" s="14"/>
      <c r="O975" s="14"/>
      <c r="P975" s="14"/>
      <c r="Q975" s="14"/>
      <c r="R975" s="14"/>
      <c r="S975" s="10"/>
      <c r="T975" s="10"/>
      <c r="U975" s="10"/>
      <c r="V975" s="10"/>
      <c r="W975" s="10"/>
      <c r="X975" s="10"/>
      <c r="Y975" s="10"/>
      <c r="Z975" s="10"/>
      <c r="AA975" s="10"/>
      <c r="AB975" s="10"/>
      <c r="AC975" s="10"/>
      <c r="AD975" s="10"/>
      <c r="AE975" s="10"/>
      <c r="AF975" s="10"/>
      <c r="AG975" s="10"/>
      <c r="AH975" s="10"/>
    </row>
    <row r="976" spans="1:34">
      <c r="A976" s="13"/>
      <c r="B976" s="14"/>
      <c r="C976" s="14"/>
      <c r="D976" s="14"/>
      <c r="E976" s="15"/>
      <c r="F976" s="14"/>
      <c r="G976" s="14"/>
      <c r="H976" s="14"/>
      <c r="I976" s="14"/>
      <c r="J976" s="14"/>
      <c r="K976" s="23"/>
      <c r="L976" s="14"/>
      <c r="M976" s="14"/>
      <c r="N976" s="14"/>
      <c r="O976" s="14"/>
      <c r="P976" s="14"/>
      <c r="Q976" s="14"/>
      <c r="R976" s="14"/>
      <c r="S976" s="10"/>
      <c r="T976" s="10"/>
      <c r="U976" s="10"/>
      <c r="V976" s="10"/>
      <c r="W976" s="10"/>
      <c r="X976" s="10"/>
      <c r="Y976" s="10"/>
      <c r="Z976" s="10"/>
      <c r="AA976" s="10"/>
      <c r="AB976" s="10"/>
      <c r="AC976" s="10"/>
      <c r="AD976" s="10"/>
      <c r="AE976" s="10"/>
      <c r="AF976" s="10"/>
      <c r="AG976" s="10"/>
      <c r="AH976" s="10"/>
    </row>
    <row r="977" spans="1:34">
      <c r="A977" s="13"/>
      <c r="B977" s="14"/>
      <c r="C977" s="14"/>
      <c r="D977" s="14"/>
      <c r="E977" s="15"/>
      <c r="F977" s="14"/>
      <c r="G977" s="14"/>
      <c r="H977" s="14"/>
      <c r="I977" s="14"/>
      <c r="J977" s="14"/>
      <c r="K977" s="23"/>
      <c r="L977" s="14"/>
      <c r="M977" s="14"/>
      <c r="N977" s="14"/>
      <c r="O977" s="14"/>
      <c r="P977" s="14"/>
      <c r="Q977" s="14"/>
      <c r="R977" s="14"/>
      <c r="S977" s="10"/>
      <c r="T977" s="10"/>
      <c r="U977" s="10"/>
      <c r="V977" s="10"/>
      <c r="W977" s="10"/>
      <c r="X977" s="10"/>
      <c r="Y977" s="10"/>
      <c r="Z977" s="10"/>
      <c r="AA977" s="10"/>
      <c r="AB977" s="10"/>
      <c r="AC977" s="10"/>
      <c r="AD977" s="10"/>
      <c r="AE977" s="10"/>
      <c r="AF977" s="10"/>
      <c r="AG977" s="10"/>
      <c r="AH977" s="10"/>
    </row>
    <row r="978" spans="1:34">
      <c r="A978" s="13"/>
      <c r="B978" s="14"/>
      <c r="C978" s="14"/>
      <c r="D978" s="14"/>
      <c r="E978" s="15"/>
      <c r="F978" s="14"/>
      <c r="G978" s="14"/>
      <c r="H978" s="14"/>
      <c r="I978" s="14"/>
      <c r="J978" s="14"/>
      <c r="K978" s="23"/>
      <c r="L978" s="14"/>
      <c r="M978" s="14"/>
      <c r="N978" s="14"/>
      <c r="O978" s="14"/>
      <c r="P978" s="14"/>
      <c r="Q978" s="14"/>
      <c r="R978" s="14"/>
      <c r="S978" s="10"/>
      <c r="T978" s="10"/>
      <c r="U978" s="10"/>
      <c r="V978" s="10"/>
      <c r="W978" s="10"/>
      <c r="X978" s="10"/>
      <c r="Y978" s="10"/>
      <c r="Z978" s="10"/>
      <c r="AA978" s="10"/>
      <c r="AB978" s="10"/>
      <c r="AC978" s="10"/>
      <c r="AD978" s="10"/>
      <c r="AE978" s="10"/>
      <c r="AF978" s="10"/>
      <c r="AG978" s="10"/>
      <c r="AH978" s="10"/>
    </row>
    <row r="979" spans="1:34">
      <c r="A979" s="13"/>
      <c r="B979" s="14"/>
      <c r="C979" s="14"/>
      <c r="D979" s="14"/>
      <c r="E979" s="15"/>
      <c r="F979" s="14"/>
      <c r="G979" s="14"/>
      <c r="H979" s="14"/>
      <c r="I979" s="14"/>
      <c r="J979" s="14"/>
      <c r="K979" s="23"/>
      <c r="L979" s="14"/>
      <c r="M979" s="14"/>
      <c r="N979" s="14"/>
      <c r="O979" s="14"/>
      <c r="P979" s="14"/>
      <c r="Q979" s="14"/>
      <c r="R979" s="14"/>
      <c r="S979" s="10"/>
      <c r="T979" s="10"/>
      <c r="U979" s="10"/>
      <c r="V979" s="10"/>
      <c r="W979" s="10"/>
      <c r="X979" s="10"/>
      <c r="Y979" s="10"/>
      <c r="Z979" s="10"/>
      <c r="AA979" s="10"/>
      <c r="AB979" s="10"/>
      <c r="AC979" s="10"/>
      <c r="AD979" s="10"/>
      <c r="AE979" s="10"/>
      <c r="AF979" s="10"/>
      <c r="AG979" s="10"/>
      <c r="AH979" s="10"/>
    </row>
    <row r="980" spans="1:34">
      <c r="A980" s="13"/>
      <c r="B980" s="14"/>
      <c r="C980" s="14"/>
      <c r="D980" s="14"/>
      <c r="E980" s="15"/>
      <c r="F980" s="14"/>
      <c r="G980" s="14"/>
      <c r="H980" s="14"/>
      <c r="I980" s="14"/>
      <c r="J980" s="14"/>
      <c r="K980" s="23"/>
      <c r="L980" s="14"/>
      <c r="M980" s="14"/>
      <c r="N980" s="14"/>
      <c r="O980" s="14"/>
      <c r="P980" s="14"/>
      <c r="Q980" s="14"/>
      <c r="R980" s="14"/>
      <c r="S980" s="10"/>
      <c r="T980" s="10"/>
      <c r="U980" s="10"/>
      <c r="V980" s="10"/>
      <c r="W980" s="10"/>
      <c r="X980" s="10"/>
      <c r="Y980" s="10"/>
      <c r="Z980" s="10"/>
      <c r="AA980" s="10"/>
      <c r="AB980" s="10"/>
      <c r="AC980" s="10"/>
      <c r="AD980" s="10"/>
      <c r="AE980" s="10"/>
      <c r="AF980" s="10"/>
      <c r="AG980" s="10"/>
      <c r="AH980" s="10"/>
    </row>
    <row r="981" spans="1:34">
      <c r="A981" s="13"/>
      <c r="B981" s="14"/>
      <c r="C981" s="14"/>
      <c r="D981" s="14"/>
      <c r="E981" s="15"/>
      <c r="F981" s="14"/>
      <c r="G981" s="14"/>
      <c r="H981" s="14"/>
      <c r="I981" s="14"/>
      <c r="J981" s="14"/>
      <c r="K981" s="23"/>
      <c r="L981" s="14"/>
      <c r="M981" s="14"/>
      <c r="N981" s="14"/>
      <c r="O981" s="14"/>
      <c r="P981" s="14"/>
      <c r="Q981" s="14"/>
      <c r="R981" s="14"/>
      <c r="S981" s="10"/>
      <c r="T981" s="10"/>
      <c r="U981" s="10"/>
      <c r="V981" s="10"/>
      <c r="W981" s="10"/>
      <c r="X981" s="10"/>
      <c r="Y981" s="10"/>
      <c r="Z981" s="10"/>
      <c r="AA981" s="10"/>
      <c r="AB981" s="10"/>
      <c r="AC981" s="10"/>
      <c r="AD981" s="10"/>
      <c r="AE981" s="10"/>
      <c r="AF981" s="10"/>
      <c r="AG981" s="10"/>
      <c r="AH981" s="10"/>
    </row>
    <row r="982" spans="1:34">
      <c r="A982" s="13"/>
      <c r="B982" s="14"/>
      <c r="C982" s="14"/>
      <c r="D982" s="14"/>
      <c r="E982" s="15"/>
      <c r="F982" s="14"/>
      <c r="G982" s="14"/>
      <c r="H982" s="14"/>
      <c r="I982" s="14"/>
      <c r="J982" s="14"/>
      <c r="K982" s="23"/>
      <c r="L982" s="14"/>
      <c r="M982" s="14"/>
      <c r="N982" s="14"/>
      <c r="O982" s="14"/>
      <c r="P982" s="14"/>
      <c r="Q982" s="14"/>
      <c r="R982" s="14"/>
      <c r="S982" s="10"/>
      <c r="T982" s="10"/>
      <c r="U982" s="10"/>
      <c r="V982" s="10"/>
      <c r="W982" s="10"/>
      <c r="X982" s="10"/>
      <c r="Y982" s="10"/>
      <c r="Z982" s="10"/>
      <c r="AA982" s="10"/>
      <c r="AB982" s="10"/>
      <c r="AC982" s="10"/>
      <c r="AD982" s="10"/>
      <c r="AE982" s="10"/>
      <c r="AF982" s="10"/>
      <c r="AG982" s="10"/>
      <c r="AH982" s="10"/>
    </row>
    <row r="983" spans="1:34">
      <c r="A983" s="13"/>
      <c r="B983" s="14"/>
      <c r="C983" s="14"/>
      <c r="D983" s="14"/>
      <c r="E983" s="15"/>
      <c r="F983" s="14"/>
      <c r="G983" s="14"/>
      <c r="H983" s="14"/>
      <c r="I983" s="14"/>
      <c r="J983" s="14"/>
      <c r="K983" s="23"/>
      <c r="L983" s="14"/>
      <c r="M983" s="14"/>
      <c r="N983" s="14"/>
      <c r="O983" s="14"/>
      <c r="P983" s="14"/>
      <c r="Q983" s="14"/>
      <c r="R983" s="14"/>
      <c r="S983" s="10"/>
      <c r="T983" s="10"/>
      <c r="U983" s="10"/>
      <c r="V983" s="10"/>
      <c r="W983" s="10"/>
      <c r="X983" s="10"/>
      <c r="Y983" s="10"/>
      <c r="Z983" s="10"/>
      <c r="AA983" s="10"/>
      <c r="AB983" s="10"/>
      <c r="AC983" s="10"/>
      <c r="AD983" s="10"/>
      <c r="AE983" s="10"/>
      <c r="AF983" s="10"/>
      <c r="AG983" s="10"/>
      <c r="AH983" s="10"/>
    </row>
    <row r="984" spans="1:34">
      <c r="A984" s="13"/>
      <c r="B984" s="14"/>
      <c r="C984" s="14"/>
      <c r="D984" s="14"/>
      <c r="E984" s="15"/>
      <c r="F984" s="14"/>
      <c r="G984" s="14"/>
      <c r="H984" s="14"/>
      <c r="I984" s="14"/>
      <c r="J984" s="14"/>
      <c r="K984" s="23"/>
      <c r="L984" s="14"/>
      <c r="M984" s="14"/>
      <c r="N984" s="14"/>
      <c r="O984" s="14"/>
      <c r="P984" s="14"/>
      <c r="Q984" s="14"/>
      <c r="R984" s="14"/>
      <c r="S984" s="10"/>
      <c r="T984" s="10"/>
      <c r="U984" s="10"/>
      <c r="V984" s="10"/>
      <c r="W984" s="10"/>
      <c r="X984" s="10"/>
      <c r="Y984" s="10"/>
      <c r="Z984" s="10"/>
      <c r="AA984" s="10"/>
      <c r="AB984" s="10"/>
      <c r="AC984" s="10"/>
      <c r="AD984" s="10"/>
      <c r="AE984" s="10"/>
      <c r="AF984" s="10"/>
      <c r="AG984" s="10"/>
      <c r="AH984" s="10"/>
    </row>
    <row r="985" spans="1:34">
      <c r="A985" s="13"/>
      <c r="B985" s="14"/>
      <c r="C985" s="14"/>
      <c r="D985" s="14"/>
      <c r="E985" s="15"/>
      <c r="F985" s="14"/>
      <c r="G985" s="14"/>
      <c r="H985" s="14"/>
      <c r="I985" s="14"/>
      <c r="J985" s="14"/>
      <c r="K985" s="23"/>
      <c r="L985" s="14"/>
      <c r="M985" s="14"/>
      <c r="N985" s="14"/>
      <c r="O985" s="14"/>
      <c r="P985" s="14"/>
      <c r="Q985" s="14"/>
      <c r="R985" s="14"/>
      <c r="S985" s="10"/>
      <c r="T985" s="10"/>
      <c r="U985" s="10"/>
      <c r="V985" s="10"/>
      <c r="W985" s="10"/>
      <c r="X985" s="10"/>
      <c r="Y985" s="10"/>
      <c r="Z985" s="10"/>
      <c r="AA985" s="10"/>
      <c r="AB985" s="10"/>
      <c r="AC985" s="10"/>
      <c r="AD985" s="10"/>
      <c r="AE985" s="10"/>
      <c r="AF985" s="10"/>
      <c r="AG985" s="10"/>
      <c r="AH985" s="10"/>
    </row>
    <row r="986" spans="1:34">
      <c r="A986" s="13"/>
      <c r="B986" s="14"/>
      <c r="C986" s="14"/>
      <c r="D986" s="14"/>
      <c r="E986" s="15"/>
      <c r="F986" s="14"/>
      <c r="G986" s="14"/>
      <c r="H986" s="14"/>
      <c r="I986" s="14"/>
      <c r="J986" s="14"/>
      <c r="K986" s="23"/>
      <c r="L986" s="14"/>
      <c r="M986" s="14"/>
      <c r="N986" s="14"/>
      <c r="O986" s="14"/>
      <c r="P986" s="14"/>
      <c r="Q986" s="14"/>
      <c r="R986" s="14"/>
      <c r="S986" s="10"/>
      <c r="T986" s="10"/>
      <c r="U986" s="10"/>
      <c r="V986" s="10"/>
      <c r="W986" s="10"/>
      <c r="X986" s="10"/>
      <c r="Y986" s="10"/>
      <c r="Z986" s="10"/>
      <c r="AA986" s="10"/>
      <c r="AB986" s="10"/>
      <c r="AC986" s="10"/>
      <c r="AD986" s="10"/>
      <c r="AE986" s="10"/>
      <c r="AF986" s="10"/>
      <c r="AG986" s="10"/>
      <c r="AH986" s="10"/>
    </row>
    <row r="987" spans="1:34">
      <c r="A987" s="13"/>
      <c r="B987" s="14"/>
      <c r="C987" s="14"/>
      <c r="D987" s="14"/>
      <c r="E987" s="15"/>
      <c r="F987" s="14"/>
      <c r="G987" s="14"/>
      <c r="H987" s="14"/>
      <c r="I987" s="14"/>
      <c r="J987" s="14"/>
      <c r="K987" s="23"/>
      <c r="L987" s="14"/>
      <c r="M987" s="14"/>
      <c r="N987" s="14"/>
      <c r="O987" s="14"/>
      <c r="P987" s="14"/>
      <c r="Q987" s="14"/>
      <c r="R987" s="14"/>
      <c r="S987" s="10"/>
      <c r="T987" s="10"/>
      <c r="U987" s="10"/>
      <c r="V987" s="10"/>
      <c r="W987" s="10"/>
      <c r="X987" s="10"/>
      <c r="Y987" s="10"/>
      <c r="Z987" s="10"/>
      <c r="AA987" s="10"/>
      <c r="AB987" s="10"/>
      <c r="AC987" s="10"/>
      <c r="AD987" s="10"/>
      <c r="AE987" s="10"/>
      <c r="AF987" s="10"/>
      <c r="AG987" s="10"/>
      <c r="AH987" s="10"/>
    </row>
    <row r="988" spans="1:34">
      <c r="A988" s="13"/>
      <c r="B988" s="14"/>
      <c r="C988" s="14"/>
      <c r="D988" s="14"/>
      <c r="E988" s="15"/>
      <c r="F988" s="14"/>
      <c r="G988" s="14"/>
      <c r="H988" s="14"/>
      <c r="I988" s="14"/>
      <c r="J988" s="14"/>
      <c r="K988" s="23"/>
      <c r="L988" s="14"/>
      <c r="M988" s="14"/>
      <c r="N988" s="14"/>
      <c r="O988" s="14"/>
      <c r="P988" s="14"/>
      <c r="Q988" s="14"/>
      <c r="R988" s="14"/>
      <c r="S988" s="10"/>
      <c r="T988" s="10"/>
      <c r="U988" s="10"/>
      <c r="V988" s="10"/>
      <c r="W988" s="10"/>
      <c r="X988" s="10"/>
      <c r="Y988" s="10"/>
      <c r="Z988" s="10"/>
      <c r="AA988" s="10"/>
      <c r="AB988" s="10"/>
      <c r="AC988" s="10"/>
      <c r="AD988" s="10"/>
      <c r="AE988" s="10"/>
      <c r="AF988" s="10"/>
      <c r="AG988" s="10"/>
      <c r="AH988" s="10"/>
    </row>
    <row r="989" spans="1:34">
      <c r="A989" s="13"/>
      <c r="B989" s="14"/>
      <c r="C989" s="14"/>
      <c r="D989" s="14"/>
      <c r="E989" s="15"/>
      <c r="F989" s="14"/>
      <c r="G989" s="14"/>
      <c r="H989" s="14"/>
      <c r="I989" s="14"/>
      <c r="J989" s="14"/>
      <c r="K989" s="23"/>
      <c r="L989" s="14"/>
      <c r="M989" s="14"/>
      <c r="N989" s="14"/>
      <c r="O989" s="14"/>
      <c r="P989" s="14"/>
      <c r="Q989" s="14"/>
      <c r="R989" s="14"/>
      <c r="S989" s="10"/>
      <c r="T989" s="10"/>
      <c r="U989" s="10"/>
      <c r="V989" s="10"/>
      <c r="W989" s="10"/>
      <c r="X989" s="10"/>
      <c r="Y989" s="10"/>
      <c r="Z989" s="10"/>
      <c r="AA989" s="10"/>
      <c r="AB989" s="10"/>
      <c r="AC989" s="10"/>
      <c r="AD989" s="10"/>
      <c r="AE989" s="10"/>
      <c r="AF989" s="10"/>
      <c r="AG989" s="10"/>
      <c r="AH989" s="10"/>
    </row>
    <row r="990" spans="1:34">
      <c r="A990" s="13"/>
      <c r="B990" s="14"/>
      <c r="C990" s="14"/>
      <c r="D990" s="14"/>
      <c r="E990" s="15"/>
      <c r="F990" s="14"/>
      <c r="G990" s="14"/>
      <c r="H990" s="14"/>
      <c r="I990" s="14"/>
      <c r="J990" s="14"/>
      <c r="K990" s="23"/>
      <c r="L990" s="14"/>
      <c r="M990" s="14"/>
      <c r="N990" s="14"/>
      <c r="O990" s="14"/>
      <c r="P990" s="14"/>
      <c r="Q990" s="14"/>
      <c r="R990" s="14"/>
      <c r="S990" s="10"/>
      <c r="T990" s="10"/>
      <c r="U990" s="10"/>
      <c r="V990" s="10"/>
      <c r="W990" s="10"/>
      <c r="X990" s="10"/>
      <c r="Y990" s="10"/>
      <c r="Z990" s="10"/>
      <c r="AA990" s="10"/>
      <c r="AB990" s="10"/>
      <c r="AC990" s="10"/>
      <c r="AD990" s="10"/>
      <c r="AE990" s="10"/>
      <c r="AF990" s="10"/>
      <c r="AG990" s="10"/>
      <c r="AH990" s="10"/>
    </row>
    <row r="991" spans="1:34">
      <c r="A991" s="13"/>
      <c r="B991" s="14"/>
      <c r="C991" s="14"/>
      <c r="D991" s="14"/>
      <c r="E991" s="15"/>
      <c r="F991" s="14"/>
      <c r="G991" s="14"/>
      <c r="H991" s="14"/>
      <c r="I991" s="14"/>
      <c r="J991" s="14"/>
      <c r="K991" s="23"/>
      <c r="L991" s="14"/>
      <c r="M991" s="14"/>
      <c r="N991" s="14"/>
      <c r="O991" s="14"/>
      <c r="P991" s="14"/>
      <c r="Q991" s="14"/>
      <c r="R991" s="14"/>
      <c r="S991" s="10"/>
      <c r="T991" s="10"/>
      <c r="U991" s="10"/>
      <c r="V991" s="10"/>
      <c r="W991" s="10"/>
      <c r="X991" s="10"/>
      <c r="Y991" s="10"/>
      <c r="Z991" s="10"/>
      <c r="AA991" s="10"/>
      <c r="AB991" s="10"/>
      <c r="AC991" s="10"/>
      <c r="AD991" s="10"/>
      <c r="AE991" s="10"/>
      <c r="AF991" s="10"/>
      <c r="AG991" s="10"/>
      <c r="AH991" s="10"/>
    </row>
    <row r="992" spans="1:34">
      <c r="A992" s="13"/>
      <c r="B992" s="14"/>
      <c r="C992" s="14"/>
      <c r="D992" s="14"/>
      <c r="E992" s="15"/>
      <c r="F992" s="14"/>
      <c r="G992" s="14"/>
      <c r="H992" s="14"/>
      <c r="I992" s="14"/>
      <c r="J992" s="14"/>
      <c r="K992" s="23"/>
      <c r="L992" s="14"/>
      <c r="M992" s="14"/>
      <c r="N992" s="14"/>
      <c r="O992" s="14"/>
      <c r="P992" s="14"/>
      <c r="Q992" s="14"/>
      <c r="R992" s="14"/>
      <c r="S992" s="10"/>
      <c r="T992" s="10"/>
      <c r="U992" s="10"/>
      <c r="V992" s="10"/>
      <c r="W992" s="10"/>
      <c r="X992" s="10"/>
      <c r="Y992" s="10"/>
      <c r="Z992" s="10"/>
      <c r="AA992" s="10"/>
      <c r="AB992" s="10"/>
      <c r="AC992" s="10"/>
      <c r="AD992" s="10"/>
      <c r="AE992" s="10"/>
      <c r="AF992" s="10"/>
      <c r="AG992" s="10"/>
      <c r="AH992" s="10"/>
    </row>
    <row r="993" spans="1:34">
      <c r="A993" s="13"/>
      <c r="B993" s="14"/>
      <c r="C993" s="14"/>
      <c r="D993" s="14"/>
      <c r="E993" s="15"/>
      <c r="F993" s="14"/>
      <c r="G993" s="14"/>
      <c r="H993" s="14"/>
      <c r="I993" s="14"/>
      <c r="J993" s="14"/>
      <c r="K993" s="23"/>
      <c r="L993" s="14"/>
      <c r="M993" s="14"/>
      <c r="N993" s="14"/>
      <c r="O993" s="14"/>
      <c r="P993" s="14"/>
      <c r="Q993" s="14"/>
      <c r="R993" s="14"/>
      <c r="S993" s="10"/>
      <c r="T993" s="10"/>
      <c r="U993" s="10"/>
      <c r="V993" s="10"/>
      <c r="W993" s="10"/>
      <c r="X993" s="10"/>
      <c r="Y993" s="10"/>
      <c r="Z993" s="10"/>
      <c r="AA993" s="10"/>
      <c r="AB993" s="10"/>
      <c r="AC993" s="10"/>
      <c r="AD993" s="10"/>
      <c r="AE993" s="10"/>
      <c r="AF993" s="10"/>
      <c r="AG993" s="10"/>
      <c r="AH993" s="10"/>
    </row>
    <row r="994" spans="1:34">
      <c r="A994" s="13"/>
      <c r="B994" s="14"/>
      <c r="C994" s="14"/>
      <c r="D994" s="14"/>
      <c r="E994" s="15"/>
      <c r="F994" s="14"/>
      <c r="G994" s="14"/>
      <c r="H994" s="14"/>
      <c r="I994" s="14"/>
      <c r="J994" s="14"/>
      <c r="K994" s="23"/>
      <c r="L994" s="14"/>
      <c r="M994" s="14"/>
      <c r="N994" s="14"/>
      <c r="O994" s="14"/>
      <c r="P994" s="14"/>
      <c r="Q994" s="14"/>
      <c r="R994" s="14"/>
      <c r="S994" s="10"/>
      <c r="T994" s="10"/>
      <c r="U994" s="10"/>
      <c r="V994" s="10"/>
      <c r="W994" s="10"/>
      <c r="X994" s="10"/>
      <c r="Y994" s="10"/>
      <c r="Z994" s="10"/>
      <c r="AA994" s="10"/>
      <c r="AB994" s="10"/>
      <c r="AC994" s="10"/>
      <c r="AD994" s="10"/>
      <c r="AE994" s="10"/>
      <c r="AF994" s="10"/>
      <c r="AG994" s="10"/>
      <c r="AH994" s="10"/>
    </row>
    <row r="995" spans="1:34">
      <c r="A995" s="13"/>
      <c r="B995" s="14"/>
      <c r="C995" s="14"/>
      <c r="D995" s="14"/>
      <c r="E995" s="15"/>
      <c r="F995" s="14"/>
      <c r="G995" s="14"/>
      <c r="H995" s="14"/>
      <c r="I995" s="14"/>
      <c r="J995" s="14"/>
      <c r="K995" s="23"/>
      <c r="L995" s="14"/>
      <c r="M995" s="14"/>
      <c r="N995" s="14"/>
      <c r="O995" s="14"/>
      <c r="P995" s="14"/>
      <c r="Q995" s="14"/>
      <c r="R995" s="14"/>
      <c r="S995" s="10"/>
      <c r="T995" s="10"/>
      <c r="U995" s="10"/>
      <c r="V995" s="10"/>
      <c r="W995" s="10"/>
      <c r="X995" s="10"/>
      <c r="Y995" s="10"/>
      <c r="Z995" s="10"/>
      <c r="AA995" s="10"/>
      <c r="AB995" s="10"/>
      <c r="AC995" s="10"/>
      <c r="AD995" s="10"/>
      <c r="AE995" s="10"/>
      <c r="AF995" s="10"/>
      <c r="AG995" s="10"/>
      <c r="AH995" s="10"/>
    </row>
    <row r="996" spans="1:34">
      <c r="A996" s="13"/>
      <c r="B996" s="14"/>
      <c r="C996" s="14"/>
      <c r="D996" s="14"/>
      <c r="E996" s="15"/>
      <c r="F996" s="14"/>
      <c r="G996" s="14"/>
      <c r="H996" s="14"/>
      <c r="I996" s="14"/>
      <c r="J996" s="14"/>
      <c r="K996" s="23"/>
      <c r="L996" s="14"/>
      <c r="M996" s="14"/>
      <c r="N996" s="14"/>
      <c r="O996" s="14"/>
      <c r="P996" s="14"/>
      <c r="Q996" s="14"/>
      <c r="R996" s="14"/>
      <c r="S996" s="10"/>
      <c r="T996" s="10"/>
      <c r="U996" s="10"/>
      <c r="V996" s="10"/>
      <c r="W996" s="10"/>
      <c r="X996" s="10"/>
      <c r="Y996" s="10"/>
      <c r="Z996" s="10"/>
      <c r="AA996" s="10"/>
      <c r="AB996" s="10"/>
      <c r="AC996" s="10"/>
      <c r="AD996" s="10"/>
      <c r="AE996" s="10"/>
      <c r="AF996" s="10"/>
      <c r="AG996" s="10"/>
      <c r="AH996" s="10"/>
    </row>
    <row r="997" spans="1:34">
      <c r="A997" s="13"/>
      <c r="B997" s="14"/>
      <c r="C997" s="14"/>
      <c r="D997" s="14"/>
      <c r="E997" s="15"/>
      <c r="F997" s="14"/>
      <c r="G997" s="14"/>
      <c r="H997" s="14"/>
      <c r="I997" s="14"/>
      <c r="J997" s="14"/>
      <c r="K997" s="23"/>
      <c r="L997" s="14"/>
      <c r="M997" s="14"/>
      <c r="N997" s="14"/>
      <c r="O997" s="14"/>
      <c r="P997" s="14"/>
      <c r="Q997" s="14"/>
      <c r="R997" s="14"/>
      <c r="S997" s="10"/>
      <c r="T997" s="10"/>
      <c r="U997" s="10"/>
      <c r="V997" s="10"/>
      <c r="W997" s="10"/>
      <c r="X997" s="10"/>
      <c r="Y997" s="10"/>
      <c r="Z997" s="10"/>
      <c r="AA997" s="10"/>
      <c r="AB997" s="10"/>
      <c r="AC997" s="10"/>
      <c r="AD997" s="10"/>
      <c r="AE997" s="10"/>
      <c r="AF997" s="10"/>
      <c r="AG997" s="10"/>
      <c r="AH997" s="10"/>
    </row>
    <row r="998" spans="1:34">
      <c r="A998" s="13"/>
      <c r="B998" s="14"/>
      <c r="C998" s="14"/>
      <c r="D998" s="14"/>
      <c r="E998" s="15"/>
      <c r="F998" s="14"/>
      <c r="G998" s="14"/>
      <c r="H998" s="14"/>
      <c r="I998" s="14"/>
      <c r="J998" s="14"/>
      <c r="K998" s="23"/>
      <c r="L998" s="14"/>
      <c r="M998" s="14"/>
      <c r="N998" s="14"/>
      <c r="O998" s="14"/>
      <c r="P998" s="14"/>
      <c r="Q998" s="14"/>
      <c r="R998" s="14"/>
      <c r="S998" s="10"/>
      <c r="T998" s="10"/>
      <c r="U998" s="10"/>
      <c r="V998" s="10"/>
      <c r="W998" s="10"/>
      <c r="X998" s="10"/>
      <c r="Y998" s="10"/>
      <c r="Z998" s="10"/>
      <c r="AA998" s="10"/>
      <c r="AB998" s="10"/>
      <c r="AC998" s="10"/>
      <c r="AD998" s="10"/>
      <c r="AE998" s="10"/>
      <c r="AF998" s="10"/>
      <c r="AG998" s="10"/>
      <c r="AH998" s="10"/>
    </row>
    <row r="999" spans="1:34">
      <c r="A999" s="13"/>
      <c r="B999" s="14"/>
      <c r="C999" s="14"/>
      <c r="D999" s="14"/>
      <c r="E999" s="15"/>
      <c r="F999" s="14"/>
      <c r="G999" s="14"/>
      <c r="H999" s="14"/>
      <c r="I999" s="14"/>
      <c r="J999" s="14"/>
      <c r="K999" s="23"/>
      <c r="L999" s="14"/>
      <c r="M999" s="14"/>
      <c r="N999" s="14"/>
      <c r="O999" s="14"/>
      <c r="P999" s="14"/>
      <c r="Q999" s="14"/>
      <c r="R999" s="14"/>
      <c r="S999" s="10"/>
      <c r="T999" s="10"/>
      <c r="U999" s="10"/>
      <c r="V999" s="10"/>
      <c r="W999" s="10"/>
      <c r="X999" s="10"/>
      <c r="Y999" s="10"/>
      <c r="Z999" s="10"/>
      <c r="AA999" s="10"/>
      <c r="AB999" s="10"/>
      <c r="AC999" s="10"/>
      <c r="AD999" s="10"/>
      <c r="AE999" s="10"/>
      <c r="AF999" s="10"/>
      <c r="AG999" s="10"/>
      <c r="AH999" s="10"/>
    </row>
    <row r="1000" spans="1:34">
      <c r="A1000" s="13"/>
      <c r="B1000" s="14"/>
      <c r="C1000" s="14"/>
      <c r="D1000" s="14"/>
      <c r="E1000" s="15"/>
      <c r="F1000" s="14"/>
      <c r="G1000" s="14"/>
      <c r="H1000" s="14"/>
      <c r="I1000" s="14"/>
      <c r="J1000" s="14"/>
      <c r="K1000" s="23"/>
      <c r="L1000" s="14"/>
      <c r="M1000" s="14"/>
      <c r="N1000" s="14"/>
      <c r="O1000" s="14"/>
      <c r="P1000" s="14"/>
      <c r="Q1000" s="14"/>
      <c r="R1000" s="14"/>
      <c r="S1000" s="10"/>
      <c r="T1000" s="10"/>
      <c r="U1000" s="10"/>
      <c r="V1000" s="10"/>
      <c r="W1000" s="10"/>
      <c r="X1000" s="10"/>
      <c r="Y1000" s="10"/>
      <c r="Z1000" s="10"/>
      <c r="AA1000" s="10"/>
      <c r="AB1000" s="10"/>
      <c r="AC1000" s="10"/>
      <c r="AD1000" s="10"/>
      <c r="AE1000" s="10"/>
      <c r="AF1000" s="10"/>
      <c r="AG1000" s="10"/>
      <c r="AH1000" s="10"/>
    </row>
  </sheetData>
  <autoFilter ref="A1:AH231" xr:uid="{00000000-0009-0000-0000-000001000000}">
    <sortState xmlns:xlrd2="http://schemas.microsoft.com/office/spreadsheetml/2017/richdata2" ref="A2:AH231">
      <sortCondition descending="1" ref="K1:K231"/>
    </sortState>
  </autoFilter>
  <conditionalFormatting sqref="R1:R1000">
    <cfRule type="colorScale" priority="1">
      <colorScale>
        <cfvo type="min"/>
        <cfvo type="max"/>
        <color rgb="FF57BB8A"/>
        <color rgb="FFFFFFFF"/>
      </colorScale>
    </cfRule>
  </conditionalFormatting>
  <printOptions horizontalCentered="1" gridLines="1"/>
  <pageMargins left="0.7" right="0.7" top="0.75" bottom="0.75" header="0" footer="0"/>
  <pageSetup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900FF"/>
    <outlinePr summaryBelow="0" summaryRight="0"/>
  </sheetPr>
  <dimension ref="A1:AB1000"/>
  <sheetViews>
    <sheetView tabSelected="1" workbookViewId="0">
      <pane ySplit="1" topLeftCell="A10" activePane="bottomLeft" state="frozen"/>
      <selection pane="bottomLeft" activeCell="C19" sqref="C19"/>
    </sheetView>
  </sheetViews>
  <sheetFormatPr baseColWidth="10" defaultColWidth="12.6640625" defaultRowHeight="14"/>
  <cols>
    <col min="1" max="3" width="18.6640625" style="50" customWidth="1"/>
    <col min="4" max="4" width="22.6640625" style="50" customWidth="1"/>
    <col min="5" max="5" width="42.33203125" style="50" customWidth="1"/>
    <col min="6" max="6" width="16.1640625" style="50" customWidth="1"/>
    <col min="7" max="7" width="18.1640625" style="50" customWidth="1"/>
    <col min="8" max="8" width="18.6640625" style="50" customWidth="1"/>
    <col min="9" max="9" width="24.33203125" style="50" customWidth="1"/>
    <col min="10" max="11" width="33.1640625" style="50" customWidth="1"/>
    <col min="12" max="16384" width="12.6640625" style="50"/>
  </cols>
  <sheetData>
    <row r="1" spans="1:12">
      <c r="A1" s="45" t="s">
        <v>0</v>
      </c>
      <c r="B1" s="46" t="s">
        <v>1466</v>
      </c>
      <c r="C1" s="46" t="s">
        <v>1467</v>
      </c>
      <c r="D1" s="46" t="s">
        <v>1468</v>
      </c>
      <c r="E1" s="46" t="s">
        <v>1469</v>
      </c>
      <c r="F1" s="47" t="s">
        <v>1470</v>
      </c>
      <c r="G1" s="48" t="s">
        <v>1471</v>
      </c>
      <c r="H1" s="48" t="s">
        <v>1472</v>
      </c>
      <c r="I1" s="48" t="s">
        <v>1473</v>
      </c>
      <c r="J1" s="48" t="s">
        <v>1474</v>
      </c>
      <c r="K1" s="48" t="s">
        <v>1475</v>
      </c>
      <c r="L1" s="49" t="s">
        <v>1476</v>
      </c>
    </row>
    <row r="2" spans="1:12">
      <c r="A2" s="24" t="s">
        <v>388</v>
      </c>
      <c r="B2" s="24">
        <v>1</v>
      </c>
      <c r="C2" s="25" t="s">
        <v>1477</v>
      </c>
      <c r="D2" s="25" t="s">
        <v>1478</v>
      </c>
      <c r="E2" s="25" t="s">
        <v>1479</v>
      </c>
      <c r="F2" s="25">
        <v>1</v>
      </c>
      <c r="G2" s="24" t="s">
        <v>1480</v>
      </c>
      <c r="H2" s="27" t="s">
        <v>1481</v>
      </c>
      <c r="I2" s="27" t="s">
        <v>1481</v>
      </c>
      <c r="J2" s="27" t="s">
        <v>1482</v>
      </c>
      <c r="K2" s="51" t="s">
        <v>1483</v>
      </c>
      <c r="L2" s="52">
        <f>MATCH(A2,'Filtered G500'!B$2:B$231,)</f>
        <v>1</v>
      </c>
    </row>
    <row r="3" spans="1:12">
      <c r="A3" s="24" t="s">
        <v>373</v>
      </c>
      <c r="B3" s="24">
        <v>2</v>
      </c>
      <c r="C3" s="25" t="s">
        <v>1477</v>
      </c>
      <c r="D3" s="25" t="s">
        <v>1484</v>
      </c>
      <c r="E3" s="25" t="s">
        <v>1485</v>
      </c>
      <c r="F3" s="25">
        <v>1</v>
      </c>
      <c r="G3" s="24" t="s">
        <v>1480</v>
      </c>
      <c r="H3" s="27" t="s">
        <v>1481</v>
      </c>
      <c r="I3" s="27" t="s">
        <v>1481</v>
      </c>
      <c r="J3" s="27" t="s">
        <v>1486</v>
      </c>
      <c r="K3" s="27" t="s">
        <v>1487</v>
      </c>
      <c r="L3" s="52">
        <f>MATCH(A3,'Filtered G500'!B$2:B$231,)</f>
        <v>3</v>
      </c>
    </row>
    <row r="4" spans="1:12">
      <c r="A4" s="24" t="s">
        <v>277</v>
      </c>
      <c r="B4" s="24">
        <v>1</v>
      </c>
      <c r="C4" s="25" t="s">
        <v>1477</v>
      </c>
      <c r="D4" s="25" t="s">
        <v>1478</v>
      </c>
      <c r="E4" s="25" t="s">
        <v>1488</v>
      </c>
      <c r="F4" s="25">
        <v>0</v>
      </c>
      <c r="G4" s="24" t="s">
        <v>1489</v>
      </c>
      <c r="H4" s="27" t="s">
        <v>1481</v>
      </c>
      <c r="I4" s="27" t="s">
        <v>1481</v>
      </c>
      <c r="J4" s="27"/>
      <c r="K4" s="27"/>
      <c r="L4" s="52">
        <f>MATCH(A4,'Filtered G500'!B$2:B$231,)</f>
        <v>56</v>
      </c>
    </row>
    <row r="5" spans="1:12">
      <c r="A5" s="24" t="s">
        <v>366</v>
      </c>
      <c r="B5" s="24">
        <v>1</v>
      </c>
      <c r="C5" s="25" t="s">
        <v>1490</v>
      </c>
      <c r="D5" s="25" t="s">
        <v>1478</v>
      </c>
      <c r="E5" s="25" t="s">
        <v>1491</v>
      </c>
      <c r="F5" s="25">
        <v>0</v>
      </c>
      <c r="G5" s="24" t="s">
        <v>1489</v>
      </c>
      <c r="H5" s="27" t="s">
        <v>1481</v>
      </c>
      <c r="I5" s="27" t="s">
        <v>1481</v>
      </c>
      <c r="J5" s="27"/>
      <c r="K5" s="27"/>
      <c r="L5" s="52">
        <f>MATCH(A5,'Filtered G500'!B$2:B$231,)</f>
        <v>7</v>
      </c>
    </row>
    <row r="6" spans="1:12">
      <c r="A6" s="24" t="s">
        <v>224</v>
      </c>
      <c r="B6" s="24">
        <v>2</v>
      </c>
      <c r="C6" s="25" t="s">
        <v>1477</v>
      </c>
      <c r="D6" s="25" t="s">
        <v>1492</v>
      </c>
      <c r="E6" s="25" t="s">
        <v>1493</v>
      </c>
      <c r="F6" s="25">
        <v>0</v>
      </c>
      <c r="G6" s="24" t="s">
        <v>1489</v>
      </c>
      <c r="H6" s="27" t="s">
        <v>1481</v>
      </c>
      <c r="I6" s="27" t="s">
        <v>1481</v>
      </c>
      <c r="J6" s="27"/>
      <c r="K6" s="27"/>
      <c r="L6" s="52">
        <f>MATCH(A6,'Filtered G500'!B$2:B$231,)</f>
        <v>33</v>
      </c>
    </row>
    <row r="7" spans="1:12">
      <c r="A7" s="24" t="s">
        <v>846</v>
      </c>
      <c r="B7" s="24">
        <v>2</v>
      </c>
      <c r="C7" s="25" t="s">
        <v>1494</v>
      </c>
      <c r="D7" s="25" t="s">
        <v>1495</v>
      </c>
      <c r="E7" s="25" t="s">
        <v>1496</v>
      </c>
      <c r="F7" s="25">
        <v>0</v>
      </c>
      <c r="G7" s="24" t="s">
        <v>1489</v>
      </c>
      <c r="H7" s="27" t="s">
        <v>1481</v>
      </c>
      <c r="I7" s="27" t="s">
        <v>1481</v>
      </c>
      <c r="J7" s="27"/>
      <c r="K7" s="27"/>
      <c r="L7" s="52">
        <f>MATCH(A7,'Filtered G500'!B$2:B$231,)</f>
        <v>8</v>
      </c>
    </row>
    <row r="8" spans="1:12">
      <c r="A8" s="24" t="s">
        <v>827</v>
      </c>
      <c r="B8" s="24">
        <v>2</v>
      </c>
      <c r="C8" s="25" t="s">
        <v>1477</v>
      </c>
      <c r="D8" s="25" t="s">
        <v>1497</v>
      </c>
      <c r="E8" s="25" t="s">
        <v>1498</v>
      </c>
      <c r="F8" s="25">
        <v>0</v>
      </c>
      <c r="G8" s="24" t="s">
        <v>1489</v>
      </c>
      <c r="H8" s="27" t="s">
        <v>1481</v>
      </c>
      <c r="I8" s="27" t="s">
        <v>1481</v>
      </c>
      <c r="J8" s="27"/>
      <c r="K8" s="27"/>
      <c r="L8" s="52">
        <f>MATCH(A8,'Filtered G500'!B$2:B$231,)</f>
        <v>9</v>
      </c>
    </row>
    <row r="9" spans="1:12">
      <c r="A9" s="24" t="s">
        <v>497</v>
      </c>
      <c r="B9" s="24">
        <v>3</v>
      </c>
      <c r="C9" s="25" t="s">
        <v>1499</v>
      </c>
      <c r="D9" s="25" t="s">
        <v>1500</v>
      </c>
      <c r="E9" s="25" t="s">
        <v>1501</v>
      </c>
      <c r="F9" s="25">
        <v>0</v>
      </c>
      <c r="G9" s="24" t="s">
        <v>1489</v>
      </c>
      <c r="H9" s="26" t="s">
        <v>1481</v>
      </c>
      <c r="I9" s="27" t="s">
        <v>1481</v>
      </c>
      <c r="J9" s="28" t="s">
        <v>1502</v>
      </c>
      <c r="K9" s="28" t="s">
        <v>1503</v>
      </c>
      <c r="L9" s="53">
        <f>MATCH(A9,'Filtered G500'!B$2:B$231,)</f>
        <v>10</v>
      </c>
    </row>
    <row r="10" spans="1:12">
      <c r="A10" s="24" t="s">
        <v>11</v>
      </c>
      <c r="B10" s="24">
        <v>2</v>
      </c>
      <c r="C10" s="25" t="s">
        <v>1504</v>
      </c>
      <c r="D10" s="25" t="s">
        <v>1505</v>
      </c>
      <c r="E10" s="25" t="s">
        <v>1506</v>
      </c>
      <c r="F10" s="25">
        <v>1</v>
      </c>
      <c r="G10" s="24" t="s">
        <v>1480</v>
      </c>
      <c r="H10" s="27" t="s">
        <v>1481</v>
      </c>
      <c r="I10" s="27" t="s">
        <v>1481</v>
      </c>
      <c r="J10" s="27" t="s">
        <v>1507</v>
      </c>
      <c r="K10" s="27" t="s">
        <v>1508</v>
      </c>
      <c r="L10" s="52">
        <f>MATCH(A10,'Filtered G500'!B$2:B$231,)</f>
        <v>12</v>
      </c>
    </row>
    <row r="11" spans="1:12">
      <c r="A11" s="24" t="s">
        <v>418</v>
      </c>
      <c r="B11" s="24">
        <v>1</v>
      </c>
      <c r="C11" s="25" t="s">
        <v>1477</v>
      </c>
      <c r="D11" s="25" t="s">
        <v>1478</v>
      </c>
      <c r="E11" s="25" t="s">
        <v>1509</v>
      </c>
      <c r="F11" s="25">
        <v>1</v>
      </c>
      <c r="G11" s="24" t="s">
        <v>1480</v>
      </c>
      <c r="H11" s="27" t="s">
        <v>1481</v>
      </c>
      <c r="I11" s="27" t="s">
        <v>1481</v>
      </c>
      <c r="J11" s="54" t="s">
        <v>1510</v>
      </c>
      <c r="K11" s="51" t="s">
        <v>1511</v>
      </c>
      <c r="L11" s="52">
        <f>MATCH(A11,'Filtered G500'!B$2:B$231,)</f>
        <v>2</v>
      </c>
    </row>
    <row r="12" spans="1:12">
      <c r="A12" s="24" t="s">
        <v>676</v>
      </c>
      <c r="B12" s="24">
        <v>1</v>
      </c>
      <c r="C12" s="25" t="s">
        <v>1477</v>
      </c>
      <c r="D12" s="25" t="s">
        <v>1478</v>
      </c>
      <c r="E12" s="25" t="s">
        <v>1512</v>
      </c>
      <c r="F12" s="25">
        <v>1</v>
      </c>
      <c r="G12" s="24" t="s">
        <v>1480</v>
      </c>
      <c r="H12" s="26" t="s">
        <v>1481</v>
      </c>
      <c r="I12" s="27" t="s">
        <v>1481</v>
      </c>
      <c r="J12" s="28" t="s">
        <v>1513</v>
      </c>
      <c r="K12" s="55" t="s">
        <v>1514</v>
      </c>
      <c r="L12" s="53">
        <f>MATCH(A12,'Filtered G500'!B$2:B$231,)</f>
        <v>13</v>
      </c>
    </row>
    <row r="13" spans="1:12">
      <c r="A13" s="24" t="s">
        <v>552</v>
      </c>
      <c r="B13" s="24">
        <v>2</v>
      </c>
      <c r="C13" s="25" t="s">
        <v>1477</v>
      </c>
      <c r="D13" s="25" t="s">
        <v>1515</v>
      </c>
      <c r="E13" s="25" t="s">
        <v>1516</v>
      </c>
      <c r="F13" s="25">
        <v>1</v>
      </c>
      <c r="G13" s="24" t="s">
        <v>1480</v>
      </c>
      <c r="H13" s="26" t="s">
        <v>1481</v>
      </c>
      <c r="I13" s="27" t="s">
        <v>1481</v>
      </c>
      <c r="J13" s="28" t="s">
        <v>1517</v>
      </c>
      <c r="K13" s="28" t="s">
        <v>1518</v>
      </c>
      <c r="L13" s="53">
        <f>MATCH(A13,'Filtered G500'!B$2:B$231,)</f>
        <v>14</v>
      </c>
    </row>
    <row r="14" spans="1:12">
      <c r="A14" s="24" t="s">
        <v>386</v>
      </c>
      <c r="B14" s="24">
        <v>2</v>
      </c>
      <c r="C14" s="29" t="s">
        <v>1477</v>
      </c>
      <c r="D14" s="29" t="s">
        <v>1519</v>
      </c>
      <c r="E14" s="29" t="s">
        <v>1520</v>
      </c>
      <c r="F14" s="29">
        <v>1</v>
      </c>
      <c r="G14" s="24" t="s">
        <v>1480</v>
      </c>
      <c r="H14" s="26" t="s">
        <v>1481</v>
      </c>
      <c r="I14" s="26" t="s">
        <v>1481</v>
      </c>
      <c r="J14" s="26" t="s">
        <v>1521</v>
      </c>
      <c r="K14" s="26" t="s">
        <v>1522</v>
      </c>
      <c r="L14" s="56">
        <f>MATCH(A14,'Filtered G500'!B$2:B$231,)</f>
        <v>15</v>
      </c>
    </row>
    <row r="15" spans="1:12">
      <c r="A15" s="24" t="s">
        <v>713</v>
      </c>
      <c r="B15" s="24">
        <v>2</v>
      </c>
      <c r="C15" s="29" t="s">
        <v>1477</v>
      </c>
      <c r="D15" s="29" t="s">
        <v>1523</v>
      </c>
      <c r="E15" s="29" t="s">
        <v>1524</v>
      </c>
      <c r="F15" s="29">
        <v>1</v>
      </c>
      <c r="G15" s="24" t="s">
        <v>1480</v>
      </c>
      <c r="H15" s="26" t="s">
        <v>1481</v>
      </c>
      <c r="I15" s="26" t="s">
        <v>1481</v>
      </c>
      <c r="J15" s="26" t="s">
        <v>1525</v>
      </c>
      <c r="K15" s="26" t="s">
        <v>1526</v>
      </c>
      <c r="L15" s="56">
        <f>MATCH(A15,'Filtered G500'!B$2:B$231,)</f>
        <v>16</v>
      </c>
    </row>
    <row r="16" spans="1:12">
      <c r="A16" s="24" t="s">
        <v>119</v>
      </c>
      <c r="B16" s="24">
        <v>3</v>
      </c>
      <c r="C16" s="29" t="s">
        <v>1527</v>
      </c>
      <c r="D16" s="29" t="s">
        <v>1528</v>
      </c>
      <c r="E16" s="29" t="s">
        <v>1529</v>
      </c>
      <c r="F16" s="29">
        <v>-1</v>
      </c>
      <c r="G16" s="25" t="s">
        <v>1530</v>
      </c>
      <c r="H16" s="26" t="s">
        <v>1531</v>
      </c>
      <c r="I16" s="26" t="s">
        <v>1532</v>
      </c>
      <c r="J16" s="26" t="s">
        <v>1533</v>
      </c>
      <c r="K16" s="57" t="s">
        <v>1534</v>
      </c>
      <c r="L16" s="56">
        <f>MATCH(A16,'Filtered G500'!B$2:B$231,)</f>
        <v>17</v>
      </c>
    </row>
    <row r="17" spans="1:12">
      <c r="A17" s="24" t="s">
        <v>156</v>
      </c>
      <c r="B17" s="24">
        <v>2</v>
      </c>
      <c r="C17" s="29" t="s">
        <v>1477</v>
      </c>
      <c r="D17" s="29" t="s">
        <v>1535</v>
      </c>
      <c r="E17" s="29" t="s">
        <v>1536</v>
      </c>
      <c r="F17" s="29">
        <v>1</v>
      </c>
      <c r="G17" s="24" t="s">
        <v>1480</v>
      </c>
      <c r="H17" s="26" t="s">
        <v>1481</v>
      </c>
      <c r="I17" s="26" t="s">
        <v>1481</v>
      </c>
      <c r="J17" s="26" t="s">
        <v>1537</v>
      </c>
      <c r="K17" s="26" t="s">
        <v>1538</v>
      </c>
      <c r="L17" s="56">
        <f>MATCH(A17,'Filtered G500'!B$2:B$231,)</f>
        <v>18</v>
      </c>
    </row>
    <row r="18" spans="1:12">
      <c r="A18" s="24" t="s">
        <v>440</v>
      </c>
      <c r="B18" s="24">
        <v>2</v>
      </c>
      <c r="C18" s="25" t="s">
        <v>1477</v>
      </c>
      <c r="D18" s="25" t="s">
        <v>1539</v>
      </c>
      <c r="E18" s="25" t="s">
        <v>1540</v>
      </c>
      <c r="F18" s="25">
        <v>1</v>
      </c>
      <c r="G18" s="24" t="s">
        <v>1480</v>
      </c>
      <c r="H18" s="27" t="s">
        <v>1481</v>
      </c>
      <c r="I18" s="27" t="s">
        <v>1481</v>
      </c>
      <c r="J18" s="27" t="s">
        <v>1541</v>
      </c>
      <c r="K18" s="27" t="s">
        <v>1542</v>
      </c>
      <c r="L18" s="52">
        <f>MATCH(A18,'Filtered G500'!B$2:B$231,)</f>
        <v>21</v>
      </c>
    </row>
    <row r="19" spans="1:12">
      <c r="A19" s="24" t="s">
        <v>946</v>
      </c>
      <c r="B19" s="24">
        <v>2</v>
      </c>
      <c r="C19" s="25" t="s">
        <v>1543</v>
      </c>
      <c r="D19" s="25" t="s">
        <v>1544</v>
      </c>
      <c r="E19" s="25" t="s">
        <v>1545</v>
      </c>
      <c r="F19" s="25">
        <v>-1</v>
      </c>
      <c r="G19" s="25" t="s">
        <v>1530</v>
      </c>
      <c r="H19" s="27" t="s">
        <v>1546</v>
      </c>
      <c r="I19" s="27" t="s">
        <v>1532</v>
      </c>
      <c r="J19" s="27" t="s">
        <v>1547</v>
      </c>
      <c r="K19" s="51" t="s">
        <v>1548</v>
      </c>
      <c r="L19" s="52">
        <f>MATCH(A19,'Filtered G500'!B$2:B$231,)</f>
        <v>22</v>
      </c>
    </row>
    <row r="20" spans="1:12">
      <c r="A20" s="24" t="s">
        <v>183</v>
      </c>
      <c r="B20" s="24">
        <v>2</v>
      </c>
      <c r="C20" s="25" t="s">
        <v>1477</v>
      </c>
      <c r="D20" s="25" t="s">
        <v>1549</v>
      </c>
      <c r="E20" s="25" t="s">
        <v>1550</v>
      </c>
      <c r="F20" s="25">
        <v>1</v>
      </c>
      <c r="G20" s="24" t="s">
        <v>1480</v>
      </c>
      <c r="H20" s="26" t="s">
        <v>1481</v>
      </c>
      <c r="I20" s="27" t="s">
        <v>1481</v>
      </c>
      <c r="J20" s="28" t="s">
        <v>1551</v>
      </c>
      <c r="K20" s="28" t="s">
        <v>1552</v>
      </c>
      <c r="L20" s="53">
        <f>MATCH(A20,'Filtered G500'!B$2:B$231,)</f>
        <v>23</v>
      </c>
    </row>
    <row r="21" spans="1:12">
      <c r="A21" s="24" t="s">
        <v>1388</v>
      </c>
      <c r="B21" s="24">
        <v>2</v>
      </c>
      <c r="C21" s="25" t="s">
        <v>1477</v>
      </c>
      <c r="D21" s="25" t="s">
        <v>1553</v>
      </c>
      <c r="E21" s="25" t="s">
        <v>1554</v>
      </c>
      <c r="F21" s="25">
        <v>1</v>
      </c>
      <c r="G21" s="24" t="s">
        <v>1480</v>
      </c>
      <c r="H21" s="26" t="s">
        <v>1481</v>
      </c>
      <c r="I21" s="27" t="s">
        <v>1481</v>
      </c>
      <c r="J21" s="28" t="s">
        <v>1555</v>
      </c>
      <c r="K21" s="28" t="s">
        <v>1556</v>
      </c>
      <c r="L21" s="53">
        <f>MATCH(A21,'Filtered G500'!B$2:B$231,)</f>
        <v>24</v>
      </c>
    </row>
    <row r="22" spans="1:12">
      <c r="A22" s="24" t="s">
        <v>1438</v>
      </c>
      <c r="B22" s="24">
        <v>2</v>
      </c>
      <c r="C22" s="25" t="s">
        <v>1477</v>
      </c>
      <c r="D22" s="25" t="s">
        <v>1557</v>
      </c>
      <c r="E22" s="30" t="s">
        <v>1558</v>
      </c>
      <c r="F22" s="25">
        <v>1</v>
      </c>
      <c r="G22" s="24" t="s">
        <v>1480</v>
      </c>
      <c r="H22" s="26" t="s">
        <v>1481</v>
      </c>
      <c r="I22" s="27" t="s">
        <v>1481</v>
      </c>
      <c r="J22" s="28" t="s">
        <v>1559</v>
      </c>
      <c r="K22" s="28" t="s">
        <v>1560</v>
      </c>
      <c r="L22" s="53">
        <f>MATCH(A22,'Filtered G500'!B$2:B$231,)</f>
        <v>4</v>
      </c>
    </row>
    <row r="23" spans="1:12">
      <c r="A23" s="24" t="s">
        <v>463</v>
      </c>
      <c r="B23" s="24">
        <v>2</v>
      </c>
      <c r="C23" s="25" t="s">
        <v>1561</v>
      </c>
      <c r="D23" s="25" t="s">
        <v>1562</v>
      </c>
      <c r="E23" s="25" t="s">
        <v>1563</v>
      </c>
      <c r="F23" s="25">
        <v>1</v>
      </c>
      <c r="G23" s="24" t="s">
        <v>1480</v>
      </c>
      <c r="H23" s="26" t="s">
        <v>1481</v>
      </c>
      <c r="I23" s="27" t="s">
        <v>1481</v>
      </c>
      <c r="J23" s="28" t="s">
        <v>1564</v>
      </c>
      <c r="K23" s="28" t="s">
        <v>1565</v>
      </c>
      <c r="L23" s="53">
        <f>MATCH(A23,'Filtered G500'!B$2:B$231,)</f>
        <v>25</v>
      </c>
    </row>
    <row r="24" spans="1:12">
      <c r="A24" s="24" t="s">
        <v>1443</v>
      </c>
      <c r="B24" s="24">
        <v>2</v>
      </c>
      <c r="C24" s="25" t="s">
        <v>1566</v>
      </c>
      <c r="D24" s="25" t="s">
        <v>1567</v>
      </c>
      <c r="E24" s="25" t="s">
        <v>1568</v>
      </c>
      <c r="F24" s="25">
        <v>-1</v>
      </c>
      <c r="G24" s="25" t="s">
        <v>1530</v>
      </c>
      <c r="H24" s="26" t="s">
        <v>1569</v>
      </c>
      <c r="I24" s="27" t="s">
        <v>1532</v>
      </c>
      <c r="J24" s="28" t="s">
        <v>1570</v>
      </c>
      <c r="K24" s="28" t="s">
        <v>1571</v>
      </c>
      <c r="L24" s="53">
        <f>MATCH(A24,'Filtered G500'!B$2:B$231,)</f>
        <v>26</v>
      </c>
    </row>
    <row r="25" spans="1:12">
      <c r="A25" s="24" t="s">
        <v>21</v>
      </c>
      <c r="B25" s="24">
        <v>3</v>
      </c>
      <c r="C25" s="25" t="s">
        <v>1572</v>
      </c>
      <c r="D25" s="25" t="s">
        <v>1573</v>
      </c>
      <c r="E25" s="25" t="s">
        <v>1574</v>
      </c>
      <c r="F25" s="25">
        <v>0</v>
      </c>
      <c r="G25" s="24" t="s">
        <v>1489</v>
      </c>
      <c r="H25" s="27" t="s">
        <v>1481</v>
      </c>
      <c r="I25" s="27" t="s">
        <v>1481</v>
      </c>
      <c r="J25" s="27"/>
      <c r="K25" s="27"/>
      <c r="L25" s="52">
        <f>MATCH(A25,'Filtered G500'!B$2:B$231,)</f>
        <v>28</v>
      </c>
    </row>
    <row r="26" spans="1:12">
      <c r="A26" s="24" t="s">
        <v>1170</v>
      </c>
      <c r="B26" s="24">
        <v>1</v>
      </c>
      <c r="C26" s="25" t="s">
        <v>1575</v>
      </c>
      <c r="D26" s="25" t="s">
        <v>1478</v>
      </c>
      <c r="E26" s="25" t="s">
        <v>1576</v>
      </c>
      <c r="F26" s="25">
        <v>0</v>
      </c>
      <c r="G26" s="24" t="s">
        <v>1489</v>
      </c>
      <c r="H26" s="27" t="s">
        <v>1481</v>
      </c>
      <c r="I26" s="27" t="s">
        <v>1481</v>
      </c>
      <c r="J26" s="27"/>
      <c r="K26" s="27"/>
      <c r="L26" s="52">
        <f>MATCH(A26,'Filtered G500'!B$2:B$231,)</f>
        <v>57</v>
      </c>
    </row>
    <row r="27" spans="1:12">
      <c r="A27" s="24" t="s">
        <v>1268</v>
      </c>
      <c r="B27" s="24">
        <v>2</v>
      </c>
      <c r="C27" s="25" t="s">
        <v>1477</v>
      </c>
      <c r="D27" s="25" t="s">
        <v>1577</v>
      </c>
      <c r="E27" s="25" t="s">
        <v>1578</v>
      </c>
      <c r="F27" s="25">
        <v>1</v>
      </c>
      <c r="G27" s="24" t="s">
        <v>1480</v>
      </c>
      <c r="H27" s="26" t="s">
        <v>1481</v>
      </c>
      <c r="I27" s="27" t="s">
        <v>1481</v>
      </c>
      <c r="J27" s="28" t="s">
        <v>1579</v>
      </c>
      <c r="K27" s="28" t="s">
        <v>1580</v>
      </c>
      <c r="L27" s="53">
        <f>MATCH(A27,'Filtered G500'!B$2:B$231,)</f>
        <v>58</v>
      </c>
    </row>
    <row r="28" spans="1:12">
      <c r="A28" s="24" t="s">
        <v>737</v>
      </c>
      <c r="B28" s="24">
        <v>2</v>
      </c>
      <c r="C28" s="29" t="s">
        <v>1477</v>
      </c>
      <c r="D28" s="29" t="s">
        <v>1581</v>
      </c>
      <c r="E28" s="29" t="s">
        <v>1582</v>
      </c>
      <c r="F28" s="29">
        <v>1</v>
      </c>
      <c r="G28" s="24" t="s">
        <v>1480</v>
      </c>
      <c r="H28" s="26" t="s">
        <v>1481</v>
      </c>
      <c r="I28" s="26" t="s">
        <v>1481</v>
      </c>
      <c r="J28" s="26" t="s">
        <v>1583</v>
      </c>
      <c r="K28" s="26" t="s">
        <v>1584</v>
      </c>
      <c r="L28" s="56">
        <f>MATCH(A28,'Filtered G500'!B$2:B$231,)</f>
        <v>29</v>
      </c>
    </row>
    <row r="29" spans="1:12">
      <c r="A29" s="24" t="s">
        <v>470</v>
      </c>
      <c r="B29" s="24">
        <v>2</v>
      </c>
      <c r="C29" s="29" t="s">
        <v>1477</v>
      </c>
      <c r="D29" s="29" t="s">
        <v>1585</v>
      </c>
      <c r="E29" s="29" t="s">
        <v>1586</v>
      </c>
      <c r="F29" s="29">
        <v>1</v>
      </c>
      <c r="G29" s="24" t="s">
        <v>1480</v>
      </c>
      <c r="H29" s="26" t="s">
        <v>1481</v>
      </c>
      <c r="I29" s="26" t="s">
        <v>1481</v>
      </c>
      <c r="J29" s="26" t="s">
        <v>1587</v>
      </c>
      <c r="K29" s="26" t="s">
        <v>1588</v>
      </c>
      <c r="L29" s="56">
        <f>MATCH(A29,'Filtered G500'!B$2:B$231,)</f>
        <v>5</v>
      </c>
    </row>
    <row r="30" spans="1:12">
      <c r="A30" s="24" t="s">
        <v>677</v>
      </c>
      <c r="B30" s="24">
        <v>2</v>
      </c>
      <c r="C30" s="29" t="s">
        <v>1477</v>
      </c>
      <c r="D30" s="29" t="s">
        <v>1589</v>
      </c>
      <c r="E30" s="29" t="s">
        <v>1590</v>
      </c>
      <c r="F30" s="29">
        <v>1</v>
      </c>
      <c r="G30" s="24" t="s">
        <v>1480</v>
      </c>
      <c r="H30" s="26" t="s">
        <v>1481</v>
      </c>
      <c r="I30" s="26" t="s">
        <v>1481</v>
      </c>
      <c r="J30" s="26" t="s">
        <v>1591</v>
      </c>
      <c r="K30" s="26" t="s">
        <v>1592</v>
      </c>
      <c r="L30" s="56">
        <f>MATCH(A30,'Filtered G500'!B$2:B$231,)</f>
        <v>6</v>
      </c>
    </row>
    <row r="31" spans="1:12">
      <c r="A31" s="24" t="s">
        <v>147</v>
      </c>
      <c r="B31" s="24">
        <v>1</v>
      </c>
      <c r="C31" s="25" t="s">
        <v>1593</v>
      </c>
      <c r="D31" s="25" t="s">
        <v>1478</v>
      </c>
      <c r="E31" s="25" t="s">
        <v>1594</v>
      </c>
      <c r="F31" s="25">
        <v>0</v>
      </c>
      <c r="G31" s="24" t="s">
        <v>1489</v>
      </c>
      <c r="H31" s="27" t="s">
        <v>1481</v>
      </c>
      <c r="I31" s="27" t="s">
        <v>1481</v>
      </c>
      <c r="J31" s="27"/>
      <c r="K31" s="27"/>
      <c r="L31" s="52">
        <f>MATCH(A31,'Filtered G500'!B$2:B$231,)</f>
        <v>34</v>
      </c>
    </row>
    <row r="32" spans="1:12">
      <c r="A32" s="24" t="s">
        <v>332</v>
      </c>
      <c r="B32" s="24">
        <v>1</v>
      </c>
      <c r="C32" s="25" t="s">
        <v>1477</v>
      </c>
      <c r="D32" s="25" t="s">
        <v>1478</v>
      </c>
      <c r="E32" s="25" t="s">
        <v>1595</v>
      </c>
      <c r="F32" s="25">
        <v>0</v>
      </c>
      <c r="G32" s="24" t="s">
        <v>1489</v>
      </c>
      <c r="H32" s="27" t="s">
        <v>1481</v>
      </c>
      <c r="I32" s="27" t="s">
        <v>1481</v>
      </c>
      <c r="J32" s="27"/>
      <c r="K32" s="27"/>
      <c r="L32" s="52">
        <f>MATCH(A32,'Filtered G500'!B$2:B$231,)</f>
        <v>59</v>
      </c>
    </row>
    <row r="33" spans="1:20">
      <c r="A33" s="24" t="s">
        <v>59</v>
      </c>
      <c r="B33" s="24">
        <v>2</v>
      </c>
      <c r="C33" s="25" t="s">
        <v>1477</v>
      </c>
      <c r="D33" s="25" t="s">
        <v>1596</v>
      </c>
      <c r="E33" s="25" t="s">
        <v>1597</v>
      </c>
      <c r="F33" s="25">
        <v>0</v>
      </c>
      <c r="G33" s="24" t="s">
        <v>1489</v>
      </c>
      <c r="H33" s="26" t="s">
        <v>1481</v>
      </c>
      <c r="I33" s="27" t="s">
        <v>1481</v>
      </c>
      <c r="J33" s="28" t="s">
        <v>1598</v>
      </c>
      <c r="K33" s="28" t="s">
        <v>1599</v>
      </c>
      <c r="L33" s="53">
        <f>MATCH(A33,'Filtered G500'!B$2:B$231,)</f>
        <v>11</v>
      </c>
    </row>
    <row r="34" spans="1:20">
      <c r="A34" s="24" t="s">
        <v>342</v>
      </c>
      <c r="B34" s="24">
        <v>2</v>
      </c>
      <c r="C34" s="25" t="s">
        <v>1600</v>
      </c>
      <c r="D34" s="25" t="s">
        <v>1601</v>
      </c>
      <c r="E34" s="25" t="s">
        <v>1602</v>
      </c>
      <c r="F34" s="25">
        <v>0</v>
      </c>
      <c r="G34" s="24" t="s">
        <v>1489</v>
      </c>
      <c r="H34" s="26" t="s">
        <v>1481</v>
      </c>
      <c r="I34" s="27" t="s">
        <v>1481</v>
      </c>
      <c r="J34" s="28" t="s">
        <v>1603</v>
      </c>
      <c r="K34" s="28" t="s">
        <v>1604</v>
      </c>
      <c r="L34" s="53">
        <f>MATCH(A34,'Filtered G500'!B$2:B$231,)</f>
        <v>35</v>
      </c>
    </row>
    <row r="35" spans="1:20">
      <c r="A35" s="24" t="s">
        <v>192</v>
      </c>
      <c r="B35" s="24">
        <v>1</v>
      </c>
      <c r="C35" s="25" t="s">
        <v>1477</v>
      </c>
      <c r="D35" s="25" t="s">
        <v>1478</v>
      </c>
      <c r="E35" s="25" t="s">
        <v>1605</v>
      </c>
      <c r="F35" s="25">
        <v>1</v>
      </c>
      <c r="G35" s="24" t="s">
        <v>1480</v>
      </c>
      <c r="H35" s="26" t="s">
        <v>1481</v>
      </c>
      <c r="I35" s="27" t="s">
        <v>1481</v>
      </c>
      <c r="J35" s="28" t="s">
        <v>1606</v>
      </c>
      <c r="K35" s="28" t="s">
        <v>1607</v>
      </c>
      <c r="L35" s="53">
        <f>MATCH(A35,'Filtered G500'!B$2:B$231,)</f>
        <v>38</v>
      </c>
    </row>
    <row r="36" spans="1:20">
      <c r="A36" s="24" t="s">
        <v>1098</v>
      </c>
      <c r="B36" s="24">
        <v>1</v>
      </c>
      <c r="C36" s="25" t="s">
        <v>1477</v>
      </c>
      <c r="D36" s="25" t="s">
        <v>1478</v>
      </c>
      <c r="E36" s="25" t="s">
        <v>1608</v>
      </c>
      <c r="F36" s="25">
        <v>1</v>
      </c>
      <c r="G36" s="24" t="s">
        <v>1480</v>
      </c>
      <c r="H36" s="26" t="s">
        <v>1481</v>
      </c>
      <c r="I36" s="27" t="s">
        <v>1481</v>
      </c>
      <c r="J36" s="28" t="s">
        <v>1609</v>
      </c>
      <c r="K36" s="28" t="s">
        <v>1610</v>
      </c>
      <c r="L36" s="53">
        <f>MATCH(A36,'Filtered G500'!B$2:B$231,)</f>
        <v>19</v>
      </c>
    </row>
    <row r="37" spans="1:20">
      <c r="A37" s="24" t="s">
        <v>1334</v>
      </c>
      <c r="B37" s="24">
        <v>2</v>
      </c>
      <c r="C37" s="25" t="s">
        <v>1477</v>
      </c>
      <c r="D37" s="25" t="s">
        <v>1611</v>
      </c>
      <c r="E37" s="25" t="s">
        <v>1612</v>
      </c>
      <c r="F37" s="25">
        <v>-1</v>
      </c>
      <c r="G37" s="25" t="s">
        <v>1530</v>
      </c>
      <c r="H37" s="26" t="s">
        <v>1569</v>
      </c>
      <c r="I37" s="27" t="s">
        <v>1532</v>
      </c>
      <c r="J37" s="28" t="s">
        <v>1613</v>
      </c>
      <c r="K37" s="28" t="s">
        <v>1614</v>
      </c>
      <c r="L37" s="53">
        <f>MATCH(A37,'Filtered G500'!B$2:B$231,)</f>
        <v>39</v>
      </c>
    </row>
    <row r="38" spans="1:20">
      <c r="A38" s="24" t="s">
        <v>35</v>
      </c>
      <c r="B38" s="24">
        <v>2</v>
      </c>
      <c r="C38" s="29" t="s">
        <v>1477</v>
      </c>
      <c r="D38" s="29" t="s">
        <v>1615</v>
      </c>
      <c r="E38" s="29" t="s">
        <v>1616</v>
      </c>
      <c r="F38" s="29">
        <v>-1</v>
      </c>
      <c r="G38" s="25" t="s">
        <v>1530</v>
      </c>
      <c r="H38" s="26" t="s">
        <v>1569</v>
      </c>
      <c r="I38" s="26" t="s">
        <v>1532</v>
      </c>
      <c r="J38" s="26" t="s">
        <v>1617</v>
      </c>
      <c r="K38" s="26" t="s">
        <v>1618</v>
      </c>
      <c r="L38" s="56">
        <f>MATCH(A38,'Filtered G500'!B$2:B$231,)</f>
        <v>40</v>
      </c>
    </row>
    <row r="39" spans="1:20">
      <c r="A39" s="24" t="s">
        <v>1059</v>
      </c>
      <c r="B39" s="24">
        <v>2</v>
      </c>
      <c r="C39" s="29" t="s">
        <v>1477</v>
      </c>
      <c r="D39" s="29" t="s">
        <v>1619</v>
      </c>
      <c r="E39" s="29" t="s">
        <v>1620</v>
      </c>
      <c r="F39" s="29">
        <v>-1</v>
      </c>
      <c r="G39" s="25" t="s">
        <v>1530</v>
      </c>
      <c r="H39" s="26" t="s">
        <v>1531</v>
      </c>
      <c r="I39" s="26" t="s">
        <v>1532</v>
      </c>
      <c r="J39" s="26" t="s">
        <v>1621</v>
      </c>
      <c r="K39" s="26" t="s">
        <v>1622</v>
      </c>
      <c r="L39" s="56">
        <f>MATCH(A39,'Filtered G500'!B$2:B$231,)</f>
        <v>41</v>
      </c>
    </row>
    <row r="40" spans="1:20">
      <c r="A40" s="24" t="s">
        <v>233</v>
      </c>
      <c r="B40" s="24">
        <v>2</v>
      </c>
      <c r="C40" s="29" t="s">
        <v>1623</v>
      </c>
      <c r="D40" s="29" t="s">
        <v>1624</v>
      </c>
      <c r="E40" s="29" t="s">
        <v>1625</v>
      </c>
      <c r="F40" s="29">
        <v>1</v>
      </c>
      <c r="G40" s="24" t="s">
        <v>1480</v>
      </c>
      <c r="H40" s="26" t="s">
        <v>1481</v>
      </c>
      <c r="I40" s="26" t="s">
        <v>1481</v>
      </c>
      <c r="J40" s="26" t="s">
        <v>1626</v>
      </c>
      <c r="K40" s="26" t="s">
        <v>1627</v>
      </c>
      <c r="L40" s="56">
        <f>MATCH(A40,'Filtered G500'!B$2:B$231,)</f>
        <v>42</v>
      </c>
    </row>
    <row r="41" spans="1:20">
      <c r="A41" s="24" t="s">
        <v>860</v>
      </c>
      <c r="B41" s="24">
        <v>2</v>
      </c>
      <c r="C41" s="25" t="s">
        <v>1477</v>
      </c>
      <c r="D41" s="25" t="s">
        <v>1628</v>
      </c>
      <c r="E41" s="25" t="s">
        <v>1629</v>
      </c>
      <c r="F41" s="25">
        <v>1</v>
      </c>
      <c r="G41" s="24" t="s">
        <v>1480</v>
      </c>
      <c r="H41" s="26" t="s">
        <v>1481</v>
      </c>
      <c r="I41" s="27" t="s">
        <v>1481</v>
      </c>
      <c r="J41" s="28" t="s">
        <v>1630</v>
      </c>
      <c r="K41" s="28" t="s">
        <v>1631</v>
      </c>
      <c r="L41" s="53">
        <f>MATCH(A41,'Filtered G500'!B$2:B$231,)</f>
        <v>47</v>
      </c>
    </row>
    <row r="42" spans="1:20">
      <c r="A42" s="24" t="s">
        <v>1067</v>
      </c>
      <c r="B42" s="24">
        <v>2</v>
      </c>
      <c r="C42" s="25" t="s">
        <v>1477</v>
      </c>
      <c r="D42" s="25" t="s">
        <v>1632</v>
      </c>
      <c r="E42" s="25" t="s">
        <v>1633</v>
      </c>
      <c r="F42" s="25">
        <v>-1</v>
      </c>
      <c r="G42" s="25" t="s">
        <v>1530</v>
      </c>
      <c r="H42" s="26" t="s">
        <v>1634</v>
      </c>
      <c r="I42" s="27" t="s">
        <v>1532</v>
      </c>
      <c r="J42" s="28" t="s">
        <v>1635</v>
      </c>
      <c r="K42" s="28" t="s">
        <v>1636</v>
      </c>
      <c r="L42" s="53">
        <f>MATCH(A42,'Filtered G500'!B$2:B$231,)</f>
        <v>27</v>
      </c>
    </row>
    <row r="43" spans="1:20">
      <c r="A43" s="24" t="s">
        <v>361</v>
      </c>
      <c r="B43" s="24">
        <v>2</v>
      </c>
      <c r="C43" s="25" t="s">
        <v>1477</v>
      </c>
      <c r="D43" s="25" t="s">
        <v>1637</v>
      </c>
      <c r="E43" s="25" t="s">
        <v>1638</v>
      </c>
      <c r="F43" s="25">
        <v>0</v>
      </c>
      <c r="G43" s="24" t="s">
        <v>1489</v>
      </c>
      <c r="H43" s="27" t="s">
        <v>1481</v>
      </c>
      <c r="I43" s="27" t="s">
        <v>1481</v>
      </c>
      <c r="J43" s="27"/>
      <c r="K43" s="27"/>
      <c r="L43" s="52">
        <f>MATCH(A43,'Filtered G500'!B$2:B$231,)</f>
        <v>48</v>
      </c>
    </row>
    <row r="44" spans="1:20">
      <c r="A44" s="24" t="s">
        <v>267</v>
      </c>
      <c r="B44" s="24">
        <v>2</v>
      </c>
      <c r="C44" s="29" t="s">
        <v>1639</v>
      </c>
      <c r="D44" s="29" t="s">
        <v>1640</v>
      </c>
      <c r="E44" s="29" t="s">
        <v>1641</v>
      </c>
      <c r="F44" s="29">
        <v>1</v>
      </c>
      <c r="G44" s="24" t="s">
        <v>1480</v>
      </c>
      <c r="H44" s="26" t="s">
        <v>1481</v>
      </c>
      <c r="I44" s="26" t="s">
        <v>1481</v>
      </c>
      <c r="J44" s="26" t="s">
        <v>1642</v>
      </c>
      <c r="K44" s="26" t="s">
        <v>1643</v>
      </c>
      <c r="L44" s="56">
        <f>MATCH(A44,'Filtered G500'!B$2:B$231,)</f>
        <v>49</v>
      </c>
    </row>
    <row r="45" spans="1:20">
      <c r="A45" s="24" t="s">
        <v>304</v>
      </c>
      <c r="B45" s="24">
        <v>2</v>
      </c>
      <c r="C45" s="25" t="s">
        <v>1477</v>
      </c>
      <c r="D45" s="25" t="s">
        <v>1644</v>
      </c>
      <c r="E45" s="25" t="s">
        <v>1645</v>
      </c>
      <c r="F45" s="25">
        <v>1</v>
      </c>
      <c r="G45" s="24" t="s">
        <v>1480</v>
      </c>
      <c r="H45" s="27" t="s">
        <v>1481</v>
      </c>
      <c r="I45" s="27" t="s">
        <v>1481</v>
      </c>
      <c r="J45" s="27" t="s">
        <v>1646</v>
      </c>
      <c r="K45" s="51" t="s">
        <v>1647</v>
      </c>
      <c r="L45" s="52">
        <f>MATCH(A45,'Filtered G500'!B$2:B$231,)</f>
        <v>84</v>
      </c>
    </row>
    <row r="46" spans="1:20">
      <c r="A46" s="24" t="s">
        <v>38</v>
      </c>
      <c r="B46" s="24">
        <v>2</v>
      </c>
      <c r="C46" s="25" t="s">
        <v>1648</v>
      </c>
      <c r="D46" s="25" t="s">
        <v>1649</v>
      </c>
      <c r="E46" s="25" t="s">
        <v>1650</v>
      </c>
      <c r="F46" s="25">
        <v>-1</v>
      </c>
      <c r="G46" s="25" t="s">
        <v>1530</v>
      </c>
      <c r="H46" s="27" t="s">
        <v>1531</v>
      </c>
      <c r="I46" s="27" t="s">
        <v>1532</v>
      </c>
      <c r="J46" s="27" t="s">
        <v>1651</v>
      </c>
      <c r="K46" s="51" t="s">
        <v>1652</v>
      </c>
      <c r="L46" s="52">
        <f>MATCH(A46,'Filtered G500'!B$2:B$231,)</f>
        <v>60</v>
      </c>
    </row>
    <row r="47" spans="1:20">
      <c r="A47" s="24" t="s">
        <v>100</v>
      </c>
      <c r="B47" s="24">
        <v>1</v>
      </c>
      <c r="C47" s="25" t="s">
        <v>1653</v>
      </c>
      <c r="D47" s="25" t="s">
        <v>1478</v>
      </c>
      <c r="E47" s="25" t="s">
        <v>1654</v>
      </c>
      <c r="F47" s="25">
        <v>0</v>
      </c>
      <c r="G47" s="24" t="s">
        <v>1489</v>
      </c>
      <c r="H47" s="27" t="s">
        <v>1481</v>
      </c>
      <c r="I47" s="27" t="s">
        <v>1481</v>
      </c>
      <c r="J47" s="27"/>
      <c r="K47" s="27"/>
      <c r="L47" s="52">
        <f>MATCH(A47,'Filtered G500'!B$2:B$231,)</f>
        <v>61</v>
      </c>
    </row>
    <row r="48" spans="1:20">
      <c r="A48" s="24" t="s">
        <v>85</v>
      </c>
      <c r="B48" s="24">
        <v>2</v>
      </c>
      <c r="C48" s="25" t="s">
        <v>1477</v>
      </c>
      <c r="D48" s="25" t="s">
        <v>1655</v>
      </c>
      <c r="E48" s="25" t="s">
        <v>1656</v>
      </c>
      <c r="F48" s="25">
        <v>1</v>
      </c>
      <c r="G48" s="24" t="s">
        <v>1480</v>
      </c>
      <c r="H48" s="27" t="s">
        <v>1481</v>
      </c>
      <c r="I48" s="27" t="s">
        <v>1481</v>
      </c>
      <c r="J48" s="27" t="s">
        <v>1657</v>
      </c>
      <c r="K48" s="27" t="s">
        <v>1658</v>
      </c>
      <c r="L48" s="52">
        <f>MATCH(A48,'Filtered G500'!B$2:B$231,)</f>
        <v>62</v>
      </c>
      <c r="M48" s="31"/>
      <c r="N48" s="32"/>
      <c r="O48" s="32"/>
      <c r="P48" s="32"/>
      <c r="Q48" s="31"/>
      <c r="R48" s="32"/>
      <c r="S48" s="32"/>
      <c r="T48" s="32"/>
    </row>
    <row r="49" spans="1:20">
      <c r="A49" s="24" t="s">
        <v>409</v>
      </c>
      <c r="B49" s="24">
        <v>1</v>
      </c>
      <c r="C49" s="25" t="s">
        <v>1659</v>
      </c>
      <c r="D49" s="25" t="s">
        <v>1478</v>
      </c>
      <c r="E49" s="25" t="s">
        <v>1660</v>
      </c>
      <c r="F49" s="25">
        <v>0</v>
      </c>
      <c r="G49" s="24" t="s">
        <v>1489</v>
      </c>
      <c r="H49" s="27" t="s">
        <v>1481</v>
      </c>
      <c r="I49" s="27" t="s">
        <v>1481</v>
      </c>
      <c r="J49" s="27"/>
      <c r="K49" s="27"/>
      <c r="L49" s="52">
        <f>MATCH(A49,'Filtered G500'!B$2:B$231,)</f>
        <v>36</v>
      </c>
      <c r="M49" s="33"/>
      <c r="N49" s="34"/>
      <c r="O49" s="34"/>
      <c r="P49" s="34"/>
      <c r="Q49" s="33"/>
      <c r="R49" s="34"/>
      <c r="S49" s="34"/>
      <c r="T49" s="34"/>
    </row>
    <row r="50" spans="1:20">
      <c r="A50" s="24" t="s">
        <v>402</v>
      </c>
      <c r="B50" s="24">
        <v>1</v>
      </c>
      <c r="C50" s="25" t="s">
        <v>1477</v>
      </c>
      <c r="D50" s="25" t="s">
        <v>1478</v>
      </c>
      <c r="E50" s="25" t="s">
        <v>1661</v>
      </c>
      <c r="F50" s="25">
        <v>0</v>
      </c>
      <c r="G50" s="24" t="s">
        <v>1489</v>
      </c>
      <c r="H50" s="27" t="s">
        <v>1481</v>
      </c>
      <c r="I50" s="27" t="s">
        <v>1481</v>
      </c>
      <c r="J50" s="27"/>
      <c r="K50" s="27"/>
      <c r="L50" s="52">
        <f>MATCH(A50,'Filtered G500'!B$2:B$231,)</f>
        <v>63</v>
      </c>
      <c r="M50" s="33"/>
      <c r="N50" s="34"/>
      <c r="O50" s="34"/>
      <c r="P50" s="34"/>
      <c r="Q50" s="33"/>
      <c r="R50" s="34"/>
      <c r="S50" s="34"/>
      <c r="T50" s="34"/>
    </row>
    <row r="51" spans="1:20">
      <c r="A51" s="24" t="s">
        <v>464</v>
      </c>
      <c r="B51" s="24">
        <v>1</v>
      </c>
      <c r="C51" s="25" t="s">
        <v>1477</v>
      </c>
      <c r="D51" s="25" t="s">
        <v>1478</v>
      </c>
      <c r="E51" s="25" t="s">
        <v>1662</v>
      </c>
      <c r="F51" s="25">
        <v>0</v>
      </c>
      <c r="G51" s="24" t="s">
        <v>1489</v>
      </c>
      <c r="H51" s="26" t="s">
        <v>1481</v>
      </c>
      <c r="I51" s="27" t="s">
        <v>1481</v>
      </c>
      <c r="J51" s="28" t="s">
        <v>1663</v>
      </c>
      <c r="K51" s="28" t="s">
        <v>1664</v>
      </c>
      <c r="L51" s="53">
        <f>MATCH(A51,'Filtered G500'!B$2:B$231,)</f>
        <v>37</v>
      </c>
      <c r="M51" s="33"/>
      <c r="N51" s="34"/>
      <c r="O51" s="34"/>
      <c r="P51" s="34"/>
      <c r="Q51" s="33"/>
      <c r="R51" s="34"/>
      <c r="S51" s="34"/>
      <c r="T51" s="34"/>
    </row>
    <row r="52" spans="1:20">
      <c r="A52" s="24" t="s">
        <v>146</v>
      </c>
      <c r="B52" s="24">
        <v>1</v>
      </c>
      <c r="C52" s="25" t="s">
        <v>1477</v>
      </c>
      <c r="D52" s="25" t="s">
        <v>1478</v>
      </c>
      <c r="E52" s="25" t="s">
        <v>1665</v>
      </c>
      <c r="F52" s="25">
        <v>0</v>
      </c>
      <c r="G52" s="24" t="s">
        <v>1489</v>
      </c>
      <c r="H52" s="26" t="s">
        <v>1481</v>
      </c>
      <c r="I52" s="27" t="s">
        <v>1481</v>
      </c>
      <c r="J52" s="28" t="s">
        <v>1666</v>
      </c>
      <c r="K52" s="55" t="s">
        <v>1667</v>
      </c>
      <c r="L52" s="53">
        <f>MATCH(A52,'Filtered G500'!B$2:B$231,)</f>
        <v>64</v>
      </c>
      <c r="M52" s="33"/>
      <c r="N52" s="34"/>
      <c r="O52" s="34"/>
      <c r="P52" s="34"/>
      <c r="Q52" s="33"/>
      <c r="R52" s="34"/>
      <c r="S52" s="34"/>
      <c r="T52" s="34"/>
    </row>
    <row r="53" spans="1:20">
      <c r="A53" s="24" t="s">
        <v>648</v>
      </c>
      <c r="B53" s="24">
        <v>2</v>
      </c>
      <c r="C53" s="25" t="s">
        <v>1477</v>
      </c>
      <c r="D53" s="25" t="s">
        <v>1668</v>
      </c>
      <c r="E53" s="25" t="s">
        <v>1669</v>
      </c>
      <c r="F53" s="25">
        <v>-1</v>
      </c>
      <c r="G53" s="25" t="s">
        <v>1530</v>
      </c>
      <c r="H53" s="26" t="s">
        <v>1670</v>
      </c>
      <c r="I53" s="27" t="s">
        <v>1671</v>
      </c>
      <c r="J53" s="28" t="s">
        <v>1672</v>
      </c>
      <c r="K53" s="28" t="s">
        <v>1673</v>
      </c>
      <c r="L53" s="53">
        <f>MATCH(A53,'Filtered G500'!B$2:B$231,)</f>
        <v>65</v>
      </c>
      <c r="M53" s="33"/>
      <c r="N53" s="34"/>
      <c r="O53" s="34"/>
      <c r="P53" s="34"/>
      <c r="Q53" s="33"/>
      <c r="R53" s="34"/>
      <c r="S53" s="34"/>
      <c r="T53" s="34"/>
    </row>
    <row r="54" spans="1:20">
      <c r="A54" s="24" t="s">
        <v>908</v>
      </c>
      <c r="B54" s="24">
        <v>2</v>
      </c>
      <c r="C54" s="25" t="s">
        <v>1477</v>
      </c>
      <c r="D54" s="25" t="s">
        <v>1674</v>
      </c>
      <c r="E54" s="25" t="s">
        <v>1675</v>
      </c>
      <c r="F54" s="25">
        <v>-1</v>
      </c>
      <c r="G54" s="25" t="s">
        <v>1530</v>
      </c>
      <c r="H54" s="26" t="s">
        <v>1676</v>
      </c>
      <c r="I54" s="27" t="s">
        <v>1677</v>
      </c>
      <c r="J54" s="28" t="s">
        <v>1678</v>
      </c>
      <c r="K54" s="55" t="s">
        <v>1679</v>
      </c>
      <c r="L54" s="53">
        <f>MATCH(A54,'Filtered G500'!B$2:B$231,)</f>
        <v>66</v>
      </c>
      <c r="M54" s="33"/>
      <c r="N54" s="34"/>
      <c r="O54" s="34"/>
      <c r="P54" s="34"/>
      <c r="Q54" s="33"/>
      <c r="R54" s="34"/>
      <c r="S54" s="34"/>
      <c r="T54" s="34"/>
    </row>
    <row r="55" spans="1:20">
      <c r="A55" s="24" t="s">
        <v>1013</v>
      </c>
      <c r="B55" s="24">
        <v>2</v>
      </c>
      <c r="C55" s="25" t="s">
        <v>1477</v>
      </c>
      <c r="D55" s="25" t="s">
        <v>1680</v>
      </c>
      <c r="E55" s="25" t="s">
        <v>1681</v>
      </c>
      <c r="F55" s="25">
        <v>1</v>
      </c>
      <c r="G55" s="24" t="s">
        <v>1480</v>
      </c>
      <c r="H55" s="26" t="s">
        <v>1481</v>
      </c>
      <c r="I55" s="27" t="s">
        <v>1481</v>
      </c>
      <c r="J55" s="28" t="s">
        <v>1682</v>
      </c>
      <c r="K55" s="28" t="s">
        <v>1683</v>
      </c>
      <c r="L55" s="53">
        <f>MATCH(A55,'Filtered G500'!B$2:B$231,)</f>
        <v>32</v>
      </c>
      <c r="M55" s="33"/>
      <c r="N55" s="34"/>
      <c r="O55" s="34"/>
      <c r="P55" s="34"/>
      <c r="Q55" s="33"/>
      <c r="R55" s="34"/>
      <c r="S55" s="34"/>
      <c r="T55" s="34"/>
    </row>
    <row r="56" spans="1:20">
      <c r="A56" s="24" t="s">
        <v>1244</v>
      </c>
      <c r="B56" s="24">
        <v>2</v>
      </c>
      <c r="C56" s="25" t="s">
        <v>1684</v>
      </c>
      <c r="D56" s="25" t="s">
        <v>1685</v>
      </c>
      <c r="E56" s="25" t="s">
        <v>1686</v>
      </c>
      <c r="F56" s="25">
        <v>1</v>
      </c>
      <c r="G56" s="24" t="s">
        <v>1480</v>
      </c>
      <c r="H56" s="26" t="s">
        <v>1481</v>
      </c>
      <c r="I56" s="27" t="s">
        <v>1481</v>
      </c>
      <c r="J56" s="28" t="s">
        <v>1687</v>
      </c>
      <c r="K56" s="28" t="s">
        <v>1688</v>
      </c>
      <c r="L56" s="53">
        <f>MATCH(A56,'Filtered G500'!B$2:B$231,)</f>
        <v>67</v>
      </c>
      <c r="M56" s="33"/>
      <c r="N56" s="34"/>
      <c r="O56" s="34"/>
      <c r="P56" s="34"/>
      <c r="Q56" s="33"/>
      <c r="R56" s="34"/>
      <c r="S56" s="34"/>
      <c r="T56" s="34"/>
    </row>
    <row r="57" spans="1:20">
      <c r="A57" s="24" t="s">
        <v>1043</v>
      </c>
      <c r="B57" s="24">
        <v>1</v>
      </c>
      <c r="C57" s="25" t="s">
        <v>1477</v>
      </c>
      <c r="D57" s="25" t="s">
        <v>1478</v>
      </c>
      <c r="E57" s="25" t="s">
        <v>1689</v>
      </c>
      <c r="F57" s="25">
        <v>0</v>
      </c>
      <c r="G57" s="24" t="s">
        <v>1489</v>
      </c>
      <c r="H57" s="26" t="s">
        <v>1481</v>
      </c>
      <c r="I57" s="27" t="s">
        <v>1481</v>
      </c>
      <c r="J57" s="28" t="s">
        <v>1690</v>
      </c>
      <c r="K57" s="55" t="s">
        <v>1691</v>
      </c>
      <c r="L57" s="53">
        <f>MATCH(A57,'Filtered G500'!B$2:B$231,)</f>
        <v>68</v>
      </c>
      <c r="M57" s="33"/>
      <c r="N57" s="34"/>
      <c r="O57" s="34"/>
      <c r="P57" s="34"/>
      <c r="Q57" s="33"/>
      <c r="R57" s="34"/>
      <c r="S57" s="34"/>
      <c r="T57" s="34"/>
    </row>
    <row r="58" spans="1:20">
      <c r="A58" s="24" t="s">
        <v>896</v>
      </c>
      <c r="B58" s="24">
        <v>2</v>
      </c>
      <c r="C58" s="25" t="s">
        <v>1477</v>
      </c>
      <c r="D58" s="25" t="s">
        <v>1692</v>
      </c>
      <c r="E58" s="25" t="s">
        <v>1693</v>
      </c>
      <c r="F58" s="25">
        <v>0</v>
      </c>
      <c r="G58" s="24" t="s">
        <v>1489</v>
      </c>
      <c r="H58" s="26" t="s">
        <v>1481</v>
      </c>
      <c r="I58" s="27" t="s">
        <v>1481</v>
      </c>
      <c r="J58" s="28" t="s">
        <v>1694</v>
      </c>
      <c r="K58" s="28" t="s">
        <v>1695</v>
      </c>
      <c r="L58" s="53">
        <f>MATCH(A58,'Filtered G500'!B$2:B$231,)</f>
        <v>117</v>
      </c>
      <c r="M58" s="33"/>
      <c r="N58" s="34"/>
      <c r="O58" s="34"/>
      <c r="P58" s="34"/>
      <c r="Q58" s="33"/>
      <c r="R58" s="34"/>
      <c r="S58" s="34"/>
      <c r="T58" s="34"/>
    </row>
    <row r="59" spans="1:20">
      <c r="A59" s="24" t="s">
        <v>1204</v>
      </c>
      <c r="B59" s="24">
        <v>2</v>
      </c>
      <c r="C59" s="25" t="s">
        <v>1696</v>
      </c>
      <c r="D59" s="25" t="s">
        <v>1697</v>
      </c>
      <c r="E59" s="25" t="s">
        <v>1698</v>
      </c>
      <c r="F59" s="25">
        <v>0</v>
      </c>
      <c r="G59" s="24" t="s">
        <v>1489</v>
      </c>
      <c r="H59" s="26" t="s">
        <v>1481</v>
      </c>
      <c r="I59" s="27" t="s">
        <v>1481</v>
      </c>
      <c r="J59" s="28" t="s">
        <v>1699</v>
      </c>
      <c r="K59" s="28" t="s">
        <v>1700</v>
      </c>
      <c r="L59" s="53">
        <f>MATCH(A59,'Filtered G500'!B$2:B$231,)</f>
        <v>118</v>
      </c>
      <c r="M59" s="31"/>
      <c r="N59" s="32"/>
      <c r="O59" s="32"/>
      <c r="P59" s="32"/>
      <c r="Q59" s="31"/>
      <c r="R59" s="32"/>
      <c r="S59" s="32"/>
      <c r="T59" s="32"/>
    </row>
    <row r="60" spans="1:20">
      <c r="A60" s="24" t="s">
        <v>61</v>
      </c>
      <c r="B60" s="24">
        <v>2</v>
      </c>
      <c r="C60" s="25" t="s">
        <v>1477</v>
      </c>
      <c r="D60" s="25" t="s">
        <v>1701</v>
      </c>
      <c r="E60" s="25" t="s">
        <v>1702</v>
      </c>
      <c r="F60" s="25">
        <v>0</v>
      </c>
      <c r="G60" s="24" t="s">
        <v>1489</v>
      </c>
      <c r="H60" s="27" t="s">
        <v>1481</v>
      </c>
      <c r="I60" s="27" t="s">
        <v>1481</v>
      </c>
      <c r="J60" s="27"/>
      <c r="K60" s="27"/>
      <c r="L60" s="52">
        <f>MATCH(A60,'Filtered G500'!B$2:B$231,)</f>
        <v>96</v>
      </c>
      <c r="M60" s="33"/>
      <c r="N60" s="34"/>
      <c r="O60" s="34"/>
      <c r="P60" s="34"/>
      <c r="Q60" s="33"/>
      <c r="R60" s="34"/>
      <c r="S60" s="34"/>
      <c r="T60" s="34"/>
    </row>
    <row r="61" spans="1:20">
      <c r="A61" s="24" t="s">
        <v>93</v>
      </c>
      <c r="B61" s="24">
        <v>2</v>
      </c>
      <c r="C61" s="25" t="s">
        <v>1477</v>
      </c>
      <c r="D61" s="25" t="s">
        <v>1703</v>
      </c>
      <c r="E61" s="25" t="s">
        <v>1704</v>
      </c>
      <c r="F61" s="25">
        <v>-1</v>
      </c>
      <c r="G61" s="25" t="s">
        <v>1530</v>
      </c>
      <c r="H61" s="27" t="s">
        <v>1705</v>
      </c>
      <c r="I61" s="27" t="s">
        <v>1532</v>
      </c>
      <c r="J61" s="27" t="s">
        <v>1706</v>
      </c>
      <c r="K61" s="27" t="s">
        <v>1707</v>
      </c>
      <c r="L61" s="52">
        <f>MATCH(A61,'Filtered G500'!B$2:B$231,)</f>
        <v>69</v>
      </c>
      <c r="M61" s="33"/>
      <c r="N61" s="34"/>
      <c r="O61" s="34"/>
      <c r="P61" s="34"/>
      <c r="Q61" s="33"/>
      <c r="R61" s="34"/>
      <c r="S61" s="34"/>
      <c r="T61" s="34"/>
    </row>
    <row r="62" spans="1:20">
      <c r="A62" s="24" t="s">
        <v>121</v>
      </c>
      <c r="B62" s="24">
        <v>1</v>
      </c>
      <c r="C62" s="25" t="s">
        <v>1477</v>
      </c>
      <c r="D62" s="25" t="s">
        <v>1478</v>
      </c>
      <c r="E62" s="25" t="s">
        <v>1708</v>
      </c>
      <c r="F62" s="25">
        <v>1</v>
      </c>
      <c r="G62" s="24" t="s">
        <v>1480</v>
      </c>
      <c r="H62" s="27" t="s">
        <v>1481</v>
      </c>
      <c r="I62" s="27" t="s">
        <v>1481</v>
      </c>
      <c r="J62" s="27" t="s">
        <v>1709</v>
      </c>
      <c r="K62" s="27" t="s">
        <v>1710</v>
      </c>
      <c r="L62" s="52">
        <f>MATCH(A62,'Filtered G500'!B$2:B$231,)</f>
        <v>70</v>
      </c>
      <c r="M62" s="33"/>
      <c r="N62" s="34"/>
      <c r="O62" s="34"/>
      <c r="P62" s="34"/>
      <c r="Q62" s="33"/>
      <c r="R62" s="34"/>
      <c r="S62" s="34"/>
      <c r="T62" s="34"/>
    </row>
    <row r="63" spans="1:20">
      <c r="A63" s="24" t="s">
        <v>202</v>
      </c>
      <c r="B63" s="24">
        <v>1</v>
      </c>
      <c r="C63" s="25" t="s">
        <v>1477</v>
      </c>
      <c r="D63" s="25" t="s">
        <v>1478</v>
      </c>
      <c r="E63" s="25" t="s">
        <v>1711</v>
      </c>
      <c r="F63" s="25">
        <v>0</v>
      </c>
      <c r="G63" s="24" t="s">
        <v>1489</v>
      </c>
      <c r="H63" s="27" t="s">
        <v>1481</v>
      </c>
      <c r="I63" s="27" t="s">
        <v>1481</v>
      </c>
      <c r="J63" s="27"/>
      <c r="K63" s="27"/>
      <c r="L63" s="52">
        <f>MATCH(A63,'Filtered G500'!B$2:B$231,)</f>
        <v>71</v>
      </c>
      <c r="M63" s="33"/>
      <c r="N63" s="34"/>
      <c r="O63" s="34"/>
      <c r="P63" s="34"/>
      <c r="Q63" s="33"/>
      <c r="R63" s="34"/>
      <c r="S63" s="34"/>
      <c r="T63" s="34"/>
    </row>
    <row r="64" spans="1:20">
      <c r="A64" s="24" t="s">
        <v>194</v>
      </c>
      <c r="B64" s="24">
        <v>1</v>
      </c>
      <c r="C64" s="25" t="s">
        <v>1477</v>
      </c>
      <c r="D64" s="25" t="s">
        <v>1478</v>
      </c>
      <c r="E64" s="25" t="s">
        <v>1712</v>
      </c>
      <c r="F64" s="25">
        <v>0</v>
      </c>
      <c r="G64" s="24" t="s">
        <v>1489</v>
      </c>
      <c r="H64" s="27" t="s">
        <v>1481</v>
      </c>
      <c r="I64" s="27" t="s">
        <v>1481</v>
      </c>
      <c r="J64" s="27"/>
      <c r="K64" s="27"/>
      <c r="L64" s="52">
        <f>MATCH(A64,'Filtered G500'!B$2:B$231,)</f>
        <v>78</v>
      </c>
      <c r="M64" s="33"/>
      <c r="N64" s="34"/>
      <c r="O64" s="34"/>
      <c r="P64" s="34"/>
      <c r="Q64" s="33"/>
      <c r="R64" s="34"/>
      <c r="S64" s="34"/>
      <c r="T64" s="34"/>
    </row>
    <row r="65" spans="1:20">
      <c r="A65" s="24" t="s">
        <v>217</v>
      </c>
      <c r="B65" s="24">
        <v>1</v>
      </c>
      <c r="C65" s="25" t="s">
        <v>1477</v>
      </c>
      <c r="D65" s="25" t="s">
        <v>1478</v>
      </c>
      <c r="E65" s="25" t="s">
        <v>1713</v>
      </c>
      <c r="F65" s="25">
        <v>0</v>
      </c>
      <c r="G65" s="24" t="s">
        <v>1489</v>
      </c>
      <c r="H65" s="27" t="s">
        <v>1481</v>
      </c>
      <c r="I65" s="27" t="s">
        <v>1481</v>
      </c>
      <c r="J65" s="27"/>
      <c r="K65" s="27"/>
      <c r="L65" s="52">
        <f>MATCH(A65,'Filtered G500'!B$2:B$231,)</f>
        <v>99</v>
      </c>
      <c r="M65" s="33"/>
      <c r="N65" s="34"/>
      <c r="O65" s="34"/>
      <c r="P65" s="34"/>
      <c r="Q65" s="33"/>
      <c r="R65" s="34"/>
      <c r="S65" s="34"/>
      <c r="T65" s="34"/>
    </row>
    <row r="66" spans="1:20">
      <c r="A66" s="24" t="s">
        <v>826</v>
      </c>
      <c r="B66" s="24">
        <v>1</v>
      </c>
      <c r="C66" s="25" t="s">
        <v>1477</v>
      </c>
      <c r="D66" s="25" t="s">
        <v>1478</v>
      </c>
      <c r="E66" s="25" t="s">
        <v>1714</v>
      </c>
      <c r="F66" s="25">
        <v>0</v>
      </c>
      <c r="G66" s="24" t="s">
        <v>1489</v>
      </c>
      <c r="H66" s="26" t="s">
        <v>1481</v>
      </c>
      <c r="I66" s="27" t="s">
        <v>1481</v>
      </c>
      <c r="J66" s="28" t="s">
        <v>1715</v>
      </c>
      <c r="K66" s="28" t="s">
        <v>1716</v>
      </c>
      <c r="L66" s="53">
        <f>MATCH(A66,'Filtered G500'!B$2:B$231,)</f>
        <v>79</v>
      </c>
      <c r="M66" s="33"/>
      <c r="N66" s="34"/>
      <c r="O66" s="34"/>
      <c r="P66" s="34"/>
      <c r="Q66" s="33"/>
      <c r="R66" s="34"/>
      <c r="S66" s="34"/>
      <c r="T66" s="34"/>
    </row>
    <row r="67" spans="1:20">
      <c r="A67" s="24" t="s">
        <v>426</v>
      </c>
      <c r="B67" s="24">
        <v>2</v>
      </c>
      <c r="C67" s="29" t="s">
        <v>1477</v>
      </c>
      <c r="D67" s="29" t="s">
        <v>1717</v>
      </c>
      <c r="E67" s="29" t="s">
        <v>1718</v>
      </c>
      <c r="F67" s="29">
        <v>1</v>
      </c>
      <c r="G67" s="24" t="s">
        <v>1480</v>
      </c>
      <c r="H67" s="26" t="s">
        <v>1481</v>
      </c>
      <c r="I67" s="26" t="s">
        <v>1481</v>
      </c>
      <c r="J67" s="26" t="s">
        <v>1719</v>
      </c>
      <c r="K67" s="26" t="s">
        <v>1720</v>
      </c>
      <c r="L67" s="56">
        <f>MATCH(A67,'Filtered G500'!B$2:B$231,)</f>
        <v>80</v>
      </c>
      <c r="M67" s="33"/>
      <c r="N67" s="34"/>
      <c r="O67" s="34"/>
      <c r="P67" s="34"/>
      <c r="Q67" s="33"/>
      <c r="R67" s="34"/>
      <c r="S67" s="34"/>
      <c r="T67" s="34"/>
    </row>
    <row r="68" spans="1:20">
      <c r="A68" s="24" t="s">
        <v>640</v>
      </c>
      <c r="B68" s="24">
        <v>1</v>
      </c>
      <c r="C68" s="25" t="s">
        <v>1721</v>
      </c>
      <c r="D68" s="25" t="s">
        <v>1478</v>
      </c>
      <c r="E68" s="25" t="s">
        <v>1722</v>
      </c>
      <c r="F68" s="25">
        <v>1</v>
      </c>
      <c r="G68" s="24" t="s">
        <v>1480</v>
      </c>
      <c r="H68" s="26" t="s">
        <v>1481</v>
      </c>
      <c r="I68" s="27" t="s">
        <v>1481</v>
      </c>
      <c r="J68" s="28" t="s">
        <v>1723</v>
      </c>
      <c r="K68" s="28" t="s">
        <v>1724</v>
      </c>
      <c r="L68" s="53">
        <f>MATCH(A68,'Filtered G500'!B$2:B$231,)</f>
        <v>20</v>
      </c>
      <c r="M68" s="33"/>
      <c r="N68" s="34"/>
      <c r="O68" s="34"/>
      <c r="P68" s="34"/>
      <c r="Q68" s="33"/>
      <c r="R68" s="34"/>
      <c r="S68" s="34"/>
      <c r="T68" s="34"/>
    </row>
    <row r="69" spans="1:20">
      <c r="A69" s="24" t="s">
        <v>618</v>
      </c>
      <c r="B69" s="24">
        <v>2</v>
      </c>
      <c r="C69" s="29" t="s">
        <v>1477</v>
      </c>
      <c r="D69" s="29" t="s">
        <v>1725</v>
      </c>
      <c r="E69" s="29" t="s">
        <v>1726</v>
      </c>
      <c r="F69" s="29">
        <v>-1</v>
      </c>
      <c r="G69" s="25" t="s">
        <v>1530</v>
      </c>
      <c r="H69" s="26" t="s">
        <v>1727</v>
      </c>
      <c r="I69" s="26" t="s">
        <v>1532</v>
      </c>
      <c r="J69" s="26" t="s">
        <v>1728</v>
      </c>
      <c r="K69" s="26" t="s">
        <v>1729</v>
      </c>
      <c r="L69" s="56">
        <f>MATCH(A69,'Filtered G500'!B$2:B$231,)</f>
        <v>46</v>
      </c>
      <c r="M69" s="33"/>
      <c r="N69" s="34"/>
      <c r="O69" s="34"/>
      <c r="P69" s="34"/>
      <c r="Q69" s="33"/>
      <c r="R69" s="34"/>
      <c r="S69" s="34"/>
      <c r="T69" s="34"/>
    </row>
    <row r="70" spans="1:20">
      <c r="A70" s="24" t="s">
        <v>137</v>
      </c>
      <c r="B70" s="24">
        <v>2</v>
      </c>
      <c r="C70" s="25" t="s">
        <v>1477</v>
      </c>
      <c r="D70" s="25" t="s">
        <v>1730</v>
      </c>
      <c r="E70" s="25" t="s">
        <v>1731</v>
      </c>
      <c r="F70" s="25">
        <v>0</v>
      </c>
      <c r="G70" s="24" t="s">
        <v>1489</v>
      </c>
      <c r="H70" s="27" t="s">
        <v>1481</v>
      </c>
      <c r="I70" s="27" t="s">
        <v>1481</v>
      </c>
      <c r="J70" s="27"/>
      <c r="K70" s="27"/>
      <c r="L70" s="52">
        <f>MATCH(A70,'Filtered G500'!B$2:B$231,)</f>
        <v>51</v>
      </c>
      <c r="M70" s="31"/>
      <c r="N70" s="32"/>
      <c r="O70" s="32"/>
      <c r="P70" s="32"/>
      <c r="Q70" s="31"/>
      <c r="R70" s="32"/>
      <c r="S70" s="32"/>
      <c r="T70" s="32"/>
    </row>
    <row r="71" spans="1:20">
      <c r="A71" s="24" t="s">
        <v>109</v>
      </c>
      <c r="B71" s="24">
        <v>1</v>
      </c>
      <c r="C71" s="25" t="s">
        <v>1477</v>
      </c>
      <c r="D71" s="25" t="s">
        <v>1478</v>
      </c>
      <c r="E71" s="25" t="s">
        <v>1732</v>
      </c>
      <c r="F71" s="25">
        <v>0</v>
      </c>
      <c r="G71" s="24" t="s">
        <v>1489</v>
      </c>
      <c r="H71" s="27" t="s">
        <v>1481</v>
      </c>
      <c r="I71" s="27" t="s">
        <v>1481</v>
      </c>
      <c r="J71" s="27"/>
      <c r="K71" s="27"/>
      <c r="L71" s="52">
        <f>MATCH(A71,'Filtered G500'!B$2:B$231,)</f>
        <v>85</v>
      </c>
      <c r="M71" s="33"/>
      <c r="N71" s="34"/>
      <c r="O71" s="34"/>
      <c r="P71" s="34"/>
      <c r="Q71" s="33"/>
      <c r="R71" s="34"/>
      <c r="S71" s="34"/>
      <c r="T71" s="34"/>
    </row>
    <row r="72" spans="1:20">
      <c r="A72" s="24" t="s">
        <v>1113</v>
      </c>
      <c r="B72" s="24">
        <v>1</v>
      </c>
      <c r="C72" s="25" t="s">
        <v>1733</v>
      </c>
      <c r="D72" s="25" t="s">
        <v>1478</v>
      </c>
      <c r="E72" s="25" t="s">
        <v>1734</v>
      </c>
      <c r="F72" s="25">
        <v>1</v>
      </c>
      <c r="G72" s="24" t="s">
        <v>1480</v>
      </c>
      <c r="H72" s="26" t="s">
        <v>1481</v>
      </c>
      <c r="I72" s="27" t="s">
        <v>1481</v>
      </c>
      <c r="J72" s="28" t="s">
        <v>1735</v>
      </c>
      <c r="K72" s="28" t="s">
        <v>1736</v>
      </c>
      <c r="L72" s="53">
        <f>MATCH(A72,'Filtered G500'!B$2:B$231,)</f>
        <v>86</v>
      </c>
      <c r="M72" s="33"/>
      <c r="N72" s="34"/>
      <c r="O72" s="34"/>
      <c r="P72" s="34"/>
      <c r="Q72" s="33"/>
      <c r="R72" s="34"/>
      <c r="S72" s="34"/>
      <c r="T72" s="34"/>
    </row>
    <row r="73" spans="1:20">
      <c r="A73" s="24" t="s">
        <v>854</v>
      </c>
      <c r="B73" s="24">
        <v>1</v>
      </c>
      <c r="C73" s="25" t="s">
        <v>1477</v>
      </c>
      <c r="D73" s="25" t="s">
        <v>1478</v>
      </c>
      <c r="E73" s="25" t="s">
        <v>1737</v>
      </c>
      <c r="F73" s="25">
        <v>1</v>
      </c>
      <c r="G73" s="24" t="s">
        <v>1480</v>
      </c>
      <c r="H73" s="26" t="s">
        <v>1481</v>
      </c>
      <c r="I73" s="27" t="s">
        <v>1481</v>
      </c>
      <c r="J73" s="28" t="s">
        <v>1738</v>
      </c>
      <c r="K73" s="28" t="s">
        <v>1739</v>
      </c>
      <c r="L73" s="53">
        <f>MATCH(A73,'Filtered G500'!B$2:B$231,)</f>
        <v>87</v>
      </c>
      <c r="M73" s="33"/>
      <c r="N73" s="34"/>
      <c r="O73" s="34"/>
      <c r="P73" s="34"/>
      <c r="Q73" s="33"/>
      <c r="R73" s="34"/>
      <c r="S73" s="34"/>
      <c r="T73" s="34"/>
    </row>
    <row r="74" spans="1:20">
      <c r="A74" s="24" t="s">
        <v>540</v>
      </c>
      <c r="B74" s="24">
        <v>2</v>
      </c>
      <c r="C74" s="25" t="s">
        <v>1477</v>
      </c>
      <c r="D74" s="25" t="s">
        <v>1740</v>
      </c>
      <c r="E74" s="25" t="s">
        <v>1741</v>
      </c>
      <c r="F74" s="25">
        <v>1</v>
      </c>
      <c r="G74" s="24" t="s">
        <v>1480</v>
      </c>
      <c r="H74" s="26" t="s">
        <v>1481</v>
      </c>
      <c r="I74" s="27" t="s">
        <v>1481</v>
      </c>
      <c r="J74" s="28" t="s">
        <v>1742</v>
      </c>
      <c r="K74" s="28" t="s">
        <v>1743</v>
      </c>
      <c r="L74" s="53">
        <f>MATCH(A74,'Filtered G500'!B$2:B$231,)</f>
        <v>52</v>
      </c>
      <c r="M74" s="33"/>
      <c r="N74" s="34"/>
      <c r="O74" s="34"/>
      <c r="P74" s="34"/>
      <c r="Q74" s="33"/>
      <c r="R74" s="34"/>
      <c r="S74" s="34"/>
      <c r="T74" s="34"/>
    </row>
    <row r="75" spans="1:20">
      <c r="A75" s="24" t="s">
        <v>55</v>
      </c>
      <c r="B75" s="24">
        <v>1</v>
      </c>
      <c r="C75" s="29" t="s">
        <v>1477</v>
      </c>
      <c r="D75" s="29" t="s">
        <v>1478</v>
      </c>
      <c r="E75" s="29" t="s">
        <v>1744</v>
      </c>
      <c r="F75" s="29">
        <v>1</v>
      </c>
      <c r="G75" s="24" t="s">
        <v>1480</v>
      </c>
      <c r="H75" s="26" t="s">
        <v>1481</v>
      </c>
      <c r="I75" s="26" t="s">
        <v>1481</v>
      </c>
      <c r="J75" s="26" t="s">
        <v>1745</v>
      </c>
      <c r="K75" s="26" t="s">
        <v>1746</v>
      </c>
      <c r="L75" s="56">
        <f>MATCH(A75,'Filtered G500'!B$2:B$231,)</f>
        <v>88</v>
      </c>
      <c r="M75" s="33"/>
      <c r="N75" s="34"/>
      <c r="O75" s="34"/>
      <c r="P75" s="34"/>
      <c r="Q75" s="33"/>
      <c r="R75" s="34"/>
      <c r="S75" s="34"/>
      <c r="T75" s="34"/>
    </row>
    <row r="76" spans="1:20">
      <c r="A76" s="24" t="s">
        <v>562</v>
      </c>
      <c r="B76" s="24">
        <v>1</v>
      </c>
      <c r="C76" s="29" t="s">
        <v>1477</v>
      </c>
      <c r="D76" s="29" t="s">
        <v>1478</v>
      </c>
      <c r="E76" s="29" t="s">
        <v>1747</v>
      </c>
      <c r="F76" s="29">
        <v>1</v>
      </c>
      <c r="G76" s="24" t="s">
        <v>1480</v>
      </c>
      <c r="H76" s="26" t="s">
        <v>1481</v>
      </c>
      <c r="I76" s="26" t="s">
        <v>1481</v>
      </c>
      <c r="J76" s="26" t="s">
        <v>1748</v>
      </c>
      <c r="K76" s="26" t="s">
        <v>1749</v>
      </c>
      <c r="L76" s="56">
        <f>MATCH(A76,'Filtered G500'!B$2:B$231,)</f>
        <v>89</v>
      </c>
      <c r="M76" s="33"/>
      <c r="N76" s="34"/>
      <c r="O76" s="34"/>
      <c r="P76" s="34"/>
      <c r="Q76" s="33"/>
      <c r="R76" s="34"/>
      <c r="S76" s="34"/>
      <c r="T76" s="34"/>
    </row>
    <row r="77" spans="1:20">
      <c r="A77" s="24" t="s">
        <v>265</v>
      </c>
      <c r="B77" s="24">
        <v>2</v>
      </c>
      <c r="C77" s="29" t="s">
        <v>1477</v>
      </c>
      <c r="D77" s="29" t="s">
        <v>1750</v>
      </c>
      <c r="E77" s="29" t="s">
        <v>1751</v>
      </c>
      <c r="F77" s="29">
        <v>1</v>
      </c>
      <c r="G77" s="24" t="s">
        <v>1480</v>
      </c>
      <c r="H77" s="26" t="s">
        <v>1481</v>
      </c>
      <c r="I77" s="26" t="s">
        <v>1481</v>
      </c>
      <c r="J77" s="26" t="s">
        <v>1752</v>
      </c>
      <c r="K77" s="26" t="s">
        <v>1753</v>
      </c>
      <c r="L77" s="56">
        <f>MATCH(A77,'Filtered G500'!B$2:B$231,)</f>
        <v>157</v>
      </c>
      <c r="M77" s="33"/>
      <c r="N77" s="34"/>
      <c r="O77" s="34"/>
      <c r="P77" s="34"/>
      <c r="Q77" s="33"/>
      <c r="R77" s="34"/>
      <c r="S77" s="34"/>
      <c r="T77" s="34"/>
    </row>
    <row r="78" spans="1:20">
      <c r="A78" s="24" t="s">
        <v>341</v>
      </c>
      <c r="B78" s="24">
        <v>2</v>
      </c>
      <c r="C78" s="25" t="s">
        <v>1477</v>
      </c>
      <c r="D78" s="70" t="s">
        <v>3101</v>
      </c>
      <c r="E78" s="25" t="s">
        <v>1754</v>
      </c>
      <c r="F78" s="25">
        <v>-1</v>
      </c>
      <c r="G78" s="25" t="s">
        <v>1530</v>
      </c>
      <c r="H78" s="26" t="s">
        <v>1531</v>
      </c>
      <c r="I78" s="27" t="s">
        <v>1532</v>
      </c>
      <c r="J78" s="28" t="s">
        <v>1755</v>
      </c>
      <c r="K78" s="28" t="s">
        <v>1756</v>
      </c>
      <c r="L78" s="53">
        <f>MATCH(A78,'Filtered G500'!B$2:B$231,)</f>
        <v>97</v>
      </c>
      <c r="M78" s="33"/>
      <c r="N78" s="34"/>
      <c r="O78" s="34"/>
      <c r="P78" s="34"/>
      <c r="Q78" s="33"/>
      <c r="R78" s="34"/>
      <c r="S78" s="34"/>
      <c r="T78" s="34"/>
    </row>
    <row r="79" spans="1:20">
      <c r="A79" s="24" t="s">
        <v>181</v>
      </c>
      <c r="B79" s="24">
        <v>1</v>
      </c>
      <c r="C79" s="25" t="s">
        <v>1477</v>
      </c>
      <c r="D79" s="25" t="s">
        <v>1478</v>
      </c>
      <c r="E79" s="25" t="s">
        <v>1757</v>
      </c>
      <c r="F79" s="25">
        <v>0</v>
      </c>
      <c r="G79" s="24" t="s">
        <v>1489</v>
      </c>
      <c r="H79" s="26" t="s">
        <v>1481</v>
      </c>
      <c r="I79" s="27" t="s">
        <v>1481</v>
      </c>
      <c r="J79" s="28" t="s">
        <v>1758</v>
      </c>
      <c r="K79" s="55" t="s">
        <v>1759</v>
      </c>
      <c r="L79" s="53">
        <f>MATCH(A79,'Filtered G500'!B$2:B$231,)</f>
        <v>139</v>
      </c>
      <c r="M79" s="33"/>
      <c r="N79" s="34"/>
      <c r="O79" s="34"/>
      <c r="P79" s="34"/>
      <c r="Q79" s="33"/>
      <c r="R79" s="34"/>
      <c r="S79" s="34"/>
      <c r="T79" s="34"/>
    </row>
    <row r="80" spans="1:20">
      <c r="A80" s="24" t="s">
        <v>1078</v>
      </c>
      <c r="B80" s="24">
        <v>1</v>
      </c>
      <c r="C80" s="25" t="s">
        <v>1477</v>
      </c>
      <c r="D80" s="25" t="s">
        <v>1478</v>
      </c>
      <c r="E80" s="25" t="s">
        <v>1760</v>
      </c>
      <c r="F80" s="25">
        <v>0</v>
      </c>
      <c r="G80" s="24" t="s">
        <v>1489</v>
      </c>
      <c r="H80" s="26" t="s">
        <v>1481</v>
      </c>
      <c r="I80" s="27" t="s">
        <v>1481</v>
      </c>
      <c r="J80" s="28" t="s">
        <v>1761</v>
      </c>
      <c r="K80" s="28" t="s">
        <v>1762</v>
      </c>
      <c r="L80" s="53">
        <f>MATCH(A80,'Filtered G500'!B$2:B$231,)</f>
        <v>140</v>
      </c>
      <c r="M80" s="31"/>
      <c r="N80" s="32"/>
      <c r="O80" s="32"/>
      <c r="P80" s="32"/>
      <c r="Q80" s="31"/>
      <c r="R80" s="32"/>
      <c r="S80" s="32"/>
      <c r="T80" s="32"/>
    </row>
    <row r="81" spans="1:20">
      <c r="A81" s="24" t="s">
        <v>401</v>
      </c>
      <c r="B81" s="24">
        <v>1</v>
      </c>
      <c r="C81" s="29" t="s">
        <v>1477</v>
      </c>
      <c r="D81" s="29" t="s">
        <v>1478</v>
      </c>
      <c r="E81" s="29" t="s">
        <v>1763</v>
      </c>
      <c r="F81" s="29">
        <v>0</v>
      </c>
      <c r="G81" s="24" t="s">
        <v>1489</v>
      </c>
      <c r="H81" s="26" t="s">
        <v>1481</v>
      </c>
      <c r="I81" s="26" t="s">
        <v>1481</v>
      </c>
      <c r="J81" s="26" t="s">
        <v>1764</v>
      </c>
      <c r="K81" s="26" t="s">
        <v>1765</v>
      </c>
      <c r="L81" s="56">
        <f>MATCH(A81,'Filtered G500'!B$2:B$231,)</f>
        <v>98</v>
      </c>
      <c r="M81" s="33"/>
      <c r="N81" s="34"/>
      <c r="O81" s="34"/>
      <c r="P81" s="34"/>
      <c r="Q81" s="33"/>
      <c r="R81" s="34"/>
      <c r="S81" s="34"/>
      <c r="T81" s="34"/>
    </row>
    <row r="82" spans="1:20">
      <c r="A82" s="24" t="s">
        <v>298</v>
      </c>
      <c r="B82" s="24">
        <v>1</v>
      </c>
      <c r="C82" s="25" t="s">
        <v>1477</v>
      </c>
      <c r="D82" s="25" t="s">
        <v>1478</v>
      </c>
      <c r="E82" s="25" t="s">
        <v>1766</v>
      </c>
      <c r="F82" s="25">
        <v>1</v>
      </c>
      <c r="G82" s="24" t="s">
        <v>1480</v>
      </c>
      <c r="H82" s="27" t="s">
        <v>1481</v>
      </c>
      <c r="I82" s="27" t="s">
        <v>1481</v>
      </c>
      <c r="J82" s="27" t="s">
        <v>1767</v>
      </c>
      <c r="K82" s="51" t="s">
        <v>1768</v>
      </c>
      <c r="L82" s="52">
        <f>MATCH(A82,'Filtered G500'!B$2:B$231,)</f>
        <v>100</v>
      </c>
      <c r="M82" s="33"/>
      <c r="N82" s="34"/>
      <c r="O82" s="34"/>
      <c r="P82" s="34"/>
      <c r="Q82" s="33"/>
      <c r="R82" s="34"/>
      <c r="S82" s="34"/>
      <c r="T82" s="34"/>
    </row>
    <row r="83" spans="1:20">
      <c r="A83" s="24" t="s">
        <v>250</v>
      </c>
      <c r="B83" s="24">
        <v>2</v>
      </c>
      <c r="C83" s="25" t="s">
        <v>1477</v>
      </c>
      <c r="D83" s="25" t="s">
        <v>1769</v>
      </c>
      <c r="E83" s="25" t="s">
        <v>1770</v>
      </c>
      <c r="F83" s="25">
        <v>1</v>
      </c>
      <c r="G83" s="24" t="s">
        <v>1480</v>
      </c>
      <c r="H83" s="27" t="s">
        <v>1481</v>
      </c>
      <c r="I83" s="27" t="s">
        <v>1481</v>
      </c>
      <c r="J83" s="27" t="s">
        <v>1771</v>
      </c>
      <c r="K83" s="51" t="s">
        <v>1772</v>
      </c>
      <c r="L83" s="52">
        <f>MATCH(A83,'Filtered G500'!B$2:B$231,)</f>
        <v>101</v>
      </c>
      <c r="M83" s="33"/>
      <c r="N83" s="34"/>
      <c r="O83" s="34"/>
      <c r="P83" s="34"/>
      <c r="Q83" s="33"/>
      <c r="R83" s="34"/>
      <c r="S83" s="34"/>
      <c r="T83" s="34"/>
    </row>
    <row r="84" spans="1:20">
      <c r="A84" s="24" t="s">
        <v>451</v>
      </c>
      <c r="B84" s="24">
        <v>1</v>
      </c>
      <c r="C84" s="25" t="s">
        <v>1477</v>
      </c>
      <c r="D84" s="25" t="s">
        <v>1478</v>
      </c>
      <c r="E84" s="25" t="s">
        <v>1773</v>
      </c>
      <c r="F84" s="25">
        <v>0</v>
      </c>
      <c r="G84" s="24" t="s">
        <v>1489</v>
      </c>
      <c r="H84" s="26" t="s">
        <v>1481</v>
      </c>
      <c r="I84" s="27" t="s">
        <v>1481</v>
      </c>
      <c r="J84" s="28" t="s">
        <v>1774</v>
      </c>
      <c r="K84" s="28" t="s">
        <v>1775</v>
      </c>
      <c r="L84" s="53">
        <f>MATCH(A84,'Filtered G500'!B$2:B$231,)</f>
        <v>102</v>
      </c>
      <c r="M84" s="33"/>
      <c r="N84" s="34"/>
      <c r="O84" s="34"/>
      <c r="P84" s="34"/>
      <c r="Q84" s="33"/>
      <c r="R84" s="34"/>
      <c r="S84" s="34"/>
      <c r="T84" s="34"/>
    </row>
    <row r="85" spans="1:20">
      <c r="A85" s="24" t="s">
        <v>740</v>
      </c>
      <c r="B85" s="24">
        <v>1</v>
      </c>
      <c r="C85" s="25" t="s">
        <v>1477</v>
      </c>
      <c r="D85" s="25" t="s">
        <v>1478</v>
      </c>
      <c r="E85" s="25" t="s">
        <v>1776</v>
      </c>
      <c r="F85" s="25">
        <v>0</v>
      </c>
      <c r="G85" s="24" t="s">
        <v>1489</v>
      </c>
      <c r="H85" s="26" t="s">
        <v>1481</v>
      </c>
      <c r="I85" s="27" t="s">
        <v>1481</v>
      </c>
      <c r="J85" s="28" t="s">
        <v>1777</v>
      </c>
      <c r="K85" s="28" t="s">
        <v>1778</v>
      </c>
      <c r="L85" s="53">
        <f>MATCH(A85,'Filtered G500'!B$2:B$231,)</f>
        <v>103</v>
      </c>
      <c r="M85" s="33"/>
      <c r="N85" s="34"/>
      <c r="O85" s="34"/>
      <c r="P85" s="34"/>
      <c r="Q85" s="33"/>
      <c r="R85" s="34"/>
      <c r="S85" s="34"/>
      <c r="T85" s="34"/>
    </row>
    <row r="86" spans="1:20">
      <c r="A86" s="24" t="s">
        <v>805</v>
      </c>
      <c r="B86" s="24">
        <v>1</v>
      </c>
      <c r="C86" s="25" t="s">
        <v>1477</v>
      </c>
      <c r="D86" s="25" t="s">
        <v>1478</v>
      </c>
      <c r="E86" s="25" t="s">
        <v>1779</v>
      </c>
      <c r="F86" s="25">
        <v>0</v>
      </c>
      <c r="G86" s="24" t="s">
        <v>1489</v>
      </c>
      <c r="H86" s="26" t="s">
        <v>1481</v>
      </c>
      <c r="I86" s="27" t="s">
        <v>1481</v>
      </c>
      <c r="J86" s="28" t="s">
        <v>1780</v>
      </c>
      <c r="K86" s="28" t="s">
        <v>1781</v>
      </c>
      <c r="L86" s="53">
        <f>MATCH(A86,'Filtered G500'!B$2:B$231,)</f>
        <v>104</v>
      </c>
      <c r="M86" s="33"/>
      <c r="N86" s="34"/>
      <c r="O86" s="34"/>
      <c r="P86" s="34"/>
      <c r="Q86" s="33"/>
      <c r="R86" s="34"/>
      <c r="S86" s="34"/>
      <c r="T86" s="34"/>
    </row>
    <row r="87" spans="1:20">
      <c r="A87" s="24" t="s">
        <v>1103</v>
      </c>
      <c r="B87" s="24">
        <v>1</v>
      </c>
      <c r="C87" s="25" t="s">
        <v>1477</v>
      </c>
      <c r="D87" s="25" t="s">
        <v>1478</v>
      </c>
      <c r="E87" s="25" t="s">
        <v>1782</v>
      </c>
      <c r="F87" s="25">
        <v>0</v>
      </c>
      <c r="G87" s="24" t="s">
        <v>1489</v>
      </c>
      <c r="H87" s="26" t="s">
        <v>1481</v>
      </c>
      <c r="I87" s="27" t="s">
        <v>1481</v>
      </c>
      <c r="J87" s="28" t="s">
        <v>1783</v>
      </c>
      <c r="K87" s="55" t="s">
        <v>1784</v>
      </c>
      <c r="L87" s="53">
        <f>MATCH(A87,'Filtered G500'!B$2:B$231,)</f>
        <v>105</v>
      </c>
      <c r="M87" s="33"/>
      <c r="N87" s="34"/>
      <c r="O87" s="34"/>
      <c r="P87" s="34"/>
      <c r="Q87" s="33"/>
      <c r="R87" s="34"/>
      <c r="S87" s="34"/>
      <c r="T87" s="34"/>
    </row>
    <row r="88" spans="1:20">
      <c r="A88" s="24" t="s">
        <v>503</v>
      </c>
      <c r="B88" s="24">
        <v>1</v>
      </c>
      <c r="C88" s="25" t="s">
        <v>1477</v>
      </c>
      <c r="D88" s="25" t="s">
        <v>1478</v>
      </c>
      <c r="E88" s="25" t="s">
        <v>1785</v>
      </c>
      <c r="F88" s="25">
        <v>0</v>
      </c>
      <c r="G88" s="24" t="s">
        <v>1489</v>
      </c>
      <c r="H88" s="26" t="s">
        <v>1481</v>
      </c>
      <c r="I88" s="27" t="s">
        <v>1481</v>
      </c>
      <c r="J88" s="28" t="s">
        <v>1786</v>
      </c>
      <c r="K88" s="55" t="s">
        <v>1787</v>
      </c>
      <c r="L88" s="53">
        <f>MATCH(A88,'Filtered G500'!B$2:B$231,)</f>
        <v>106</v>
      </c>
      <c r="M88" s="33"/>
      <c r="N88" s="34"/>
      <c r="O88" s="34"/>
      <c r="P88" s="34"/>
      <c r="Q88" s="33"/>
      <c r="R88" s="34"/>
      <c r="S88" s="34"/>
      <c r="T88" s="34"/>
    </row>
    <row r="89" spans="1:20">
      <c r="A89" s="24" t="s">
        <v>262</v>
      </c>
      <c r="B89" s="24">
        <v>1</v>
      </c>
      <c r="C89" s="25" t="s">
        <v>1477</v>
      </c>
      <c r="D89" s="25" t="s">
        <v>1478</v>
      </c>
      <c r="E89" s="25" t="s">
        <v>1788</v>
      </c>
      <c r="F89" s="25">
        <v>0</v>
      </c>
      <c r="G89" s="24" t="s">
        <v>1489</v>
      </c>
      <c r="H89" s="26" t="s">
        <v>1481</v>
      </c>
      <c r="I89" s="27" t="s">
        <v>1481</v>
      </c>
      <c r="J89" s="28" t="s">
        <v>1789</v>
      </c>
      <c r="K89" s="28" t="s">
        <v>1790</v>
      </c>
      <c r="L89" s="53">
        <f>MATCH(A89,'Filtered G500'!B$2:B$231,)</f>
        <v>107</v>
      </c>
      <c r="M89" s="33"/>
      <c r="N89" s="34"/>
      <c r="O89" s="34"/>
      <c r="P89" s="34"/>
      <c r="Q89" s="33"/>
      <c r="R89" s="34"/>
      <c r="S89" s="34"/>
      <c r="T89" s="34"/>
    </row>
    <row r="90" spans="1:20">
      <c r="A90" s="24" t="s">
        <v>509</v>
      </c>
      <c r="B90" s="24">
        <v>1</v>
      </c>
      <c r="C90" s="25" t="s">
        <v>1477</v>
      </c>
      <c r="D90" s="25" t="s">
        <v>1478</v>
      </c>
      <c r="E90" s="25" t="s">
        <v>1791</v>
      </c>
      <c r="F90" s="25">
        <v>0</v>
      </c>
      <c r="G90" s="24" t="s">
        <v>1489</v>
      </c>
      <c r="H90" s="26" t="s">
        <v>1481</v>
      </c>
      <c r="I90" s="27" t="s">
        <v>1481</v>
      </c>
      <c r="J90" s="28" t="s">
        <v>1792</v>
      </c>
      <c r="K90" s="28" t="s">
        <v>1793</v>
      </c>
      <c r="L90" s="53">
        <f>MATCH(A90,'Filtered G500'!B$2:B$231,)</f>
        <v>108</v>
      </c>
      <c r="M90" s="31"/>
      <c r="N90" s="32"/>
      <c r="O90" s="32"/>
      <c r="P90" s="32"/>
      <c r="Q90" s="31"/>
      <c r="R90" s="32"/>
      <c r="S90" s="32"/>
      <c r="T90" s="32"/>
    </row>
    <row r="91" spans="1:20">
      <c r="A91" s="24" t="s">
        <v>559</v>
      </c>
      <c r="B91" s="24">
        <v>1</v>
      </c>
      <c r="C91" s="29" t="s">
        <v>1477</v>
      </c>
      <c r="D91" s="29" t="s">
        <v>1478</v>
      </c>
      <c r="E91" s="29" t="s">
        <v>1794</v>
      </c>
      <c r="F91" s="29">
        <v>0</v>
      </c>
      <c r="G91" s="24" t="s">
        <v>1489</v>
      </c>
      <c r="H91" s="26" t="s">
        <v>1481</v>
      </c>
      <c r="I91" s="26" t="s">
        <v>1481</v>
      </c>
      <c r="J91" s="26" t="s">
        <v>1795</v>
      </c>
      <c r="K91" s="26" t="s">
        <v>1796</v>
      </c>
      <c r="L91" s="56">
        <f>MATCH(A91,'Filtered G500'!B$2:B$231,)</f>
        <v>109</v>
      </c>
      <c r="M91" s="33"/>
      <c r="N91" s="34"/>
      <c r="O91" s="34"/>
      <c r="P91" s="34"/>
      <c r="Q91" s="33"/>
      <c r="R91" s="34"/>
      <c r="S91" s="34"/>
      <c r="T91" s="34"/>
    </row>
    <row r="92" spans="1:20">
      <c r="A92" s="24" t="s">
        <v>434</v>
      </c>
      <c r="B92" s="24">
        <v>1</v>
      </c>
      <c r="C92" s="25" t="s">
        <v>1477</v>
      </c>
      <c r="D92" s="25" t="s">
        <v>1478</v>
      </c>
      <c r="E92" s="25" t="s">
        <v>1797</v>
      </c>
      <c r="F92" s="25">
        <v>0</v>
      </c>
      <c r="G92" s="24" t="s">
        <v>1489</v>
      </c>
      <c r="H92" s="27" t="s">
        <v>1481</v>
      </c>
      <c r="I92" s="27" t="s">
        <v>1481</v>
      </c>
      <c r="J92" s="27"/>
      <c r="K92" s="27"/>
      <c r="L92" s="52">
        <f>MATCH(A92,'Filtered G500'!B$2:B$231,)</f>
        <v>119</v>
      </c>
      <c r="M92" s="33"/>
      <c r="N92" s="34"/>
      <c r="O92" s="34"/>
      <c r="P92" s="34"/>
      <c r="Q92" s="33"/>
      <c r="R92" s="34"/>
      <c r="S92" s="34"/>
      <c r="T92" s="34"/>
    </row>
    <row r="93" spans="1:20">
      <c r="A93" s="24" t="s">
        <v>379</v>
      </c>
      <c r="B93" s="24">
        <v>1</v>
      </c>
      <c r="C93" s="25" t="s">
        <v>1477</v>
      </c>
      <c r="D93" s="25" t="s">
        <v>1478</v>
      </c>
      <c r="E93" s="25" t="s">
        <v>1798</v>
      </c>
      <c r="F93" s="25">
        <v>0</v>
      </c>
      <c r="G93" s="24" t="s">
        <v>1489</v>
      </c>
      <c r="H93" s="27" t="s">
        <v>1481</v>
      </c>
      <c r="I93" s="27" t="s">
        <v>1481</v>
      </c>
      <c r="J93" s="27"/>
      <c r="K93" s="27"/>
      <c r="L93" s="52">
        <f>MATCH(A93,'Filtered G500'!B$2:B$231,)</f>
        <v>120</v>
      </c>
      <c r="M93" s="33"/>
      <c r="N93" s="34"/>
      <c r="O93" s="34"/>
      <c r="P93" s="34"/>
      <c r="Q93" s="33"/>
      <c r="R93" s="34"/>
      <c r="S93" s="34"/>
      <c r="T93" s="34"/>
    </row>
    <row r="94" spans="1:20">
      <c r="A94" s="24" t="s">
        <v>242</v>
      </c>
      <c r="B94" s="24">
        <v>1</v>
      </c>
      <c r="C94" s="25" t="s">
        <v>1799</v>
      </c>
      <c r="D94" s="25" t="s">
        <v>1478</v>
      </c>
      <c r="E94" s="25" t="s">
        <v>1800</v>
      </c>
      <c r="F94" s="25">
        <v>0</v>
      </c>
      <c r="G94" s="24" t="s">
        <v>1489</v>
      </c>
      <c r="H94" s="27" t="s">
        <v>1481</v>
      </c>
      <c r="I94" s="27" t="s">
        <v>1481</v>
      </c>
      <c r="J94" s="27"/>
      <c r="K94" s="27"/>
      <c r="L94" s="52">
        <f>MATCH(A94,'Filtered G500'!B$2:B$231,)</f>
        <v>121</v>
      </c>
    </row>
    <row r="95" spans="1:20">
      <c r="A95" s="24" t="s">
        <v>390</v>
      </c>
      <c r="B95" s="24">
        <v>2</v>
      </c>
      <c r="C95" s="25" t="s">
        <v>1477</v>
      </c>
      <c r="D95" s="25" t="s">
        <v>1801</v>
      </c>
      <c r="E95" s="25" t="s">
        <v>1802</v>
      </c>
      <c r="F95" s="25">
        <v>1</v>
      </c>
      <c r="G95" s="24" t="s">
        <v>1480</v>
      </c>
      <c r="H95" s="27" t="s">
        <v>1481</v>
      </c>
      <c r="I95" s="27" t="s">
        <v>1481</v>
      </c>
      <c r="J95" s="27" t="s">
        <v>1803</v>
      </c>
      <c r="K95" s="51" t="s">
        <v>1804</v>
      </c>
      <c r="L95" s="52">
        <f>MATCH(A95,'Filtered G500'!B$2:B$231,)</f>
        <v>122</v>
      </c>
    </row>
    <row r="96" spans="1:20">
      <c r="A96" s="24" t="s">
        <v>51</v>
      </c>
      <c r="B96" s="24">
        <v>2</v>
      </c>
      <c r="C96" s="25" t="s">
        <v>1805</v>
      </c>
      <c r="D96" s="25" t="s">
        <v>1806</v>
      </c>
      <c r="E96" s="25" t="s">
        <v>1807</v>
      </c>
      <c r="F96" s="25">
        <v>1</v>
      </c>
      <c r="G96" s="24" t="s">
        <v>1480</v>
      </c>
      <c r="H96" s="27" t="s">
        <v>1481</v>
      </c>
      <c r="I96" s="27" t="s">
        <v>1481</v>
      </c>
      <c r="J96" s="27" t="s">
        <v>1808</v>
      </c>
      <c r="K96" s="51" t="s">
        <v>1809</v>
      </c>
      <c r="L96" s="52">
        <f>MATCH(A96,'Filtered G500'!B$2:B$231,)</f>
        <v>123</v>
      </c>
    </row>
    <row r="97" spans="1:12">
      <c r="A97" s="24" t="s">
        <v>170</v>
      </c>
      <c r="B97" s="24">
        <v>1</v>
      </c>
      <c r="C97" s="25" t="s">
        <v>1477</v>
      </c>
      <c r="D97" s="25" t="s">
        <v>1478</v>
      </c>
      <c r="E97" s="25" t="s">
        <v>1810</v>
      </c>
      <c r="F97" s="25">
        <v>-1</v>
      </c>
      <c r="G97" s="25" t="s">
        <v>1530</v>
      </c>
      <c r="H97" s="26" t="s">
        <v>1569</v>
      </c>
      <c r="I97" s="27" t="s">
        <v>1532</v>
      </c>
      <c r="J97" s="28" t="s">
        <v>1811</v>
      </c>
      <c r="K97" s="28" t="s">
        <v>1812</v>
      </c>
      <c r="L97" s="53">
        <f>MATCH(A97,'Filtered G500'!B$2:B$231,)</f>
        <v>124</v>
      </c>
    </row>
    <row r="98" spans="1:12">
      <c r="A98" s="24" t="s">
        <v>492</v>
      </c>
      <c r="B98" s="24">
        <v>1</v>
      </c>
      <c r="C98" s="29" t="s">
        <v>1477</v>
      </c>
      <c r="D98" s="29" t="s">
        <v>1478</v>
      </c>
      <c r="E98" s="29" t="s">
        <v>1813</v>
      </c>
      <c r="F98" s="29">
        <v>0</v>
      </c>
      <c r="G98" s="24" t="s">
        <v>1489</v>
      </c>
      <c r="H98" s="26" t="s">
        <v>1481</v>
      </c>
      <c r="I98" s="26" t="s">
        <v>1481</v>
      </c>
      <c r="J98" s="26" t="s">
        <v>1814</v>
      </c>
      <c r="K98" s="26" t="s">
        <v>1815</v>
      </c>
      <c r="L98" s="56">
        <f>MATCH(A98,'Filtered G500'!B$2:B$231,)</f>
        <v>141</v>
      </c>
    </row>
    <row r="99" spans="1:12">
      <c r="A99" s="24" t="s">
        <v>480</v>
      </c>
      <c r="B99" s="24">
        <v>1</v>
      </c>
      <c r="C99" s="29" t="s">
        <v>1477</v>
      </c>
      <c r="D99" s="29" t="s">
        <v>1478</v>
      </c>
      <c r="E99" s="29" t="s">
        <v>1816</v>
      </c>
      <c r="F99" s="29">
        <v>0</v>
      </c>
      <c r="G99" s="24" t="s">
        <v>1489</v>
      </c>
      <c r="H99" s="26" t="s">
        <v>1481</v>
      </c>
      <c r="I99" s="26" t="s">
        <v>1481</v>
      </c>
      <c r="J99" s="26" t="s">
        <v>1817</v>
      </c>
      <c r="K99" s="26" t="s">
        <v>1818</v>
      </c>
      <c r="L99" s="56">
        <f>MATCH(A99,'Filtered G500'!B$2:B$231,)</f>
        <v>142</v>
      </c>
    </row>
    <row r="100" spans="1:12">
      <c r="A100" s="24" t="s">
        <v>1140</v>
      </c>
      <c r="B100" s="24">
        <v>2</v>
      </c>
      <c r="C100" s="25" t="s">
        <v>1477</v>
      </c>
      <c r="D100" s="25" t="s">
        <v>1819</v>
      </c>
      <c r="E100" s="25" t="s">
        <v>1820</v>
      </c>
      <c r="F100" s="25">
        <v>0</v>
      </c>
      <c r="G100" s="24" t="s">
        <v>1489</v>
      </c>
      <c r="H100" s="26" t="s">
        <v>1481</v>
      </c>
      <c r="I100" s="27" t="s">
        <v>1481</v>
      </c>
      <c r="J100" s="28" t="s">
        <v>1821</v>
      </c>
      <c r="K100" s="28" t="s">
        <v>1822</v>
      </c>
      <c r="L100" s="53">
        <f>MATCH(A100,'Filtered G500'!B$2:B$231,)</f>
        <v>144</v>
      </c>
    </row>
    <row r="101" spans="1:12">
      <c r="A101" s="24" t="s">
        <v>158</v>
      </c>
      <c r="B101" s="24">
        <v>1</v>
      </c>
      <c r="C101" s="25" t="s">
        <v>1477</v>
      </c>
      <c r="D101" s="25" t="s">
        <v>1478</v>
      </c>
      <c r="E101" s="25" t="s">
        <v>1823</v>
      </c>
      <c r="F101" s="25">
        <v>0</v>
      </c>
      <c r="G101" s="24" t="s">
        <v>1489</v>
      </c>
      <c r="H101" s="27" t="s">
        <v>1481</v>
      </c>
      <c r="I101" s="27" t="s">
        <v>1481</v>
      </c>
      <c r="J101" s="27"/>
      <c r="K101" s="27"/>
      <c r="L101" s="52">
        <f>MATCH(A101,'Filtered G500'!B$2:B$231,)</f>
        <v>149</v>
      </c>
    </row>
    <row r="102" spans="1:12">
      <c r="A102" s="24" t="s">
        <v>70</v>
      </c>
      <c r="B102" s="24">
        <v>2</v>
      </c>
      <c r="C102" s="25" t="s">
        <v>1477</v>
      </c>
      <c r="D102" s="25" t="s">
        <v>1824</v>
      </c>
      <c r="E102" s="25" t="s">
        <v>1825</v>
      </c>
      <c r="F102" s="25">
        <v>-1</v>
      </c>
      <c r="G102" s="25" t="s">
        <v>1530</v>
      </c>
      <c r="H102" s="27" t="s">
        <v>1531</v>
      </c>
      <c r="I102" s="27" t="s">
        <v>1532</v>
      </c>
      <c r="J102" s="27" t="s">
        <v>1826</v>
      </c>
      <c r="K102" s="27" t="s">
        <v>1827</v>
      </c>
      <c r="L102" s="52">
        <f>MATCH(A102,'Filtered G500'!B$2:B$231,)</f>
        <v>150</v>
      </c>
    </row>
    <row r="103" spans="1:12">
      <c r="A103" s="24" t="s">
        <v>211</v>
      </c>
      <c r="B103" s="24">
        <v>2</v>
      </c>
      <c r="C103" s="25" t="s">
        <v>1477</v>
      </c>
      <c r="D103" s="25" t="s">
        <v>1828</v>
      </c>
      <c r="E103" s="25" t="s">
        <v>1829</v>
      </c>
      <c r="F103" s="25">
        <v>-1</v>
      </c>
      <c r="G103" s="25" t="s">
        <v>1530</v>
      </c>
      <c r="H103" s="27" t="s">
        <v>1830</v>
      </c>
      <c r="I103" s="27" t="s">
        <v>1532</v>
      </c>
      <c r="J103" s="27" t="s">
        <v>1831</v>
      </c>
      <c r="K103" s="51" t="s">
        <v>1832</v>
      </c>
      <c r="L103" s="52">
        <f>MATCH(A103,'Filtered G500'!B$2:B$231,)</f>
        <v>151</v>
      </c>
    </row>
    <row r="104" spans="1:12">
      <c r="A104" s="24" t="s">
        <v>915</v>
      </c>
      <c r="B104" s="24">
        <v>1</v>
      </c>
      <c r="C104" s="25" t="s">
        <v>1477</v>
      </c>
      <c r="D104" s="25" t="s">
        <v>1478</v>
      </c>
      <c r="E104" s="25" t="s">
        <v>1833</v>
      </c>
      <c r="F104" s="25">
        <v>0</v>
      </c>
      <c r="G104" s="24" t="s">
        <v>1489</v>
      </c>
      <c r="H104" s="26" t="s">
        <v>1481</v>
      </c>
      <c r="I104" s="27" t="s">
        <v>1481</v>
      </c>
      <c r="J104" s="28" t="s">
        <v>1834</v>
      </c>
      <c r="K104" s="28" t="s">
        <v>1835</v>
      </c>
      <c r="L104" s="53">
        <f>MATCH(A104,'Filtered G500'!B$2:B$231,)</f>
        <v>152</v>
      </c>
    </row>
    <row r="105" spans="1:12">
      <c r="A105" s="24" t="s">
        <v>719</v>
      </c>
      <c r="B105" s="24">
        <v>0</v>
      </c>
      <c r="C105" s="25" t="s">
        <v>1477</v>
      </c>
      <c r="D105" s="25" t="s">
        <v>1478</v>
      </c>
      <c r="E105" s="25" t="s">
        <v>1836</v>
      </c>
      <c r="F105" s="25">
        <v>0</v>
      </c>
      <c r="G105" s="24" t="s">
        <v>1489</v>
      </c>
      <c r="H105" s="26" t="s">
        <v>1481</v>
      </c>
      <c r="I105" s="27" t="s">
        <v>1481</v>
      </c>
      <c r="J105" s="28" t="s">
        <v>1837</v>
      </c>
      <c r="K105" s="55" t="s">
        <v>1838</v>
      </c>
      <c r="L105" s="53">
        <f>MATCH(A105,'Filtered G500'!B$2:B$231,)</f>
        <v>169</v>
      </c>
    </row>
    <row r="106" spans="1:12">
      <c r="A106" s="24" t="s">
        <v>129</v>
      </c>
      <c r="B106" s="24">
        <v>1</v>
      </c>
      <c r="C106" s="25" t="s">
        <v>1477</v>
      </c>
      <c r="D106" s="25" t="s">
        <v>1478</v>
      </c>
      <c r="E106" s="25" t="s">
        <v>1839</v>
      </c>
      <c r="F106" s="25">
        <v>0</v>
      </c>
      <c r="G106" s="24" t="s">
        <v>1489</v>
      </c>
      <c r="H106" s="27" t="s">
        <v>1481</v>
      </c>
      <c r="I106" s="27" t="s">
        <v>1481</v>
      </c>
      <c r="J106" s="27"/>
      <c r="K106" s="27"/>
      <c r="L106" s="52">
        <f>MATCH(A106,'Filtered G500'!B$2:B$231,)</f>
        <v>171</v>
      </c>
    </row>
    <row r="107" spans="1:12">
      <c r="A107" s="24" t="s">
        <v>311</v>
      </c>
      <c r="B107" s="24">
        <v>1</v>
      </c>
      <c r="C107" s="25" t="s">
        <v>1840</v>
      </c>
      <c r="D107" s="25" t="s">
        <v>1478</v>
      </c>
      <c r="E107" s="25" t="s">
        <v>1841</v>
      </c>
      <c r="F107" s="25">
        <v>0</v>
      </c>
      <c r="G107" s="24" t="s">
        <v>1489</v>
      </c>
      <c r="H107" s="27" t="s">
        <v>1481</v>
      </c>
      <c r="I107" s="27" t="s">
        <v>1481</v>
      </c>
      <c r="J107" s="27"/>
      <c r="K107" s="27"/>
      <c r="L107" s="52">
        <f>MATCH(A107,'Filtered G500'!B$2:B$231,)</f>
        <v>172</v>
      </c>
    </row>
    <row r="108" spans="1:12">
      <c r="A108" s="24" t="s">
        <v>293</v>
      </c>
      <c r="B108" s="24">
        <v>1</v>
      </c>
      <c r="C108" s="25" t="s">
        <v>1477</v>
      </c>
      <c r="D108" s="25" t="s">
        <v>1478</v>
      </c>
      <c r="E108" s="25" t="s">
        <v>1842</v>
      </c>
      <c r="F108" s="25">
        <v>0</v>
      </c>
      <c r="G108" s="24" t="s">
        <v>1489</v>
      </c>
      <c r="H108" s="27" t="s">
        <v>1481</v>
      </c>
      <c r="I108" s="27" t="s">
        <v>1481</v>
      </c>
      <c r="J108" s="27"/>
      <c r="K108" s="27"/>
      <c r="L108" s="52">
        <f>MATCH(A108,'Filtered G500'!B$2:B$231,)</f>
        <v>173</v>
      </c>
    </row>
    <row r="109" spans="1:12">
      <c r="A109" s="24" t="s">
        <v>283</v>
      </c>
      <c r="B109" s="24">
        <v>1</v>
      </c>
      <c r="C109" s="25" t="s">
        <v>1477</v>
      </c>
      <c r="D109" s="25" t="s">
        <v>1478</v>
      </c>
      <c r="E109" s="25" t="s">
        <v>1843</v>
      </c>
      <c r="F109" s="25">
        <v>0</v>
      </c>
      <c r="G109" s="24" t="s">
        <v>1489</v>
      </c>
      <c r="H109" s="27" t="s">
        <v>1481</v>
      </c>
      <c r="I109" s="27" t="s">
        <v>1481</v>
      </c>
      <c r="J109" s="27"/>
      <c r="K109" s="27"/>
      <c r="L109" s="52">
        <f>MATCH(A109,'Filtered G500'!B$2:B$231,)</f>
        <v>178</v>
      </c>
    </row>
    <row r="110" spans="1:12">
      <c r="A110" s="24" t="s">
        <v>525</v>
      </c>
      <c r="B110" s="24">
        <v>1</v>
      </c>
      <c r="C110" s="29" t="s">
        <v>1477</v>
      </c>
      <c r="D110" s="29" t="s">
        <v>1478</v>
      </c>
      <c r="E110" s="29" t="s">
        <v>1844</v>
      </c>
      <c r="F110" s="29">
        <v>0</v>
      </c>
      <c r="G110" s="24" t="s">
        <v>1489</v>
      </c>
      <c r="H110" s="26" t="s">
        <v>1481</v>
      </c>
      <c r="I110" s="26" t="s">
        <v>1481</v>
      </c>
      <c r="J110" s="26" t="s">
        <v>1845</v>
      </c>
      <c r="K110" s="26" t="s">
        <v>1846</v>
      </c>
      <c r="L110" s="56">
        <f>MATCH(A110,'Filtered G500'!B$2:B$231,)</f>
        <v>179</v>
      </c>
    </row>
    <row r="111" spans="1:12">
      <c r="A111" s="24" t="s">
        <v>172</v>
      </c>
      <c r="B111" s="24">
        <v>1</v>
      </c>
      <c r="C111" s="25" t="s">
        <v>1477</v>
      </c>
      <c r="D111" s="25" t="s">
        <v>1478</v>
      </c>
      <c r="E111" s="25" t="s">
        <v>1847</v>
      </c>
      <c r="F111" s="25">
        <v>0</v>
      </c>
      <c r="G111" s="24" t="s">
        <v>1489</v>
      </c>
      <c r="H111" s="27" t="s">
        <v>1481</v>
      </c>
      <c r="I111" s="27" t="s">
        <v>1481</v>
      </c>
      <c r="J111" s="27"/>
      <c r="K111" s="27"/>
      <c r="L111" s="52">
        <f>MATCH(A111,'Filtered G500'!B$2:B$231,)</f>
        <v>198</v>
      </c>
    </row>
    <row r="112" spans="1:12">
      <c r="A112" s="24" t="s">
        <v>320</v>
      </c>
      <c r="B112" s="24">
        <v>1</v>
      </c>
      <c r="C112" s="25" t="s">
        <v>1477</v>
      </c>
      <c r="D112" s="25" t="s">
        <v>1478</v>
      </c>
      <c r="E112" s="25" t="s">
        <v>1848</v>
      </c>
      <c r="F112" s="25">
        <v>0</v>
      </c>
      <c r="G112" s="24" t="s">
        <v>1489</v>
      </c>
      <c r="H112" s="27" t="s">
        <v>1481</v>
      </c>
      <c r="I112" s="27" t="s">
        <v>1481</v>
      </c>
      <c r="J112" s="27"/>
      <c r="K112" s="27"/>
      <c r="L112" s="52">
        <f>MATCH(A112,'Filtered G500'!B$2:B$231,)</f>
        <v>199</v>
      </c>
    </row>
    <row r="113" spans="1:28">
      <c r="A113" s="24" t="s">
        <v>235</v>
      </c>
      <c r="B113" s="24">
        <v>1</v>
      </c>
      <c r="C113" s="25" t="s">
        <v>1477</v>
      </c>
      <c r="D113" s="25" t="s">
        <v>1478</v>
      </c>
      <c r="E113" s="25" t="s">
        <v>1849</v>
      </c>
      <c r="F113" s="25">
        <v>0</v>
      </c>
      <c r="G113" s="24" t="s">
        <v>1489</v>
      </c>
      <c r="H113" s="26" t="s">
        <v>1481</v>
      </c>
      <c r="I113" s="27" t="s">
        <v>1481</v>
      </c>
      <c r="J113" s="28" t="s">
        <v>1850</v>
      </c>
      <c r="K113" s="28" t="s">
        <v>1851</v>
      </c>
      <c r="L113" s="53">
        <f>MATCH(A113,'Filtered G500'!B$2:B$231,)</f>
        <v>200</v>
      </c>
    </row>
    <row r="114" spans="1:28">
      <c r="A114" s="24" t="s">
        <v>269</v>
      </c>
      <c r="B114" s="24">
        <v>1</v>
      </c>
      <c r="C114" s="25" t="s">
        <v>1477</v>
      </c>
      <c r="D114" s="25" t="s">
        <v>1478</v>
      </c>
      <c r="E114" s="25" t="s">
        <v>1852</v>
      </c>
      <c r="F114" s="25">
        <v>-1</v>
      </c>
      <c r="G114" s="25" t="s">
        <v>1530</v>
      </c>
      <c r="H114" s="26" t="s">
        <v>1830</v>
      </c>
      <c r="I114" s="27" t="s">
        <v>1532</v>
      </c>
      <c r="J114" s="28" t="s">
        <v>1853</v>
      </c>
      <c r="K114" s="28" t="s">
        <v>1854</v>
      </c>
      <c r="L114" s="53">
        <f>MATCH(A114,'Filtered G500'!B$2:B$231,)</f>
        <v>211</v>
      </c>
    </row>
    <row r="115" spans="1:28">
      <c r="A115" s="24" t="s">
        <v>452</v>
      </c>
      <c r="B115" s="24">
        <v>2</v>
      </c>
      <c r="C115" s="29" t="s">
        <v>1477</v>
      </c>
      <c r="D115" s="29" t="s">
        <v>1855</v>
      </c>
      <c r="E115" s="29" t="s">
        <v>1856</v>
      </c>
      <c r="F115" s="29">
        <v>0</v>
      </c>
      <c r="G115" s="24" t="s">
        <v>1489</v>
      </c>
      <c r="H115" s="26" t="s">
        <v>1481</v>
      </c>
      <c r="I115" s="26" t="s">
        <v>1481</v>
      </c>
      <c r="J115" s="26" t="s">
        <v>1857</v>
      </c>
      <c r="K115" s="26" t="s">
        <v>1858</v>
      </c>
      <c r="L115" s="56">
        <f>MATCH(A115,'Filtered G500'!B$2:B$231,)</f>
        <v>221</v>
      </c>
    </row>
    <row r="116" spans="1:28">
      <c r="A116" s="35" t="s">
        <v>641</v>
      </c>
      <c r="B116" s="35">
        <v>2</v>
      </c>
      <c r="C116" s="58" t="s">
        <v>1477</v>
      </c>
      <c r="D116" s="58" t="s">
        <v>1859</v>
      </c>
      <c r="E116" s="58" t="s">
        <v>1860</v>
      </c>
      <c r="F116" s="59">
        <v>0</v>
      </c>
      <c r="G116" s="24" t="s">
        <v>1489</v>
      </c>
      <c r="H116" s="58" t="s">
        <v>1481</v>
      </c>
      <c r="I116" s="58" t="s">
        <v>1481</v>
      </c>
      <c r="J116" s="58" t="s">
        <v>1861</v>
      </c>
      <c r="K116" s="58" t="s">
        <v>1862</v>
      </c>
      <c r="L116" s="60"/>
      <c r="M116" s="61"/>
      <c r="N116" s="61"/>
      <c r="O116" s="61"/>
      <c r="P116" s="61"/>
      <c r="Q116" s="61"/>
      <c r="R116" s="61"/>
      <c r="S116" s="61"/>
      <c r="T116" s="61"/>
      <c r="U116" s="61"/>
      <c r="V116" s="61"/>
      <c r="W116" s="61"/>
      <c r="X116" s="61"/>
      <c r="Y116" s="61"/>
      <c r="Z116" s="61"/>
      <c r="AA116" s="61"/>
      <c r="AB116" s="61"/>
    </row>
    <row r="117" spans="1:28">
      <c r="A117" s="35" t="s">
        <v>953</v>
      </c>
      <c r="B117" s="35">
        <v>1</v>
      </c>
      <c r="C117" s="58" t="s">
        <v>1863</v>
      </c>
      <c r="D117" s="58" t="s">
        <v>1478</v>
      </c>
      <c r="E117" s="58" t="s">
        <v>1864</v>
      </c>
      <c r="F117" s="59">
        <v>0</v>
      </c>
      <c r="G117" s="24" t="s">
        <v>1489</v>
      </c>
      <c r="H117" s="58" t="s">
        <v>1481</v>
      </c>
      <c r="I117" s="58" t="s">
        <v>1481</v>
      </c>
      <c r="J117" s="58" t="s">
        <v>1865</v>
      </c>
      <c r="K117" s="62" t="s">
        <v>1866</v>
      </c>
      <c r="L117" s="60"/>
      <c r="M117" s="61"/>
      <c r="N117" s="61"/>
      <c r="O117" s="61"/>
      <c r="P117" s="61"/>
      <c r="Q117" s="61"/>
      <c r="R117" s="61"/>
      <c r="S117" s="61"/>
      <c r="T117" s="61"/>
      <c r="U117" s="61"/>
      <c r="V117" s="61"/>
      <c r="W117" s="61"/>
      <c r="X117" s="61"/>
      <c r="Y117" s="61"/>
      <c r="Z117" s="61"/>
      <c r="AA117" s="61"/>
      <c r="AB117" s="61"/>
    </row>
    <row r="118" spans="1:28">
      <c r="A118" s="35" t="s">
        <v>234</v>
      </c>
      <c r="B118" s="35">
        <v>1</v>
      </c>
      <c r="C118" s="58" t="s">
        <v>1477</v>
      </c>
      <c r="D118" s="58" t="s">
        <v>1478</v>
      </c>
      <c r="E118" s="58" t="s">
        <v>1867</v>
      </c>
      <c r="F118" s="59">
        <v>1</v>
      </c>
      <c r="G118" s="24" t="s">
        <v>1480</v>
      </c>
      <c r="H118" s="58" t="s">
        <v>1481</v>
      </c>
      <c r="I118" s="58" t="s">
        <v>1481</v>
      </c>
      <c r="J118" s="58" t="s">
        <v>1868</v>
      </c>
      <c r="K118" s="58" t="s">
        <v>1869</v>
      </c>
      <c r="L118" s="60"/>
      <c r="M118" s="61"/>
      <c r="N118" s="61"/>
      <c r="O118" s="61"/>
      <c r="P118" s="61"/>
      <c r="Q118" s="61"/>
      <c r="R118" s="61"/>
      <c r="S118" s="61"/>
      <c r="T118" s="61"/>
      <c r="U118" s="61"/>
      <c r="V118" s="61"/>
      <c r="W118" s="61"/>
      <c r="X118" s="61"/>
      <c r="Y118" s="61"/>
      <c r="Z118" s="61"/>
      <c r="AA118" s="61"/>
      <c r="AB118" s="61"/>
    </row>
    <row r="119" spans="1:28">
      <c r="A119" s="35" t="s">
        <v>263</v>
      </c>
      <c r="B119" s="35">
        <v>1</v>
      </c>
      <c r="C119" s="58" t="s">
        <v>1477</v>
      </c>
      <c r="D119" s="58" t="s">
        <v>1478</v>
      </c>
      <c r="E119" s="58" t="s">
        <v>1870</v>
      </c>
      <c r="F119" s="59">
        <v>1</v>
      </c>
      <c r="G119" s="24" t="s">
        <v>1480</v>
      </c>
      <c r="H119" s="58" t="s">
        <v>1481</v>
      </c>
      <c r="I119" s="58" t="s">
        <v>1481</v>
      </c>
      <c r="J119" s="58" t="s">
        <v>1871</v>
      </c>
      <c r="K119" s="58" t="s">
        <v>1872</v>
      </c>
      <c r="L119" s="60"/>
      <c r="M119" s="61"/>
      <c r="N119" s="61"/>
      <c r="O119" s="61"/>
      <c r="P119" s="61"/>
      <c r="Q119" s="61"/>
      <c r="R119" s="61"/>
      <c r="S119" s="61"/>
      <c r="T119" s="61"/>
      <c r="U119" s="61"/>
      <c r="V119" s="61"/>
      <c r="W119" s="61"/>
      <c r="X119" s="61"/>
      <c r="Y119" s="61"/>
      <c r="Z119" s="61"/>
      <c r="AA119" s="61"/>
      <c r="AB119" s="61"/>
    </row>
    <row r="120" spans="1:28">
      <c r="A120" s="35" t="s">
        <v>738</v>
      </c>
      <c r="B120" s="35">
        <v>1</v>
      </c>
      <c r="C120" s="58" t="s">
        <v>1477</v>
      </c>
      <c r="D120" s="58" t="s">
        <v>1478</v>
      </c>
      <c r="E120" s="58" t="s">
        <v>1873</v>
      </c>
      <c r="F120" s="59">
        <v>1</v>
      </c>
      <c r="G120" s="24" t="s">
        <v>1480</v>
      </c>
      <c r="H120" s="58" t="s">
        <v>1481</v>
      </c>
      <c r="I120" s="58" t="s">
        <v>1481</v>
      </c>
      <c r="J120" s="58" t="s">
        <v>1874</v>
      </c>
      <c r="K120" s="58" t="s">
        <v>1875</v>
      </c>
      <c r="L120" s="60"/>
      <c r="M120" s="61"/>
      <c r="N120" s="61"/>
      <c r="O120" s="61"/>
      <c r="P120" s="61"/>
      <c r="Q120" s="61"/>
      <c r="R120" s="61"/>
      <c r="S120" s="61"/>
      <c r="T120" s="61"/>
      <c r="U120" s="61"/>
      <c r="V120" s="61"/>
      <c r="W120" s="61"/>
      <c r="X120" s="61"/>
      <c r="Y120" s="61"/>
      <c r="Z120" s="61"/>
      <c r="AA120" s="61"/>
      <c r="AB120" s="61"/>
    </row>
    <row r="121" spans="1:28">
      <c r="A121" s="35" t="s">
        <v>80</v>
      </c>
      <c r="B121" s="35">
        <v>1</v>
      </c>
      <c r="C121" s="58" t="s">
        <v>1477</v>
      </c>
      <c r="D121" s="58" t="s">
        <v>1478</v>
      </c>
      <c r="E121" s="58" t="s">
        <v>1876</v>
      </c>
      <c r="F121" s="59">
        <v>-1</v>
      </c>
      <c r="G121" s="36" t="s">
        <v>1530</v>
      </c>
      <c r="H121" s="58" t="s">
        <v>1569</v>
      </c>
      <c r="I121" s="58" t="s">
        <v>1532</v>
      </c>
      <c r="J121" s="58" t="s">
        <v>1877</v>
      </c>
      <c r="K121" s="58" t="s">
        <v>1878</v>
      </c>
      <c r="L121" s="60"/>
      <c r="M121" s="61"/>
      <c r="N121" s="61"/>
      <c r="O121" s="61"/>
      <c r="P121" s="61"/>
      <c r="Q121" s="61"/>
      <c r="R121" s="61"/>
      <c r="S121" s="61"/>
      <c r="T121" s="61"/>
      <c r="U121" s="61"/>
      <c r="V121" s="61"/>
      <c r="W121" s="61"/>
      <c r="X121" s="61"/>
      <c r="Y121" s="61"/>
      <c r="Z121" s="61"/>
      <c r="AA121" s="61"/>
      <c r="AB121" s="61"/>
    </row>
    <row r="122" spans="1:28">
      <c r="A122" s="35" t="s">
        <v>786</v>
      </c>
      <c r="B122" s="35">
        <v>1</v>
      </c>
      <c r="C122" s="58" t="s">
        <v>1477</v>
      </c>
      <c r="D122" s="58" t="s">
        <v>1478</v>
      </c>
      <c r="E122" s="58" t="s">
        <v>1879</v>
      </c>
      <c r="F122" s="59">
        <v>1</v>
      </c>
      <c r="G122" s="24" t="s">
        <v>1480</v>
      </c>
      <c r="H122" s="58" t="s">
        <v>1481</v>
      </c>
      <c r="I122" s="58" t="s">
        <v>1481</v>
      </c>
      <c r="J122" s="58" t="s">
        <v>1880</v>
      </c>
      <c r="K122" s="58" t="s">
        <v>1881</v>
      </c>
      <c r="L122" s="60"/>
      <c r="M122" s="61"/>
      <c r="N122" s="61"/>
      <c r="O122" s="61"/>
      <c r="P122" s="61"/>
      <c r="Q122" s="61"/>
      <c r="R122" s="61"/>
      <c r="S122" s="61"/>
      <c r="T122" s="61"/>
      <c r="U122" s="61"/>
      <c r="V122" s="61"/>
      <c r="W122" s="61"/>
      <c r="X122" s="61"/>
      <c r="Y122" s="61"/>
      <c r="Z122" s="61"/>
      <c r="AA122" s="61"/>
      <c r="AB122" s="61"/>
    </row>
    <row r="123" spans="1:28">
      <c r="A123" s="35" t="s">
        <v>1093</v>
      </c>
      <c r="B123" s="35">
        <v>2</v>
      </c>
      <c r="C123" s="58" t="s">
        <v>1477</v>
      </c>
      <c r="D123" s="58" t="s">
        <v>1882</v>
      </c>
      <c r="E123" s="58" t="s">
        <v>1883</v>
      </c>
      <c r="F123" s="59">
        <v>1</v>
      </c>
      <c r="G123" s="24" t="s">
        <v>1480</v>
      </c>
      <c r="H123" s="58" t="s">
        <v>1481</v>
      </c>
      <c r="I123" s="58" t="s">
        <v>1481</v>
      </c>
      <c r="J123" s="58" t="s">
        <v>1884</v>
      </c>
      <c r="K123" s="58" t="s">
        <v>1885</v>
      </c>
      <c r="L123" s="60"/>
      <c r="M123" s="61"/>
      <c r="N123" s="61"/>
      <c r="O123" s="61"/>
      <c r="P123" s="61"/>
      <c r="Q123" s="61"/>
      <c r="R123" s="61"/>
      <c r="S123" s="61"/>
      <c r="T123" s="61"/>
      <c r="U123" s="61"/>
      <c r="V123" s="61"/>
      <c r="W123" s="61"/>
      <c r="X123" s="61"/>
      <c r="Y123" s="61"/>
      <c r="Z123" s="61"/>
      <c r="AA123" s="61"/>
      <c r="AB123" s="61"/>
    </row>
    <row r="124" spans="1:28">
      <c r="A124" s="35" t="s">
        <v>531</v>
      </c>
      <c r="B124" s="35">
        <v>1</v>
      </c>
      <c r="C124" s="58" t="s">
        <v>1477</v>
      </c>
      <c r="D124" s="58" t="s">
        <v>1478</v>
      </c>
      <c r="E124" s="63" t="s">
        <v>1886</v>
      </c>
      <c r="F124" s="59">
        <v>1</v>
      </c>
      <c r="G124" s="24" t="s">
        <v>1480</v>
      </c>
      <c r="H124" s="58" t="s">
        <v>1481</v>
      </c>
      <c r="I124" s="58" t="s">
        <v>1481</v>
      </c>
      <c r="J124" s="58" t="s">
        <v>1887</v>
      </c>
      <c r="K124" s="58" t="s">
        <v>1888</v>
      </c>
      <c r="L124" s="60"/>
      <c r="M124" s="61"/>
      <c r="N124" s="61"/>
      <c r="O124" s="61"/>
      <c r="P124" s="61"/>
      <c r="Q124" s="61"/>
      <c r="R124" s="61"/>
      <c r="S124" s="61"/>
      <c r="T124" s="61"/>
      <c r="U124" s="61"/>
      <c r="V124" s="61"/>
      <c r="W124" s="61"/>
      <c r="X124" s="61"/>
      <c r="Y124" s="61"/>
      <c r="Z124" s="61"/>
      <c r="AA124" s="61"/>
      <c r="AB124" s="61"/>
    </row>
    <row r="125" spans="1:28">
      <c r="A125" s="35" t="s">
        <v>627</v>
      </c>
      <c r="B125" s="35">
        <v>3</v>
      </c>
      <c r="C125" s="58" t="s">
        <v>1889</v>
      </c>
      <c r="D125" s="58" t="s">
        <v>1890</v>
      </c>
      <c r="E125" s="58" t="s">
        <v>1891</v>
      </c>
      <c r="F125" s="59">
        <v>-1</v>
      </c>
      <c r="G125" s="36" t="s">
        <v>1530</v>
      </c>
      <c r="H125" s="58" t="s">
        <v>1892</v>
      </c>
      <c r="I125" s="58" t="s">
        <v>1532</v>
      </c>
      <c r="J125" s="58" t="s">
        <v>1893</v>
      </c>
      <c r="K125" s="62" t="s">
        <v>1894</v>
      </c>
      <c r="L125" s="60"/>
      <c r="M125" s="61"/>
      <c r="N125" s="61"/>
      <c r="O125" s="61"/>
      <c r="P125" s="61"/>
      <c r="Q125" s="61"/>
      <c r="R125" s="61"/>
      <c r="S125" s="61"/>
      <c r="T125" s="61"/>
      <c r="U125" s="61"/>
      <c r="V125" s="61"/>
      <c r="W125" s="61"/>
      <c r="X125" s="61"/>
      <c r="Y125" s="61"/>
      <c r="Z125" s="61"/>
      <c r="AA125" s="61"/>
      <c r="AB125" s="61"/>
    </row>
    <row r="126" spans="1:28">
      <c r="A126" s="35" t="s">
        <v>1416</v>
      </c>
      <c r="B126" s="35">
        <v>1</v>
      </c>
      <c r="C126" s="58" t="s">
        <v>1477</v>
      </c>
      <c r="D126" s="58" t="s">
        <v>1478</v>
      </c>
      <c r="E126" s="58" t="s">
        <v>1895</v>
      </c>
      <c r="F126" s="59">
        <v>1</v>
      </c>
      <c r="G126" s="24" t="s">
        <v>1480</v>
      </c>
      <c r="H126" s="58" t="s">
        <v>1481</v>
      </c>
      <c r="I126" s="58" t="s">
        <v>1481</v>
      </c>
      <c r="J126" s="58" t="s">
        <v>1896</v>
      </c>
      <c r="K126" s="58" t="s">
        <v>1897</v>
      </c>
      <c r="L126" s="60"/>
      <c r="M126" s="61"/>
      <c r="N126" s="61"/>
      <c r="O126" s="61"/>
      <c r="P126" s="61"/>
      <c r="Q126" s="61"/>
      <c r="R126" s="61"/>
      <c r="S126" s="61"/>
      <c r="T126" s="61"/>
      <c r="U126" s="61"/>
      <c r="V126" s="61"/>
      <c r="W126" s="61"/>
      <c r="X126" s="61"/>
      <c r="Y126" s="61"/>
      <c r="Z126" s="61"/>
      <c r="AA126" s="61"/>
      <c r="AB126" s="61"/>
    </row>
    <row r="127" spans="1:28">
      <c r="A127" s="35" t="s">
        <v>448</v>
      </c>
      <c r="B127" s="35">
        <v>1</v>
      </c>
      <c r="C127" s="58" t="s">
        <v>1898</v>
      </c>
      <c r="D127" s="58" t="s">
        <v>1478</v>
      </c>
      <c r="E127" s="58" t="s">
        <v>1899</v>
      </c>
      <c r="F127" s="59">
        <v>0</v>
      </c>
      <c r="G127" s="36" t="s">
        <v>1489</v>
      </c>
      <c r="H127" s="58" t="s">
        <v>1481</v>
      </c>
      <c r="I127" s="58" t="s">
        <v>1481</v>
      </c>
      <c r="J127" s="58" t="s">
        <v>1900</v>
      </c>
      <c r="K127" s="58" t="s">
        <v>1901</v>
      </c>
      <c r="L127" s="60"/>
      <c r="M127" s="61"/>
      <c r="N127" s="61"/>
      <c r="O127" s="61"/>
      <c r="P127" s="61"/>
      <c r="Q127" s="61"/>
      <c r="R127" s="61"/>
      <c r="S127" s="61"/>
      <c r="T127" s="61"/>
      <c r="U127" s="61"/>
      <c r="V127" s="61"/>
      <c r="W127" s="61"/>
      <c r="X127" s="61"/>
      <c r="Y127" s="61"/>
      <c r="Z127" s="61"/>
      <c r="AA127" s="61"/>
      <c r="AB127" s="61"/>
    </row>
    <row r="128" spans="1:28">
      <c r="A128" s="35" t="s">
        <v>345</v>
      </c>
      <c r="B128" s="35">
        <v>1</v>
      </c>
      <c r="C128" s="58" t="s">
        <v>1477</v>
      </c>
      <c r="D128" s="58" t="s">
        <v>1478</v>
      </c>
      <c r="E128" s="58" t="s">
        <v>1902</v>
      </c>
      <c r="F128" s="59">
        <v>1</v>
      </c>
      <c r="G128" s="24" t="s">
        <v>1480</v>
      </c>
      <c r="H128" s="58" t="s">
        <v>1481</v>
      </c>
      <c r="I128" s="58" t="s">
        <v>1481</v>
      </c>
      <c r="J128" s="58" t="s">
        <v>1903</v>
      </c>
      <c r="K128" s="58" t="s">
        <v>1904</v>
      </c>
      <c r="L128" s="60"/>
      <c r="M128" s="61"/>
      <c r="N128" s="61"/>
      <c r="O128" s="61"/>
      <c r="P128" s="61"/>
      <c r="Q128" s="61"/>
      <c r="R128" s="61"/>
      <c r="S128" s="61"/>
      <c r="T128" s="61"/>
      <c r="U128" s="61"/>
      <c r="V128" s="61"/>
      <c r="W128" s="61"/>
      <c r="X128" s="61"/>
      <c r="Y128" s="61"/>
      <c r="Z128" s="61"/>
      <c r="AA128" s="61"/>
      <c r="AB128" s="61"/>
    </row>
    <row r="129" spans="1:28">
      <c r="A129" s="35" t="s">
        <v>875</v>
      </c>
      <c r="B129" s="35">
        <v>2</v>
      </c>
      <c r="C129" s="58" t="s">
        <v>1477</v>
      </c>
      <c r="D129" s="58" t="s">
        <v>1905</v>
      </c>
      <c r="E129" s="58" t="s">
        <v>1906</v>
      </c>
      <c r="F129" s="59">
        <v>0</v>
      </c>
      <c r="G129" s="36" t="s">
        <v>1489</v>
      </c>
      <c r="H129" s="58" t="s">
        <v>1481</v>
      </c>
      <c r="I129" s="58" t="s">
        <v>1481</v>
      </c>
      <c r="J129" s="58" t="s">
        <v>1907</v>
      </c>
      <c r="K129" s="58" t="s">
        <v>1908</v>
      </c>
      <c r="L129" s="60"/>
      <c r="M129" s="61"/>
      <c r="N129" s="61"/>
      <c r="O129" s="61"/>
      <c r="P129" s="61"/>
      <c r="Q129" s="61"/>
      <c r="R129" s="61"/>
      <c r="S129" s="61"/>
      <c r="T129" s="61"/>
      <c r="U129" s="61"/>
      <c r="V129" s="61"/>
      <c r="W129" s="61"/>
      <c r="X129" s="61"/>
      <c r="Y129" s="61"/>
      <c r="Z129" s="61"/>
      <c r="AA129" s="61"/>
      <c r="AB129" s="61"/>
    </row>
    <row r="130" spans="1:28">
      <c r="A130" s="35" t="s">
        <v>793</v>
      </c>
      <c r="B130" s="35">
        <v>1</v>
      </c>
      <c r="C130" s="58" t="s">
        <v>1477</v>
      </c>
      <c r="D130" s="58" t="s">
        <v>1478</v>
      </c>
      <c r="E130" s="58" t="s">
        <v>1909</v>
      </c>
      <c r="F130" s="59">
        <v>0</v>
      </c>
      <c r="G130" s="36" t="s">
        <v>1489</v>
      </c>
      <c r="H130" s="58" t="s">
        <v>1481</v>
      </c>
      <c r="I130" s="58" t="s">
        <v>1481</v>
      </c>
      <c r="J130" s="58" t="s">
        <v>1910</v>
      </c>
      <c r="K130" s="58" t="s">
        <v>1911</v>
      </c>
      <c r="L130" s="60"/>
      <c r="M130" s="61"/>
      <c r="N130" s="61"/>
      <c r="O130" s="61"/>
      <c r="P130" s="61"/>
      <c r="Q130" s="61"/>
      <c r="R130" s="61"/>
      <c r="S130" s="61"/>
      <c r="T130" s="61"/>
      <c r="U130" s="61"/>
      <c r="V130" s="61"/>
      <c r="W130" s="61"/>
      <c r="X130" s="61"/>
      <c r="Y130" s="61"/>
      <c r="Z130" s="61"/>
      <c r="AA130" s="61"/>
      <c r="AB130" s="61"/>
    </row>
    <row r="131" spans="1:28">
      <c r="A131" s="35" t="s">
        <v>372</v>
      </c>
      <c r="B131" s="35">
        <v>1</v>
      </c>
      <c r="C131" s="58" t="s">
        <v>1477</v>
      </c>
      <c r="D131" s="58" t="s">
        <v>1478</v>
      </c>
      <c r="E131" s="58" t="s">
        <v>1912</v>
      </c>
      <c r="F131" s="59">
        <v>0</v>
      </c>
      <c r="G131" s="36" t="s">
        <v>1489</v>
      </c>
      <c r="H131" s="58" t="s">
        <v>1481</v>
      </c>
      <c r="I131" s="58" t="s">
        <v>1481</v>
      </c>
      <c r="J131" s="58" t="s">
        <v>1913</v>
      </c>
      <c r="K131" s="58" t="s">
        <v>1914</v>
      </c>
      <c r="L131" s="60"/>
      <c r="M131" s="61"/>
      <c r="N131" s="61"/>
      <c r="O131" s="61"/>
      <c r="P131" s="61"/>
      <c r="Q131" s="61"/>
      <c r="R131" s="61"/>
      <c r="S131" s="61"/>
      <c r="T131" s="61"/>
      <c r="U131" s="61"/>
      <c r="V131" s="61"/>
      <c r="W131" s="61"/>
      <c r="X131" s="61"/>
      <c r="Y131" s="61"/>
      <c r="Z131" s="61"/>
      <c r="AA131" s="61"/>
      <c r="AB131" s="61"/>
    </row>
    <row r="132" spans="1:28">
      <c r="A132" s="35" t="s">
        <v>1107</v>
      </c>
      <c r="B132" s="35">
        <v>1</v>
      </c>
      <c r="C132" s="58" t="s">
        <v>1477</v>
      </c>
      <c r="D132" s="58" t="s">
        <v>1478</v>
      </c>
      <c r="E132" s="58" t="s">
        <v>1915</v>
      </c>
      <c r="F132" s="59">
        <v>0</v>
      </c>
      <c r="G132" s="36" t="s">
        <v>1489</v>
      </c>
      <c r="H132" s="58" t="s">
        <v>1481</v>
      </c>
      <c r="I132" s="58" t="s">
        <v>1481</v>
      </c>
      <c r="J132" s="58" t="s">
        <v>1916</v>
      </c>
      <c r="K132" s="58" t="s">
        <v>1917</v>
      </c>
      <c r="L132" s="60"/>
      <c r="M132" s="61"/>
      <c r="N132" s="61"/>
      <c r="O132" s="61"/>
      <c r="P132" s="61"/>
      <c r="Q132" s="61"/>
      <c r="R132" s="61"/>
      <c r="S132" s="61"/>
      <c r="T132" s="61"/>
      <c r="U132" s="61"/>
      <c r="V132" s="61"/>
      <c r="W132" s="61"/>
      <c r="X132" s="61"/>
      <c r="Y132" s="61"/>
      <c r="Z132" s="61"/>
      <c r="AA132" s="61"/>
      <c r="AB132" s="61"/>
    </row>
    <row r="133" spans="1:28">
      <c r="A133" s="35" t="s">
        <v>1293</v>
      </c>
      <c r="B133" s="35">
        <v>2</v>
      </c>
      <c r="C133" s="58" t="s">
        <v>1477</v>
      </c>
      <c r="D133" s="58" t="s">
        <v>1918</v>
      </c>
      <c r="E133" s="58" t="s">
        <v>1919</v>
      </c>
      <c r="F133" s="59">
        <v>1</v>
      </c>
      <c r="G133" s="24" t="s">
        <v>1480</v>
      </c>
      <c r="H133" s="58" t="s">
        <v>1481</v>
      </c>
      <c r="I133" s="58" t="s">
        <v>1481</v>
      </c>
      <c r="J133" s="58" t="s">
        <v>1920</v>
      </c>
      <c r="K133" s="58" t="s">
        <v>1921</v>
      </c>
      <c r="L133" s="60"/>
      <c r="M133" s="61"/>
      <c r="N133" s="61"/>
      <c r="O133" s="61"/>
      <c r="P133" s="61"/>
      <c r="Q133" s="61"/>
      <c r="R133" s="61"/>
      <c r="S133" s="61"/>
      <c r="T133" s="61"/>
      <c r="U133" s="61"/>
      <c r="V133" s="61"/>
      <c r="W133" s="61"/>
      <c r="X133" s="61"/>
      <c r="Y133" s="61"/>
      <c r="Z133" s="61"/>
      <c r="AA133" s="61"/>
      <c r="AB133" s="61"/>
    </row>
    <row r="134" spans="1:28">
      <c r="A134" s="35" t="s">
        <v>1255</v>
      </c>
      <c r="B134" s="35">
        <v>2</v>
      </c>
      <c r="C134" s="58" t="s">
        <v>1922</v>
      </c>
      <c r="D134" s="58" t="s">
        <v>1923</v>
      </c>
      <c r="E134" s="58" t="s">
        <v>1924</v>
      </c>
      <c r="F134" s="59">
        <v>1</v>
      </c>
      <c r="G134" s="24" t="s">
        <v>1480</v>
      </c>
      <c r="H134" s="58" t="s">
        <v>1481</v>
      </c>
      <c r="I134" s="58" t="s">
        <v>1481</v>
      </c>
      <c r="J134" s="58" t="s">
        <v>1925</v>
      </c>
      <c r="K134" s="58" t="s">
        <v>1926</v>
      </c>
      <c r="L134" s="60"/>
      <c r="M134" s="61"/>
      <c r="N134" s="61"/>
      <c r="O134" s="61"/>
      <c r="P134" s="61"/>
      <c r="Q134" s="61"/>
      <c r="R134" s="61"/>
      <c r="S134" s="61"/>
      <c r="T134" s="61"/>
      <c r="U134" s="61"/>
      <c r="V134" s="61"/>
      <c r="W134" s="61"/>
      <c r="X134" s="61"/>
      <c r="Y134" s="61"/>
      <c r="Z134" s="61"/>
      <c r="AA134" s="61"/>
      <c r="AB134" s="61"/>
    </row>
    <row r="135" spans="1:28">
      <c r="A135" s="35" t="s">
        <v>1053</v>
      </c>
      <c r="B135" s="35">
        <v>2</v>
      </c>
      <c r="C135" s="58" t="s">
        <v>1477</v>
      </c>
      <c r="D135" s="58" t="s">
        <v>1927</v>
      </c>
      <c r="E135" s="58" t="s">
        <v>1928</v>
      </c>
      <c r="F135" s="59">
        <v>1</v>
      </c>
      <c r="G135" s="24" t="s">
        <v>1480</v>
      </c>
      <c r="H135" s="58" t="s">
        <v>1481</v>
      </c>
      <c r="I135" s="58" t="s">
        <v>1481</v>
      </c>
      <c r="J135" s="58" t="s">
        <v>1929</v>
      </c>
      <c r="K135" s="58" t="s">
        <v>1930</v>
      </c>
      <c r="L135" s="60"/>
      <c r="M135" s="61"/>
      <c r="N135" s="61"/>
      <c r="O135" s="61"/>
      <c r="P135" s="61"/>
      <c r="Q135" s="61"/>
      <c r="R135" s="61"/>
      <c r="S135" s="61"/>
      <c r="T135" s="61"/>
      <c r="U135" s="61"/>
      <c r="V135" s="61"/>
      <c r="W135" s="61"/>
      <c r="X135" s="61"/>
      <c r="Y135" s="61"/>
      <c r="Z135" s="61"/>
      <c r="AA135" s="61"/>
      <c r="AB135" s="61"/>
    </row>
    <row r="136" spans="1:28">
      <c r="A136" s="35" t="s">
        <v>968</v>
      </c>
      <c r="B136" s="35">
        <v>1</v>
      </c>
      <c r="C136" s="58" t="s">
        <v>1477</v>
      </c>
      <c r="D136" s="58" t="s">
        <v>1478</v>
      </c>
      <c r="E136" s="58" t="s">
        <v>1931</v>
      </c>
      <c r="F136" s="59">
        <v>0</v>
      </c>
      <c r="G136" s="36" t="s">
        <v>1489</v>
      </c>
      <c r="H136" s="58" t="s">
        <v>1481</v>
      </c>
      <c r="I136" s="58" t="s">
        <v>1481</v>
      </c>
      <c r="J136" s="58" t="s">
        <v>1932</v>
      </c>
      <c r="K136" s="58" t="s">
        <v>1933</v>
      </c>
      <c r="L136" s="60"/>
      <c r="M136" s="61"/>
      <c r="N136" s="61"/>
      <c r="O136" s="61"/>
      <c r="P136" s="61"/>
      <c r="Q136" s="61"/>
      <c r="R136" s="61"/>
      <c r="S136" s="61"/>
      <c r="T136" s="61"/>
      <c r="U136" s="61"/>
      <c r="V136" s="61"/>
      <c r="W136" s="61"/>
      <c r="X136" s="61"/>
      <c r="Y136" s="61"/>
      <c r="Z136" s="61"/>
      <c r="AA136" s="61"/>
      <c r="AB136" s="61"/>
    </row>
    <row r="137" spans="1:28">
      <c r="A137" s="35" t="s">
        <v>1934</v>
      </c>
      <c r="B137" s="35">
        <v>2</v>
      </c>
      <c r="C137" s="58" t="s">
        <v>1477</v>
      </c>
      <c r="D137" s="58" t="s">
        <v>1935</v>
      </c>
      <c r="E137" s="58" t="s">
        <v>1936</v>
      </c>
      <c r="F137" s="59">
        <v>0</v>
      </c>
      <c r="G137" s="36" t="s">
        <v>1489</v>
      </c>
      <c r="H137" s="58" t="s">
        <v>1481</v>
      </c>
      <c r="I137" s="58" t="s">
        <v>1481</v>
      </c>
      <c r="J137" s="58" t="s">
        <v>1937</v>
      </c>
      <c r="K137" s="58" t="s">
        <v>1938</v>
      </c>
      <c r="L137" s="60"/>
      <c r="M137" s="61"/>
      <c r="N137" s="61"/>
      <c r="O137" s="61"/>
      <c r="P137" s="61"/>
      <c r="Q137" s="61"/>
      <c r="R137" s="61"/>
      <c r="S137" s="61"/>
      <c r="T137" s="61"/>
      <c r="U137" s="61"/>
      <c r="V137" s="61"/>
      <c r="W137" s="61"/>
      <c r="X137" s="61"/>
      <c r="Y137" s="61"/>
      <c r="Z137" s="61"/>
      <c r="AA137" s="61"/>
      <c r="AB137" s="61"/>
    </row>
    <row r="138" spans="1:28">
      <c r="A138" s="35" t="s">
        <v>869</v>
      </c>
      <c r="B138" s="35">
        <v>0</v>
      </c>
      <c r="C138" s="58" t="s">
        <v>1477</v>
      </c>
      <c r="D138" s="58" t="s">
        <v>1478</v>
      </c>
      <c r="E138" s="58" t="s">
        <v>1939</v>
      </c>
      <c r="F138" s="59">
        <v>0</v>
      </c>
      <c r="G138" s="36" t="s">
        <v>1489</v>
      </c>
      <c r="H138" s="58" t="s">
        <v>1481</v>
      </c>
      <c r="I138" s="58" t="s">
        <v>1481</v>
      </c>
      <c r="J138" s="58" t="s">
        <v>1940</v>
      </c>
      <c r="K138" s="58" t="s">
        <v>1941</v>
      </c>
      <c r="L138" s="60"/>
      <c r="M138" s="61"/>
      <c r="N138" s="61"/>
      <c r="O138" s="61"/>
      <c r="P138" s="61"/>
      <c r="Q138" s="61"/>
      <c r="R138" s="61"/>
      <c r="S138" s="61"/>
      <c r="T138" s="61"/>
      <c r="U138" s="61"/>
      <c r="V138" s="61"/>
      <c r="W138" s="61"/>
      <c r="X138" s="61"/>
      <c r="Y138" s="61"/>
      <c r="Z138" s="61"/>
      <c r="AA138" s="61"/>
      <c r="AB138" s="61"/>
    </row>
    <row r="139" spans="1:28">
      <c r="A139" s="35" t="s">
        <v>355</v>
      </c>
      <c r="B139" s="35">
        <v>2</v>
      </c>
      <c r="C139" s="58" t="s">
        <v>1477</v>
      </c>
      <c r="D139" s="58" t="s">
        <v>1942</v>
      </c>
      <c r="E139" s="58" t="s">
        <v>1943</v>
      </c>
      <c r="F139" s="59">
        <v>0</v>
      </c>
      <c r="G139" s="36" t="s">
        <v>1489</v>
      </c>
      <c r="H139" s="58" t="s">
        <v>1481</v>
      </c>
      <c r="I139" s="58" t="s">
        <v>1481</v>
      </c>
      <c r="J139" s="58" t="s">
        <v>1944</v>
      </c>
      <c r="K139" s="58" t="s">
        <v>1945</v>
      </c>
      <c r="L139" s="60"/>
      <c r="M139" s="61"/>
      <c r="N139" s="61"/>
      <c r="O139" s="61"/>
      <c r="P139" s="61"/>
      <c r="Q139" s="61"/>
      <c r="R139" s="61"/>
      <c r="S139" s="61"/>
      <c r="T139" s="61"/>
      <c r="U139" s="61"/>
      <c r="V139" s="61"/>
      <c r="W139" s="61"/>
      <c r="X139" s="61"/>
      <c r="Y139" s="61"/>
      <c r="Z139" s="61"/>
      <c r="AA139" s="61"/>
      <c r="AB139" s="61"/>
    </row>
    <row r="140" spans="1:28">
      <c r="A140" s="35" t="s">
        <v>1431</v>
      </c>
      <c r="B140" s="35">
        <v>2</v>
      </c>
      <c r="C140" s="25" t="s">
        <v>1477</v>
      </c>
      <c r="D140" s="25" t="s">
        <v>1946</v>
      </c>
      <c r="E140" s="25" t="s">
        <v>1947</v>
      </c>
      <c r="F140" s="25">
        <v>0</v>
      </c>
      <c r="G140" s="25" t="s">
        <v>1948</v>
      </c>
      <c r="H140" s="25" t="s">
        <v>1481</v>
      </c>
      <c r="I140" s="25" t="s">
        <v>1481</v>
      </c>
      <c r="J140" s="25" t="s">
        <v>1949</v>
      </c>
      <c r="K140" s="64" t="s">
        <v>1950</v>
      </c>
      <c r="L140" s="60"/>
      <c r="M140" s="61"/>
      <c r="N140" s="61"/>
      <c r="O140" s="61"/>
      <c r="P140" s="61"/>
      <c r="Q140" s="61"/>
      <c r="R140" s="61"/>
      <c r="S140" s="61"/>
      <c r="T140" s="61"/>
      <c r="U140" s="61"/>
      <c r="V140" s="61"/>
      <c r="W140" s="61"/>
      <c r="X140" s="61"/>
      <c r="Y140" s="61"/>
      <c r="Z140" s="61"/>
      <c r="AA140" s="61"/>
      <c r="AB140" s="61"/>
    </row>
    <row r="141" spans="1:28">
      <c r="A141" s="35" t="s">
        <v>920</v>
      </c>
      <c r="B141" s="35">
        <v>1</v>
      </c>
      <c r="C141" s="25" t="s">
        <v>1478</v>
      </c>
      <c r="D141" s="25" t="s">
        <v>1478</v>
      </c>
      <c r="E141" s="25" t="s">
        <v>1951</v>
      </c>
      <c r="F141" s="25">
        <v>0</v>
      </c>
      <c r="G141" s="25" t="s">
        <v>1948</v>
      </c>
      <c r="H141" s="25" t="s">
        <v>1481</v>
      </c>
      <c r="I141" s="25" t="s">
        <v>1481</v>
      </c>
      <c r="J141" s="25" t="s">
        <v>1949</v>
      </c>
      <c r="K141" s="64" t="s">
        <v>1952</v>
      </c>
      <c r="L141" s="60"/>
      <c r="M141" s="61"/>
      <c r="N141" s="61"/>
      <c r="O141" s="61"/>
      <c r="P141" s="61"/>
      <c r="Q141" s="61"/>
      <c r="R141" s="61"/>
      <c r="S141" s="61"/>
      <c r="T141" s="61"/>
      <c r="U141" s="61"/>
      <c r="V141" s="61"/>
      <c r="W141" s="61"/>
      <c r="X141" s="61"/>
      <c r="Y141" s="61"/>
      <c r="Z141" s="61"/>
      <c r="AA141" s="61"/>
      <c r="AB141" s="61"/>
    </row>
    <row r="142" spans="1:28">
      <c r="A142" s="35" t="s">
        <v>1232</v>
      </c>
      <c r="B142" s="35">
        <v>1</v>
      </c>
      <c r="C142" s="25" t="s">
        <v>1477</v>
      </c>
      <c r="D142" s="25" t="s">
        <v>1478</v>
      </c>
      <c r="E142" s="25" t="s">
        <v>1953</v>
      </c>
      <c r="F142" s="25">
        <v>0</v>
      </c>
      <c r="G142" s="25" t="s">
        <v>1948</v>
      </c>
      <c r="H142" s="25" t="s">
        <v>1481</v>
      </c>
      <c r="I142" s="25" t="s">
        <v>1481</v>
      </c>
      <c r="J142" s="25" t="s">
        <v>1949</v>
      </c>
      <c r="K142" s="64" t="s">
        <v>1954</v>
      </c>
      <c r="L142" s="60"/>
      <c r="M142" s="61"/>
      <c r="N142" s="61"/>
      <c r="O142" s="61"/>
      <c r="P142" s="61"/>
      <c r="Q142" s="61"/>
      <c r="R142" s="61"/>
      <c r="S142" s="61"/>
      <c r="T142" s="61"/>
      <c r="U142" s="61"/>
      <c r="V142" s="61"/>
      <c r="W142" s="61"/>
      <c r="X142" s="61"/>
      <c r="Y142" s="61"/>
      <c r="Z142" s="61"/>
      <c r="AA142" s="61"/>
      <c r="AB142" s="61"/>
    </row>
    <row r="143" spans="1:28">
      <c r="A143" s="35" t="s">
        <v>584</v>
      </c>
      <c r="B143" s="35">
        <v>2</v>
      </c>
      <c r="C143" s="25" t="s">
        <v>1623</v>
      </c>
      <c r="D143" s="25" t="s">
        <v>1955</v>
      </c>
      <c r="E143" s="25" t="s">
        <v>1956</v>
      </c>
      <c r="F143" s="25">
        <v>0</v>
      </c>
      <c r="G143" s="25" t="s">
        <v>1948</v>
      </c>
      <c r="H143" s="25" t="s">
        <v>1481</v>
      </c>
      <c r="I143" s="25" t="s">
        <v>1481</v>
      </c>
      <c r="J143" s="25" t="s">
        <v>1949</v>
      </c>
      <c r="K143" s="64" t="s">
        <v>1957</v>
      </c>
      <c r="L143" s="60"/>
      <c r="M143" s="61"/>
      <c r="N143" s="61"/>
      <c r="O143" s="61"/>
      <c r="P143" s="61"/>
      <c r="Q143" s="61"/>
      <c r="R143" s="61"/>
      <c r="S143" s="61"/>
      <c r="T143" s="61"/>
      <c r="U143" s="61"/>
      <c r="V143" s="61"/>
      <c r="W143" s="61"/>
      <c r="X143" s="61"/>
      <c r="Y143" s="61"/>
      <c r="Z143" s="61"/>
      <c r="AA143" s="61"/>
      <c r="AB143" s="61"/>
    </row>
    <row r="144" spans="1:28">
      <c r="A144" s="35" t="s">
        <v>1001</v>
      </c>
      <c r="B144" s="35">
        <v>1</v>
      </c>
      <c r="C144" s="25" t="s">
        <v>1477</v>
      </c>
      <c r="D144" s="25" t="s">
        <v>1478</v>
      </c>
      <c r="E144" s="25" t="s">
        <v>1958</v>
      </c>
      <c r="F144" s="25">
        <v>0</v>
      </c>
      <c r="G144" s="25" t="s">
        <v>1948</v>
      </c>
      <c r="H144" s="25" t="s">
        <v>1481</v>
      </c>
      <c r="I144" s="25" t="s">
        <v>1481</v>
      </c>
      <c r="J144" s="25" t="s">
        <v>1949</v>
      </c>
      <c r="K144" s="64" t="s">
        <v>1959</v>
      </c>
      <c r="L144" s="60"/>
      <c r="M144" s="61"/>
      <c r="N144" s="61"/>
      <c r="O144" s="61"/>
      <c r="P144" s="61"/>
      <c r="Q144" s="61"/>
      <c r="R144" s="61"/>
      <c r="S144" s="61"/>
      <c r="T144" s="61"/>
      <c r="U144" s="61"/>
      <c r="V144" s="61"/>
      <c r="W144" s="61"/>
      <c r="X144" s="61"/>
      <c r="Y144" s="61"/>
      <c r="Z144" s="61"/>
      <c r="AA144" s="61"/>
      <c r="AB144" s="61"/>
    </row>
    <row r="145" spans="1:28">
      <c r="A145" s="35" t="s">
        <v>458</v>
      </c>
      <c r="B145" s="35">
        <v>1</v>
      </c>
      <c r="C145" s="25" t="s">
        <v>1477</v>
      </c>
      <c r="D145" s="25" t="s">
        <v>1478</v>
      </c>
      <c r="E145" s="25" t="s">
        <v>1960</v>
      </c>
      <c r="F145" s="25">
        <v>0</v>
      </c>
      <c r="G145" s="25" t="s">
        <v>1948</v>
      </c>
      <c r="H145" s="25" t="s">
        <v>1481</v>
      </c>
      <c r="I145" s="25" t="s">
        <v>1481</v>
      </c>
      <c r="J145" s="25" t="s">
        <v>1949</v>
      </c>
      <c r="K145" s="64" t="s">
        <v>1961</v>
      </c>
      <c r="L145" s="60"/>
      <c r="M145" s="61"/>
      <c r="N145" s="61"/>
      <c r="O145" s="61"/>
      <c r="P145" s="61"/>
      <c r="Q145" s="61"/>
      <c r="R145" s="61"/>
      <c r="S145" s="61"/>
      <c r="T145" s="61"/>
      <c r="U145" s="61"/>
      <c r="V145" s="61"/>
      <c r="W145" s="61"/>
      <c r="X145" s="61"/>
      <c r="Y145" s="61"/>
      <c r="Z145" s="61"/>
      <c r="AA145" s="61"/>
      <c r="AB145" s="61"/>
    </row>
    <row r="146" spans="1:28">
      <c r="A146" s="35" t="s">
        <v>913</v>
      </c>
      <c r="B146" s="35">
        <v>1</v>
      </c>
      <c r="C146" s="25" t="s">
        <v>1477</v>
      </c>
      <c r="D146" s="25" t="s">
        <v>1478</v>
      </c>
      <c r="E146" s="25" t="s">
        <v>1962</v>
      </c>
      <c r="F146" s="25">
        <v>0</v>
      </c>
      <c r="G146" s="25" t="s">
        <v>1948</v>
      </c>
      <c r="H146" s="25" t="s">
        <v>1481</v>
      </c>
      <c r="I146" s="25" t="s">
        <v>1481</v>
      </c>
      <c r="J146" s="25" t="s">
        <v>1949</v>
      </c>
      <c r="K146" s="64" t="s">
        <v>1963</v>
      </c>
      <c r="L146" s="60"/>
      <c r="M146" s="61"/>
      <c r="N146" s="61"/>
      <c r="O146" s="61"/>
      <c r="P146" s="61"/>
      <c r="Q146" s="61"/>
      <c r="R146" s="61"/>
      <c r="S146" s="61"/>
      <c r="T146" s="61"/>
      <c r="U146" s="61"/>
      <c r="V146" s="61"/>
      <c r="W146" s="61"/>
      <c r="X146" s="61"/>
      <c r="Y146" s="61"/>
      <c r="Z146" s="61"/>
      <c r="AA146" s="61"/>
      <c r="AB146" s="61"/>
    </row>
    <row r="147" spans="1:28">
      <c r="A147" s="35" t="s">
        <v>844</v>
      </c>
      <c r="B147" s="35">
        <v>1</v>
      </c>
      <c r="C147" s="25" t="s">
        <v>1477</v>
      </c>
      <c r="D147" s="25" t="s">
        <v>1478</v>
      </c>
      <c r="E147" s="25" t="s">
        <v>1964</v>
      </c>
      <c r="F147" s="25">
        <v>0</v>
      </c>
      <c r="G147" s="25" t="s">
        <v>1948</v>
      </c>
      <c r="H147" s="25" t="s">
        <v>1481</v>
      </c>
      <c r="I147" s="25" t="s">
        <v>1481</v>
      </c>
      <c r="J147" s="25" t="s">
        <v>1949</v>
      </c>
      <c r="K147" s="64" t="s">
        <v>1965</v>
      </c>
      <c r="L147" s="60"/>
      <c r="M147" s="61"/>
      <c r="N147" s="61"/>
      <c r="O147" s="61"/>
      <c r="P147" s="61"/>
      <c r="Q147" s="61"/>
      <c r="R147" s="61"/>
      <c r="S147" s="61"/>
      <c r="T147" s="61"/>
      <c r="U147" s="61"/>
      <c r="V147" s="61"/>
      <c r="W147" s="61"/>
      <c r="X147" s="61"/>
      <c r="Y147" s="61"/>
      <c r="Z147" s="61"/>
      <c r="AA147" s="61"/>
      <c r="AB147" s="61"/>
    </row>
    <row r="148" spans="1:28">
      <c r="A148" s="35" t="s">
        <v>359</v>
      </c>
      <c r="B148" s="35">
        <v>1</v>
      </c>
      <c r="C148" s="25" t="s">
        <v>1477</v>
      </c>
      <c r="D148" s="25" t="s">
        <v>1478</v>
      </c>
      <c r="E148" s="25" t="s">
        <v>1966</v>
      </c>
      <c r="F148" s="25">
        <v>0</v>
      </c>
      <c r="G148" s="25" t="s">
        <v>1948</v>
      </c>
      <c r="H148" s="25" t="s">
        <v>1481</v>
      </c>
      <c r="I148" s="25" t="s">
        <v>1481</v>
      </c>
      <c r="J148" s="25" t="s">
        <v>1949</v>
      </c>
      <c r="K148" s="64" t="s">
        <v>1967</v>
      </c>
      <c r="L148" s="60"/>
    </row>
    <row r="149" spans="1:28">
      <c r="A149" s="35" t="s">
        <v>888</v>
      </c>
      <c r="B149" s="35">
        <v>1</v>
      </c>
      <c r="C149" s="25" t="s">
        <v>1477</v>
      </c>
      <c r="D149" s="25" t="s">
        <v>1478</v>
      </c>
      <c r="E149" s="25" t="s">
        <v>1968</v>
      </c>
      <c r="F149" s="25">
        <v>0</v>
      </c>
      <c r="G149" s="25" t="s">
        <v>1948</v>
      </c>
      <c r="H149" s="25" t="s">
        <v>1481</v>
      </c>
      <c r="I149" s="25" t="s">
        <v>1481</v>
      </c>
      <c r="J149" s="25" t="s">
        <v>1949</v>
      </c>
      <c r="K149" s="64" t="s">
        <v>1969</v>
      </c>
      <c r="L149" s="60"/>
    </row>
    <row r="150" spans="1:28">
      <c r="A150" s="35" t="s">
        <v>1239</v>
      </c>
      <c r="B150" s="35">
        <v>1</v>
      </c>
      <c r="C150" s="25" t="s">
        <v>1477</v>
      </c>
      <c r="D150" s="25" t="s">
        <v>1478</v>
      </c>
      <c r="E150" s="25" t="s">
        <v>1970</v>
      </c>
      <c r="F150" s="25">
        <v>0</v>
      </c>
      <c r="G150" s="25" t="s">
        <v>1948</v>
      </c>
      <c r="H150" s="25" t="s">
        <v>1481</v>
      </c>
      <c r="I150" s="25" t="s">
        <v>1481</v>
      </c>
      <c r="J150" s="25" t="s">
        <v>1949</v>
      </c>
      <c r="K150" s="64" t="s">
        <v>1971</v>
      </c>
      <c r="L150" s="60"/>
    </row>
    <row r="151" spans="1:28">
      <c r="A151" s="35" t="s">
        <v>1072</v>
      </c>
      <c r="B151" s="35">
        <v>2</v>
      </c>
      <c r="C151" s="25" t="s">
        <v>1477</v>
      </c>
      <c r="D151" s="25" t="s">
        <v>1972</v>
      </c>
      <c r="E151" s="25" t="s">
        <v>1973</v>
      </c>
      <c r="F151" s="25">
        <v>0</v>
      </c>
      <c r="G151" s="25" t="s">
        <v>1948</v>
      </c>
      <c r="H151" s="25" t="s">
        <v>1481</v>
      </c>
      <c r="I151" s="25" t="s">
        <v>1481</v>
      </c>
      <c r="J151" s="25" t="s">
        <v>1949</v>
      </c>
      <c r="K151" s="64" t="s">
        <v>1974</v>
      </c>
      <c r="L151" s="60"/>
    </row>
    <row r="152" spans="1:28">
      <c r="A152" s="35" t="s">
        <v>772</v>
      </c>
      <c r="B152" s="35">
        <v>1</v>
      </c>
      <c r="C152" s="25" t="s">
        <v>1477</v>
      </c>
      <c r="D152" s="25" t="s">
        <v>1478</v>
      </c>
      <c r="E152" s="25" t="s">
        <v>1975</v>
      </c>
      <c r="F152" s="25">
        <v>0</v>
      </c>
      <c r="G152" s="25" t="s">
        <v>1948</v>
      </c>
      <c r="H152" s="25" t="s">
        <v>1481</v>
      </c>
      <c r="I152" s="25" t="s">
        <v>1481</v>
      </c>
      <c r="J152" s="25" t="s">
        <v>1949</v>
      </c>
      <c r="K152" s="64" t="s">
        <v>1976</v>
      </c>
      <c r="L152" s="60"/>
    </row>
    <row r="153" spans="1:28">
      <c r="A153" s="35" t="s">
        <v>1303</v>
      </c>
      <c r="B153" s="35">
        <v>2</v>
      </c>
      <c r="C153" s="25" t="s">
        <v>1477</v>
      </c>
      <c r="D153" s="25" t="s">
        <v>1977</v>
      </c>
      <c r="E153" s="25" t="s">
        <v>1978</v>
      </c>
      <c r="F153" s="25">
        <v>0</v>
      </c>
      <c r="G153" s="25" t="s">
        <v>1948</v>
      </c>
      <c r="H153" s="25" t="s">
        <v>1481</v>
      </c>
      <c r="I153" s="25" t="s">
        <v>1481</v>
      </c>
      <c r="J153" s="25" t="s">
        <v>1949</v>
      </c>
      <c r="K153" s="64" t="s">
        <v>1979</v>
      </c>
      <c r="L153" s="60"/>
    </row>
    <row r="154" spans="1:28">
      <c r="A154" s="35" t="s">
        <v>553</v>
      </c>
      <c r="B154" s="35">
        <v>2</v>
      </c>
      <c r="C154" s="25" t="s">
        <v>1623</v>
      </c>
      <c r="D154" s="25" t="s">
        <v>1980</v>
      </c>
      <c r="E154" s="25" t="s">
        <v>1981</v>
      </c>
      <c r="F154" s="25">
        <v>0</v>
      </c>
      <c r="G154" s="25" t="s">
        <v>1948</v>
      </c>
      <c r="H154" s="25" t="s">
        <v>1481</v>
      </c>
      <c r="I154" s="25" t="s">
        <v>1481</v>
      </c>
      <c r="J154" s="25" t="s">
        <v>1949</v>
      </c>
      <c r="K154" s="64" t="s">
        <v>1982</v>
      </c>
      <c r="L154" s="60"/>
    </row>
    <row r="155" spans="1:28">
      <c r="A155" s="35" t="s">
        <v>1187</v>
      </c>
      <c r="B155" s="35">
        <v>2</v>
      </c>
      <c r="C155" s="25" t="s">
        <v>1623</v>
      </c>
      <c r="D155" s="25" t="s">
        <v>1983</v>
      </c>
      <c r="E155" s="25" t="s">
        <v>1984</v>
      </c>
      <c r="F155" s="25">
        <v>0</v>
      </c>
      <c r="G155" s="25" t="s">
        <v>1948</v>
      </c>
      <c r="H155" s="25" t="s">
        <v>1481</v>
      </c>
      <c r="I155" s="25" t="s">
        <v>1481</v>
      </c>
      <c r="J155" s="25" t="s">
        <v>1949</v>
      </c>
      <c r="K155" s="64" t="s">
        <v>1985</v>
      </c>
      <c r="L155" s="60"/>
    </row>
    <row r="156" spans="1:28">
      <c r="A156" s="35" t="s">
        <v>616</v>
      </c>
      <c r="B156" s="35">
        <v>2</v>
      </c>
      <c r="C156" s="25" t="s">
        <v>1477</v>
      </c>
      <c r="D156" s="25" t="s">
        <v>1986</v>
      </c>
      <c r="E156" s="25" t="s">
        <v>1987</v>
      </c>
      <c r="F156" s="25">
        <v>0</v>
      </c>
      <c r="G156" s="25" t="s">
        <v>1948</v>
      </c>
      <c r="H156" s="25" t="s">
        <v>1481</v>
      </c>
      <c r="I156" s="25" t="s">
        <v>1481</v>
      </c>
      <c r="J156" s="25" t="s">
        <v>1949</v>
      </c>
      <c r="K156" s="64" t="s">
        <v>1988</v>
      </c>
      <c r="L156" s="60"/>
    </row>
    <row r="157" spans="1:28">
      <c r="A157" s="35" t="s">
        <v>734</v>
      </c>
      <c r="B157" s="35">
        <v>2</v>
      </c>
      <c r="C157" s="25" t="s">
        <v>1623</v>
      </c>
      <c r="D157" s="25" t="s">
        <v>1989</v>
      </c>
      <c r="E157" s="25" t="s">
        <v>1990</v>
      </c>
      <c r="F157" s="25">
        <v>0</v>
      </c>
      <c r="G157" s="25" t="s">
        <v>1948</v>
      </c>
      <c r="H157" s="25" t="s">
        <v>1481</v>
      </c>
      <c r="I157" s="25" t="s">
        <v>1481</v>
      </c>
      <c r="J157" s="25" t="s">
        <v>1949</v>
      </c>
      <c r="K157" s="64" t="s">
        <v>1991</v>
      </c>
      <c r="L157" s="60"/>
    </row>
    <row r="158" spans="1:28">
      <c r="A158" s="35" t="s">
        <v>628</v>
      </c>
      <c r="B158" s="35">
        <v>1</v>
      </c>
      <c r="C158" s="25" t="s">
        <v>1477</v>
      </c>
      <c r="D158" s="25" t="s">
        <v>1478</v>
      </c>
      <c r="E158" s="25" t="s">
        <v>1992</v>
      </c>
      <c r="F158" s="25">
        <v>0</v>
      </c>
      <c r="G158" s="25" t="s">
        <v>1948</v>
      </c>
      <c r="H158" s="25" t="s">
        <v>1481</v>
      </c>
      <c r="I158" s="25" t="s">
        <v>1481</v>
      </c>
      <c r="J158" s="25" t="s">
        <v>1949</v>
      </c>
      <c r="K158" s="64" t="s">
        <v>1993</v>
      </c>
      <c r="L158" s="60"/>
    </row>
    <row r="159" spans="1:28">
      <c r="A159" s="35" t="s">
        <v>754</v>
      </c>
      <c r="B159" s="35">
        <v>1</v>
      </c>
      <c r="C159" s="25" t="s">
        <v>1477</v>
      </c>
      <c r="D159" s="25" t="s">
        <v>1478</v>
      </c>
      <c r="E159" s="25" t="s">
        <v>1994</v>
      </c>
      <c r="F159" s="25">
        <v>0</v>
      </c>
      <c r="G159" s="25" t="s">
        <v>1948</v>
      </c>
      <c r="H159" s="25" t="s">
        <v>1481</v>
      </c>
      <c r="I159" s="25" t="s">
        <v>1481</v>
      </c>
      <c r="J159" s="25" t="s">
        <v>1949</v>
      </c>
      <c r="K159" s="64" t="s">
        <v>1995</v>
      </c>
      <c r="L159" s="60"/>
    </row>
    <row r="160" spans="1:28">
      <c r="A160" s="35" t="s">
        <v>853</v>
      </c>
      <c r="B160" s="35">
        <v>2</v>
      </c>
      <c r="C160" s="25" t="s">
        <v>1477</v>
      </c>
      <c r="D160" s="25" t="s">
        <v>1996</v>
      </c>
      <c r="E160" s="25" t="s">
        <v>1997</v>
      </c>
      <c r="F160" s="25">
        <v>0</v>
      </c>
      <c r="G160" s="25" t="s">
        <v>1948</v>
      </c>
      <c r="H160" s="25" t="s">
        <v>1481</v>
      </c>
      <c r="I160" s="25" t="s">
        <v>1481</v>
      </c>
      <c r="J160" s="25" t="s">
        <v>1949</v>
      </c>
      <c r="K160" s="64" t="s">
        <v>1998</v>
      </c>
      <c r="L160" s="60"/>
    </row>
    <row r="161" spans="1:12">
      <c r="A161" s="35" t="s">
        <v>1227</v>
      </c>
      <c r="B161" s="35">
        <v>2</v>
      </c>
      <c r="C161" s="25" t="s">
        <v>1477</v>
      </c>
      <c r="D161" s="25" t="s">
        <v>1999</v>
      </c>
      <c r="E161" s="25" t="s">
        <v>2000</v>
      </c>
      <c r="F161" s="25">
        <v>-1</v>
      </c>
      <c r="G161" s="25" t="s">
        <v>1530</v>
      </c>
      <c r="H161" s="25" t="s">
        <v>2001</v>
      </c>
      <c r="I161" s="25" t="s">
        <v>1532</v>
      </c>
      <c r="J161" s="25" t="s">
        <v>2002</v>
      </c>
      <c r="K161" s="25" t="s">
        <v>2003</v>
      </c>
      <c r="L161" s="60"/>
    </row>
    <row r="162" spans="1:12">
      <c r="A162" s="35" t="s">
        <v>785</v>
      </c>
      <c r="B162" s="35">
        <v>1</v>
      </c>
      <c r="C162" s="25" t="s">
        <v>1477</v>
      </c>
      <c r="D162" s="25" t="s">
        <v>1478</v>
      </c>
      <c r="E162" s="25" t="s">
        <v>2004</v>
      </c>
      <c r="F162" s="25">
        <v>-1</v>
      </c>
      <c r="G162" s="25" t="s">
        <v>1530</v>
      </c>
      <c r="H162" s="25" t="s">
        <v>2005</v>
      </c>
      <c r="I162" s="25" t="s">
        <v>1532</v>
      </c>
      <c r="J162" s="25" t="s">
        <v>2006</v>
      </c>
      <c r="K162" s="25" t="s">
        <v>2007</v>
      </c>
      <c r="L162" s="60"/>
    </row>
    <row r="163" spans="1:12">
      <c r="A163" s="35" t="s">
        <v>691</v>
      </c>
      <c r="B163" s="35">
        <v>1</v>
      </c>
      <c r="C163" s="25" t="s">
        <v>1478</v>
      </c>
      <c r="D163" s="25" t="s">
        <v>1478</v>
      </c>
      <c r="E163" s="25" t="s">
        <v>2008</v>
      </c>
      <c r="F163" s="25">
        <v>-1</v>
      </c>
      <c r="G163" s="25" t="s">
        <v>1530</v>
      </c>
      <c r="H163" s="25" t="s">
        <v>2009</v>
      </c>
      <c r="I163" s="25" t="s">
        <v>1532</v>
      </c>
      <c r="J163" s="25" t="s">
        <v>2010</v>
      </c>
      <c r="K163" s="25" t="s">
        <v>2011</v>
      </c>
      <c r="L163" s="60"/>
    </row>
    <row r="164" spans="1:12">
      <c r="A164" s="35" t="s">
        <v>432</v>
      </c>
      <c r="B164" s="35">
        <v>1</v>
      </c>
      <c r="C164" s="25" t="s">
        <v>1623</v>
      </c>
      <c r="D164" s="25" t="s">
        <v>1478</v>
      </c>
      <c r="E164" s="25" t="s">
        <v>2012</v>
      </c>
      <c r="F164" s="25">
        <v>1</v>
      </c>
      <c r="G164" s="25" t="s">
        <v>1480</v>
      </c>
      <c r="H164" s="25" t="s">
        <v>1481</v>
      </c>
      <c r="I164" s="25" t="s">
        <v>1481</v>
      </c>
      <c r="J164" s="25" t="s">
        <v>2013</v>
      </c>
      <c r="K164" s="64" t="s">
        <v>2014</v>
      </c>
      <c r="L164" s="60"/>
    </row>
    <row r="165" spans="1:12">
      <c r="A165" s="35" t="s">
        <v>685</v>
      </c>
      <c r="B165" s="35">
        <v>1</v>
      </c>
      <c r="C165" s="25" t="s">
        <v>1477</v>
      </c>
      <c r="D165" s="25" t="s">
        <v>1478</v>
      </c>
      <c r="E165" s="25" t="s">
        <v>2015</v>
      </c>
      <c r="F165" s="25">
        <v>1</v>
      </c>
      <c r="G165" s="25" t="s">
        <v>1480</v>
      </c>
      <c r="H165" s="25" t="s">
        <v>1481</v>
      </c>
      <c r="I165" s="25" t="s">
        <v>1481</v>
      </c>
      <c r="J165" s="25" t="s">
        <v>2016</v>
      </c>
      <c r="K165" s="64" t="s">
        <v>2017</v>
      </c>
      <c r="L165" s="60"/>
    </row>
    <row r="166" spans="1:12">
      <c r="A166" s="35" t="s">
        <v>825</v>
      </c>
      <c r="B166" s="35">
        <v>1</v>
      </c>
      <c r="C166" s="25" t="s">
        <v>1477</v>
      </c>
      <c r="D166" s="25" t="s">
        <v>1478</v>
      </c>
      <c r="E166" s="25" t="s">
        <v>2018</v>
      </c>
      <c r="F166" s="25">
        <v>1</v>
      </c>
      <c r="G166" s="25" t="s">
        <v>1480</v>
      </c>
      <c r="H166" s="25" t="s">
        <v>1481</v>
      </c>
      <c r="I166" s="25" t="s">
        <v>1481</v>
      </c>
      <c r="J166" s="25" t="s">
        <v>2019</v>
      </c>
      <c r="K166" s="25" t="s">
        <v>2020</v>
      </c>
      <c r="L166" s="60"/>
    </row>
    <row r="167" spans="1:12">
      <c r="A167" s="35" t="s">
        <v>1369</v>
      </c>
      <c r="B167" s="35">
        <v>1</v>
      </c>
      <c r="C167" s="25" t="s">
        <v>1477</v>
      </c>
      <c r="D167" s="25" t="s">
        <v>1478</v>
      </c>
      <c r="E167" s="25" t="s">
        <v>2021</v>
      </c>
      <c r="F167" s="25">
        <v>1</v>
      </c>
      <c r="G167" s="25" t="s">
        <v>1480</v>
      </c>
      <c r="H167" s="25" t="s">
        <v>1481</v>
      </c>
      <c r="I167" s="25" t="s">
        <v>1481</v>
      </c>
      <c r="J167" s="25" t="s">
        <v>2022</v>
      </c>
      <c r="K167" s="64" t="s">
        <v>2023</v>
      </c>
      <c r="L167" s="60"/>
    </row>
    <row r="168" spans="1:12">
      <c r="A168" s="35" t="s">
        <v>999</v>
      </c>
      <c r="B168" s="35">
        <v>1</v>
      </c>
      <c r="C168" s="25" t="s">
        <v>1477</v>
      </c>
      <c r="D168" s="25" t="s">
        <v>1478</v>
      </c>
      <c r="E168" s="25" t="s">
        <v>2024</v>
      </c>
      <c r="F168" s="25">
        <v>1</v>
      </c>
      <c r="G168" s="25" t="s">
        <v>1480</v>
      </c>
      <c r="H168" s="25" t="s">
        <v>1481</v>
      </c>
      <c r="I168" s="25" t="s">
        <v>1481</v>
      </c>
      <c r="J168" s="25" t="s">
        <v>2025</v>
      </c>
      <c r="K168" s="64" t="s">
        <v>2026</v>
      </c>
      <c r="L168" s="60"/>
    </row>
    <row r="169" spans="1:12">
      <c r="A169" s="35" t="s">
        <v>1250</v>
      </c>
      <c r="B169" s="35">
        <v>2</v>
      </c>
      <c r="C169" s="25" t="s">
        <v>1477</v>
      </c>
      <c r="D169" s="25" t="s">
        <v>2027</v>
      </c>
      <c r="E169" s="25" t="s">
        <v>2028</v>
      </c>
      <c r="F169" s="25">
        <v>1</v>
      </c>
      <c r="G169" s="25" t="s">
        <v>1480</v>
      </c>
      <c r="H169" s="25" t="s">
        <v>1481</v>
      </c>
      <c r="I169" s="25" t="s">
        <v>1481</v>
      </c>
      <c r="J169" s="25" t="s">
        <v>2029</v>
      </c>
      <c r="K169" s="25" t="s">
        <v>2030</v>
      </c>
      <c r="L169" s="60"/>
    </row>
    <row r="170" spans="1:12">
      <c r="A170" s="35" t="s">
        <v>83</v>
      </c>
      <c r="B170" s="35">
        <v>1</v>
      </c>
      <c r="C170" s="25" t="s">
        <v>1477</v>
      </c>
      <c r="D170" s="25" t="s">
        <v>1478</v>
      </c>
      <c r="E170" s="25" t="s">
        <v>2031</v>
      </c>
      <c r="F170" s="25">
        <v>1</v>
      </c>
      <c r="G170" s="25" t="s">
        <v>1480</v>
      </c>
      <c r="H170" s="25" t="s">
        <v>1481</v>
      </c>
      <c r="I170" s="25" t="s">
        <v>1481</v>
      </c>
      <c r="J170" s="25" t="s">
        <v>2032</v>
      </c>
      <c r="K170" s="25" t="s">
        <v>2033</v>
      </c>
      <c r="L170" s="60"/>
    </row>
    <row r="171" spans="1:12">
      <c r="A171" s="35" t="s">
        <v>1217</v>
      </c>
      <c r="B171" s="35">
        <v>1</v>
      </c>
      <c r="C171" s="25" t="s">
        <v>1477</v>
      </c>
      <c r="D171" s="25" t="s">
        <v>1478</v>
      </c>
      <c r="E171" s="25" t="s">
        <v>2034</v>
      </c>
      <c r="F171" s="25">
        <v>1</v>
      </c>
      <c r="G171" s="25" t="s">
        <v>1480</v>
      </c>
      <c r="H171" s="25" t="s">
        <v>1481</v>
      </c>
      <c r="I171" s="25" t="s">
        <v>1481</v>
      </c>
      <c r="J171" s="25" t="s">
        <v>2035</v>
      </c>
      <c r="K171" s="64" t="s">
        <v>2036</v>
      </c>
      <c r="L171" s="60"/>
    </row>
    <row r="172" spans="1:12">
      <c r="A172" s="35" t="s">
        <v>752</v>
      </c>
      <c r="B172" s="35">
        <v>1</v>
      </c>
      <c r="C172" s="25" t="s">
        <v>1477</v>
      </c>
      <c r="D172" s="25" t="s">
        <v>1478</v>
      </c>
      <c r="E172" s="25" t="s">
        <v>2037</v>
      </c>
      <c r="F172" s="25">
        <v>1</v>
      </c>
      <c r="G172" s="25" t="s">
        <v>1480</v>
      </c>
      <c r="H172" s="25" t="s">
        <v>1481</v>
      </c>
      <c r="I172" s="25" t="s">
        <v>1481</v>
      </c>
      <c r="J172" s="25" t="s">
        <v>2038</v>
      </c>
      <c r="K172" s="64" t="s">
        <v>2039</v>
      </c>
      <c r="L172" s="60"/>
    </row>
    <row r="173" spans="1:12">
      <c r="A173" s="35" t="s">
        <v>634</v>
      </c>
      <c r="B173" s="35">
        <v>1</v>
      </c>
      <c r="C173" s="25" t="s">
        <v>1477</v>
      </c>
      <c r="D173" s="25" t="s">
        <v>1478</v>
      </c>
      <c r="E173" s="25" t="s">
        <v>2040</v>
      </c>
      <c r="F173" s="25">
        <v>1</v>
      </c>
      <c r="G173" s="25" t="s">
        <v>1480</v>
      </c>
      <c r="H173" s="25" t="s">
        <v>1481</v>
      </c>
      <c r="I173" s="25" t="s">
        <v>1481</v>
      </c>
      <c r="J173" s="25" t="s">
        <v>2041</v>
      </c>
      <c r="K173" s="64" t="s">
        <v>2042</v>
      </c>
      <c r="L173" s="60"/>
    </row>
    <row r="174" spans="1:12">
      <c r="A174" s="35" t="s">
        <v>959</v>
      </c>
      <c r="B174" s="35">
        <v>2</v>
      </c>
      <c r="C174" s="25" t="s">
        <v>1477</v>
      </c>
      <c r="D174" s="25" t="s">
        <v>2043</v>
      </c>
      <c r="E174" s="25" t="s">
        <v>2044</v>
      </c>
      <c r="F174" s="25">
        <v>1</v>
      </c>
      <c r="G174" s="25" t="s">
        <v>1480</v>
      </c>
      <c r="H174" s="25" t="s">
        <v>1481</v>
      </c>
      <c r="I174" s="25" t="s">
        <v>1481</v>
      </c>
      <c r="J174" s="25" t="s">
        <v>2045</v>
      </c>
      <c r="K174" s="64" t="s">
        <v>2046</v>
      </c>
      <c r="L174" s="60"/>
    </row>
    <row r="175" spans="1:12">
      <c r="A175" s="35" t="s">
        <v>993</v>
      </c>
      <c r="B175" s="35">
        <v>2</v>
      </c>
      <c r="C175" s="25" t="s">
        <v>1477</v>
      </c>
      <c r="D175" s="25" t="s">
        <v>2047</v>
      </c>
      <c r="E175" s="25" t="s">
        <v>2048</v>
      </c>
      <c r="F175" s="25">
        <v>1</v>
      </c>
      <c r="G175" s="25" t="s">
        <v>1480</v>
      </c>
      <c r="H175" s="25" t="s">
        <v>1481</v>
      </c>
      <c r="I175" s="25" t="s">
        <v>1481</v>
      </c>
      <c r="J175" s="25" t="s">
        <v>2049</v>
      </c>
      <c r="K175" s="25" t="s">
        <v>2050</v>
      </c>
      <c r="L175" s="60"/>
    </row>
    <row r="176" spans="1:12">
      <c r="A176" s="35" t="s">
        <v>447</v>
      </c>
      <c r="B176" s="35">
        <v>2</v>
      </c>
      <c r="C176" s="25" t="s">
        <v>1477</v>
      </c>
      <c r="D176" s="25" t="s">
        <v>2051</v>
      </c>
      <c r="E176" s="25" t="s">
        <v>2052</v>
      </c>
      <c r="F176" s="25">
        <v>1</v>
      </c>
      <c r="G176" s="25" t="s">
        <v>1480</v>
      </c>
      <c r="H176" s="25" t="s">
        <v>1481</v>
      </c>
      <c r="I176" s="25" t="s">
        <v>1481</v>
      </c>
      <c r="J176" s="25" t="s">
        <v>2053</v>
      </c>
      <c r="K176" s="25" t="s">
        <v>2054</v>
      </c>
      <c r="L176" s="60"/>
    </row>
    <row r="177" spans="1:28">
      <c r="A177" s="35" t="s">
        <v>415</v>
      </c>
      <c r="B177" s="35">
        <v>1</v>
      </c>
      <c r="C177" s="25" t="s">
        <v>1623</v>
      </c>
      <c r="D177" s="25" t="s">
        <v>1478</v>
      </c>
      <c r="E177" s="25" t="s">
        <v>2055</v>
      </c>
      <c r="F177" s="25">
        <v>1</v>
      </c>
      <c r="G177" s="25" t="s">
        <v>1480</v>
      </c>
      <c r="H177" s="25" t="s">
        <v>1481</v>
      </c>
      <c r="I177" s="25" t="s">
        <v>1481</v>
      </c>
      <c r="J177" s="25" t="s">
        <v>2056</v>
      </c>
      <c r="K177" s="64" t="s">
        <v>2057</v>
      </c>
      <c r="L177" s="60"/>
    </row>
    <row r="178" spans="1:28">
      <c r="A178" s="35" t="s">
        <v>420</v>
      </c>
      <c r="B178" s="35">
        <v>1</v>
      </c>
      <c r="C178" s="25" t="s">
        <v>1477</v>
      </c>
      <c r="D178" s="25" t="s">
        <v>1478</v>
      </c>
      <c r="E178" s="25" t="s">
        <v>2058</v>
      </c>
      <c r="F178" s="25">
        <v>1</v>
      </c>
      <c r="G178" s="25" t="s">
        <v>1480</v>
      </c>
      <c r="H178" s="25" t="s">
        <v>1481</v>
      </c>
      <c r="I178" s="25" t="s">
        <v>1481</v>
      </c>
      <c r="J178" s="25" t="s">
        <v>2059</v>
      </c>
      <c r="K178" s="64" t="s">
        <v>2060</v>
      </c>
      <c r="L178" s="60"/>
    </row>
    <row r="179" spans="1:28">
      <c r="A179" s="35" t="s">
        <v>951</v>
      </c>
      <c r="B179" s="35">
        <v>3</v>
      </c>
      <c r="C179" s="25" t="s">
        <v>2061</v>
      </c>
      <c r="D179" s="25" t="s">
        <v>2062</v>
      </c>
      <c r="E179" s="25" t="s">
        <v>2063</v>
      </c>
      <c r="F179" s="25">
        <v>1</v>
      </c>
      <c r="G179" s="25" t="s">
        <v>1480</v>
      </c>
      <c r="H179" s="25" t="s">
        <v>1481</v>
      </c>
      <c r="I179" s="25" t="s">
        <v>1481</v>
      </c>
      <c r="J179" s="25" t="s">
        <v>2064</v>
      </c>
      <c r="K179" s="25" t="s">
        <v>2065</v>
      </c>
      <c r="L179" s="60"/>
    </row>
    <row r="180" spans="1:28">
      <c r="A180" s="35" t="s">
        <v>750</v>
      </c>
      <c r="B180" s="35">
        <v>1</v>
      </c>
      <c r="C180" s="25" t="s">
        <v>1477</v>
      </c>
      <c r="D180" s="25" t="s">
        <v>1478</v>
      </c>
      <c r="E180" s="25" t="s">
        <v>2066</v>
      </c>
      <c r="F180" s="25">
        <v>1</v>
      </c>
      <c r="G180" s="25" t="s">
        <v>1480</v>
      </c>
      <c r="H180" s="25" t="s">
        <v>1481</v>
      </c>
      <c r="I180" s="25" t="s">
        <v>1481</v>
      </c>
      <c r="J180" s="25" t="s">
        <v>2067</v>
      </c>
      <c r="K180" s="25" t="s">
        <v>2068</v>
      </c>
      <c r="L180" s="60"/>
    </row>
    <row r="181" spans="1:28">
      <c r="A181" s="35" t="s">
        <v>984</v>
      </c>
      <c r="B181" s="35">
        <v>1</v>
      </c>
      <c r="C181" s="25" t="s">
        <v>1623</v>
      </c>
      <c r="D181" s="25" t="s">
        <v>1478</v>
      </c>
      <c r="E181" s="25" t="s">
        <v>2069</v>
      </c>
      <c r="F181" s="25">
        <v>1</v>
      </c>
      <c r="G181" s="25" t="s">
        <v>1480</v>
      </c>
      <c r="H181" s="25" t="s">
        <v>1481</v>
      </c>
      <c r="I181" s="25" t="s">
        <v>1481</v>
      </c>
      <c r="J181" s="25" t="s">
        <v>2070</v>
      </c>
      <c r="K181" s="25" t="s">
        <v>2071</v>
      </c>
      <c r="L181" s="60"/>
    </row>
    <row r="182" spans="1:28">
      <c r="A182" s="35" t="s">
        <v>1353</v>
      </c>
      <c r="B182" s="35">
        <v>1</v>
      </c>
      <c r="C182" s="25" t="s">
        <v>1477</v>
      </c>
      <c r="D182" s="25" t="s">
        <v>1478</v>
      </c>
      <c r="E182" s="25" t="s">
        <v>2072</v>
      </c>
      <c r="F182" s="25">
        <v>1</v>
      </c>
      <c r="G182" s="25" t="s">
        <v>1480</v>
      </c>
      <c r="H182" s="25" t="s">
        <v>1481</v>
      </c>
      <c r="I182" s="25" t="s">
        <v>1481</v>
      </c>
      <c r="J182" s="25" t="s">
        <v>2073</v>
      </c>
      <c r="K182" s="25" t="s">
        <v>2074</v>
      </c>
      <c r="L182" s="60"/>
    </row>
    <row r="183" spans="1:28">
      <c r="A183" s="35" t="s">
        <v>940</v>
      </c>
      <c r="B183" s="35">
        <v>1</v>
      </c>
      <c r="C183" s="25" t="s">
        <v>1477</v>
      </c>
      <c r="D183" s="25" t="s">
        <v>1478</v>
      </c>
      <c r="E183" s="25" t="s">
        <v>2075</v>
      </c>
      <c r="F183" s="25">
        <v>1</v>
      </c>
      <c r="G183" s="25" t="s">
        <v>1480</v>
      </c>
      <c r="H183" s="25" t="s">
        <v>1481</v>
      </c>
      <c r="I183" s="25" t="s">
        <v>1481</v>
      </c>
      <c r="J183" s="25" t="s">
        <v>2076</v>
      </c>
      <c r="K183" s="64" t="s">
        <v>2077</v>
      </c>
      <c r="L183" s="60"/>
    </row>
    <row r="184" spans="1:28">
      <c r="A184" s="35" t="s">
        <v>799</v>
      </c>
      <c r="B184" s="35">
        <v>1</v>
      </c>
      <c r="C184" s="25" t="s">
        <v>1477</v>
      </c>
      <c r="D184" s="25" t="s">
        <v>1478</v>
      </c>
      <c r="E184" s="25" t="s">
        <v>2078</v>
      </c>
      <c r="F184" s="25">
        <v>1</v>
      </c>
      <c r="G184" s="25" t="s">
        <v>1480</v>
      </c>
      <c r="H184" s="25" t="s">
        <v>1481</v>
      </c>
      <c r="I184" s="25" t="s">
        <v>1481</v>
      </c>
      <c r="J184" s="25" t="s">
        <v>2079</v>
      </c>
      <c r="K184" s="25" t="s">
        <v>2080</v>
      </c>
      <c r="L184" s="60"/>
    </row>
    <row r="185" spans="1:28">
      <c r="A185" s="35" t="s">
        <v>779</v>
      </c>
      <c r="B185" s="35">
        <v>2</v>
      </c>
      <c r="C185" s="25" t="s">
        <v>1477</v>
      </c>
      <c r="D185" s="25" t="s">
        <v>2081</v>
      </c>
      <c r="E185" s="25" t="s">
        <v>2082</v>
      </c>
      <c r="F185" s="25">
        <v>1</v>
      </c>
      <c r="G185" s="25" t="s">
        <v>1480</v>
      </c>
      <c r="H185" s="25" t="s">
        <v>1481</v>
      </c>
      <c r="I185" s="25" t="s">
        <v>1481</v>
      </c>
      <c r="J185" s="25" t="s">
        <v>2083</v>
      </c>
      <c r="K185" s="64" t="s">
        <v>2084</v>
      </c>
      <c r="L185" s="60"/>
    </row>
    <row r="186" spans="1:28">
      <c r="A186" s="35" t="s">
        <v>468</v>
      </c>
      <c r="B186" s="35">
        <v>2</v>
      </c>
      <c r="C186" s="65" t="s">
        <v>2085</v>
      </c>
      <c r="D186" s="65" t="s">
        <v>2086</v>
      </c>
      <c r="E186" s="59" t="s">
        <v>2087</v>
      </c>
      <c r="F186" s="36">
        <f t="shared" ref="F186:F189" si="0">1</f>
        <v>1</v>
      </c>
      <c r="G186" s="36" t="s">
        <v>1480</v>
      </c>
      <c r="H186" s="36" t="s">
        <v>1481</v>
      </c>
      <c r="I186" s="36" t="s">
        <v>1481</v>
      </c>
      <c r="J186" s="36" t="s">
        <v>2088</v>
      </c>
      <c r="K186" s="36" t="s">
        <v>2089</v>
      </c>
      <c r="L186" s="60"/>
      <c r="M186" s="61"/>
      <c r="N186" s="61"/>
      <c r="O186" s="61"/>
      <c r="P186" s="61"/>
      <c r="Q186" s="61"/>
      <c r="R186" s="61"/>
      <c r="S186" s="61"/>
      <c r="T186" s="61"/>
      <c r="U186" s="61"/>
      <c r="V186" s="61"/>
      <c r="W186" s="61"/>
      <c r="X186" s="61"/>
      <c r="Y186" s="61"/>
      <c r="Z186" s="61"/>
      <c r="AA186" s="61"/>
      <c r="AB186" s="61"/>
    </row>
    <row r="187" spans="1:28">
      <c r="A187" s="35" t="s">
        <v>482</v>
      </c>
      <c r="B187" s="35">
        <v>2</v>
      </c>
      <c r="C187" s="65" t="s">
        <v>2090</v>
      </c>
      <c r="D187" s="65" t="s">
        <v>2091</v>
      </c>
      <c r="E187" s="59" t="s">
        <v>2092</v>
      </c>
      <c r="F187" s="36">
        <f t="shared" si="0"/>
        <v>1</v>
      </c>
      <c r="G187" s="36" t="s">
        <v>1480</v>
      </c>
      <c r="H187" s="36" t="s">
        <v>1481</v>
      </c>
      <c r="I187" s="36" t="s">
        <v>1481</v>
      </c>
      <c r="J187" s="36" t="s">
        <v>2093</v>
      </c>
      <c r="K187" s="36" t="s">
        <v>2094</v>
      </c>
      <c r="L187" s="60"/>
      <c r="M187" s="61"/>
      <c r="N187" s="61"/>
      <c r="O187" s="61"/>
      <c r="P187" s="61"/>
      <c r="Q187" s="61"/>
      <c r="R187" s="61"/>
      <c r="S187" s="61"/>
      <c r="T187" s="61"/>
      <c r="U187" s="61"/>
      <c r="V187" s="61"/>
      <c r="W187" s="61"/>
      <c r="X187" s="61"/>
      <c r="Y187" s="61"/>
      <c r="Z187" s="61"/>
      <c r="AA187" s="61"/>
      <c r="AB187" s="61"/>
    </row>
    <row r="188" spans="1:28">
      <c r="A188" s="35" t="s">
        <v>935</v>
      </c>
      <c r="B188" s="35">
        <v>2</v>
      </c>
      <c r="C188" s="65" t="s">
        <v>2085</v>
      </c>
      <c r="D188" s="65" t="s">
        <v>2095</v>
      </c>
      <c r="E188" s="59" t="s">
        <v>2096</v>
      </c>
      <c r="F188" s="36">
        <f t="shared" si="0"/>
        <v>1</v>
      </c>
      <c r="G188" s="36" t="s">
        <v>1480</v>
      </c>
      <c r="H188" s="36" t="s">
        <v>1481</v>
      </c>
      <c r="I188" s="36" t="s">
        <v>1481</v>
      </c>
      <c r="J188" s="36" t="s">
        <v>2097</v>
      </c>
      <c r="K188" s="36" t="s">
        <v>2098</v>
      </c>
      <c r="L188" s="60"/>
      <c r="M188" s="61"/>
      <c r="N188" s="61"/>
      <c r="O188" s="61"/>
      <c r="P188" s="61"/>
      <c r="Q188" s="61"/>
      <c r="R188" s="61"/>
      <c r="S188" s="61"/>
      <c r="T188" s="61"/>
      <c r="U188" s="61"/>
      <c r="V188" s="61"/>
      <c r="W188" s="61"/>
      <c r="X188" s="61"/>
      <c r="Y188" s="61"/>
      <c r="Z188" s="61"/>
      <c r="AA188" s="61"/>
      <c r="AB188" s="61"/>
    </row>
    <row r="189" spans="1:28">
      <c r="A189" s="35" t="s">
        <v>748</v>
      </c>
      <c r="B189" s="35">
        <v>2</v>
      </c>
      <c r="C189" s="65" t="s">
        <v>2090</v>
      </c>
      <c r="D189" s="65" t="s">
        <v>2099</v>
      </c>
      <c r="E189" s="59" t="s">
        <v>2100</v>
      </c>
      <c r="F189" s="36">
        <f t="shared" si="0"/>
        <v>1</v>
      </c>
      <c r="G189" s="36" t="s">
        <v>1480</v>
      </c>
      <c r="H189" s="36" t="s">
        <v>1481</v>
      </c>
      <c r="I189" s="36" t="s">
        <v>1481</v>
      </c>
      <c r="J189" s="36" t="s">
        <v>2101</v>
      </c>
      <c r="K189" s="36" t="s">
        <v>2102</v>
      </c>
      <c r="L189" s="60"/>
      <c r="M189" s="61"/>
      <c r="N189" s="61"/>
      <c r="O189" s="61"/>
      <c r="P189" s="61"/>
      <c r="Q189" s="61"/>
      <c r="R189" s="61"/>
      <c r="S189" s="61"/>
      <c r="T189" s="61"/>
      <c r="U189" s="61"/>
      <c r="V189" s="61"/>
      <c r="W189" s="61"/>
      <c r="X189" s="61"/>
      <c r="Y189" s="61"/>
      <c r="Z189" s="61"/>
      <c r="AA189" s="61"/>
      <c r="AB189" s="61"/>
    </row>
    <row r="190" spans="1:28">
      <c r="A190" s="35" t="s">
        <v>1130</v>
      </c>
      <c r="B190" s="35">
        <v>1</v>
      </c>
      <c r="C190" s="65" t="s">
        <v>2085</v>
      </c>
      <c r="D190" s="65" t="s">
        <v>2103</v>
      </c>
      <c r="E190" s="59" t="s">
        <v>2104</v>
      </c>
      <c r="F190" s="36">
        <v>0</v>
      </c>
      <c r="G190" s="36" t="s">
        <v>1489</v>
      </c>
      <c r="H190" s="36"/>
      <c r="I190" s="36"/>
      <c r="J190" s="36"/>
      <c r="K190" s="36"/>
      <c r="L190" s="60"/>
      <c r="M190" s="61"/>
      <c r="N190" s="61"/>
      <c r="O190" s="61"/>
      <c r="P190" s="61"/>
      <c r="Q190" s="61"/>
      <c r="R190" s="61"/>
      <c r="S190" s="61"/>
      <c r="T190" s="61"/>
      <c r="U190" s="61"/>
      <c r="V190" s="61"/>
      <c r="W190" s="61"/>
      <c r="X190" s="61"/>
      <c r="Y190" s="61"/>
      <c r="Z190" s="61"/>
      <c r="AA190" s="61"/>
      <c r="AB190" s="61"/>
    </row>
    <row r="191" spans="1:28">
      <c r="A191" s="35" t="s">
        <v>357</v>
      </c>
      <c r="B191" s="35">
        <v>2</v>
      </c>
      <c r="C191" s="65" t="s">
        <v>2085</v>
      </c>
      <c r="D191" s="65" t="s">
        <v>2105</v>
      </c>
      <c r="E191" s="59" t="s">
        <v>2106</v>
      </c>
      <c r="F191" s="36">
        <v>0</v>
      </c>
      <c r="G191" s="36" t="s">
        <v>1489</v>
      </c>
      <c r="H191" s="36"/>
      <c r="I191" s="36"/>
      <c r="J191" s="36"/>
      <c r="K191" s="36"/>
      <c r="L191" s="60"/>
      <c r="M191" s="61"/>
      <c r="N191" s="61"/>
      <c r="O191" s="61"/>
      <c r="P191" s="61"/>
      <c r="Q191" s="61"/>
      <c r="R191" s="61"/>
      <c r="S191" s="61"/>
      <c r="T191" s="61"/>
      <c r="U191" s="61"/>
      <c r="V191" s="61"/>
      <c r="W191" s="61"/>
      <c r="X191" s="61"/>
      <c r="Y191" s="61"/>
      <c r="Z191" s="61"/>
      <c r="AA191" s="61"/>
      <c r="AB191" s="61"/>
    </row>
    <row r="192" spans="1:28">
      <c r="A192" s="35" t="s">
        <v>430</v>
      </c>
      <c r="B192" s="35">
        <v>1</v>
      </c>
      <c r="C192" s="65" t="s">
        <v>2085</v>
      </c>
      <c r="D192" s="65" t="s">
        <v>2103</v>
      </c>
      <c r="E192" s="59" t="s">
        <v>2107</v>
      </c>
      <c r="F192" s="36">
        <v>0</v>
      </c>
      <c r="G192" s="36" t="s">
        <v>1489</v>
      </c>
      <c r="H192" s="36"/>
      <c r="I192" s="36"/>
      <c r="J192" s="36"/>
      <c r="K192" s="36"/>
      <c r="L192" s="60"/>
      <c r="M192" s="61"/>
      <c r="N192" s="61"/>
      <c r="O192" s="61"/>
      <c r="P192" s="61"/>
      <c r="Q192" s="61"/>
      <c r="R192" s="61"/>
      <c r="S192" s="61"/>
      <c r="T192" s="61"/>
      <c r="U192" s="61"/>
      <c r="V192" s="61"/>
      <c r="W192" s="61"/>
      <c r="X192" s="61"/>
      <c r="Y192" s="61"/>
      <c r="Z192" s="61"/>
      <c r="AA192" s="61"/>
      <c r="AB192" s="61"/>
    </row>
    <row r="193" spans="1:28">
      <c r="A193" s="35" t="s">
        <v>988</v>
      </c>
      <c r="B193" s="35">
        <v>1</v>
      </c>
      <c r="C193" s="65" t="s">
        <v>2085</v>
      </c>
      <c r="D193" s="65" t="s">
        <v>2103</v>
      </c>
      <c r="E193" s="59" t="s">
        <v>2108</v>
      </c>
      <c r="F193" s="36">
        <v>0</v>
      </c>
      <c r="G193" s="36" t="s">
        <v>1489</v>
      </c>
      <c r="H193" s="36"/>
      <c r="I193" s="36"/>
      <c r="J193" s="36"/>
      <c r="K193" s="36"/>
      <c r="L193" s="60"/>
      <c r="M193" s="61"/>
      <c r="N193" s="61"/>
      <c r="O193" s="61"/>
      <c r="P193" s="61"/>
      <c r="Q193" s="61"/>
      <c r="R193" s="61"/>
      <c r="S193" s="61"/>
      <c r="T193" s="61"/>
      <c r="U193" s="61"/>
      <c r="V193" s="61"/>
      <c r="W193" s="61"/>
      <c r="X193" s="61"/>
      <c r="Y193" s="61"/>
      <c r="Z193" s="61"/>
      <c r="AA193" s="61"/>
      <c r="AB193" s="61"/>
    </row>
    <row r="194" spans="1:28">
      <c r="A194" s="35" t="s">
        <v>1073</v>
      </c>
      <c r="B194" s="35">
        <v>2</v>
      </c>
      <c r="C194" s="29" t="s">
        <v>2090</v>
      </c>
      <c r="D194" s="65" t="s">
        <v>2109</v>
      </c>
      <c r="E194" s="59" t="s">
        <v>2110</v>
      </c>
      <c r="F194" s="36">
        <f t="shared" ref="F194:F196" si="1">1</f>
        <v>1</v>
      </c>
      <c r="G194" s="36" t="s">
        <v>1480</v>
      </c>
      <c r="H194" s="36" t="s">
        <v>1481</v>
      </c>
      <c r="I194" s="36" t="s">
        <v>1481</v>
      </c>
      <c r="J194" s="36" t="s">
        <v>2111</v>
      </c>
      <c r="K194" s="66" t="s">
        <v>2112</v>
      </c>
      <c r="L194" s="60"/>
      <c r="M194" s="61"/>
      <c r="N194" s="61"/>
      <c r="O194" s="61"/>
      <c r="P194" s="61"/>
      <c r="Q194" s="61"/>
      <c r="R194" s="61"/>
      <c r="S194" s="61"/>
      <c r="T194" s="61"/>
      <c r="U194" s="61"/>
      <c r="V194" s="61"/>
      <c r="W194" s="61"/>
      <c r="X194" s="61"/>
      <c r="Y194" s="61"/>
      <c r="Z194" s="61"/>
      <c r="AA194" s="61"/>
      <c r="AB194" s="61"/>
    </row>
    <row r="195" spans="1:28">
      <c r="A195" s="35" t="s">
        <v>707</v>
      </c>
      <c r="B195" s="35">
        <v>3</v>
      </c>
      <c r="C195" s="29" t="s">
        <v>2113</v>
      </c>
      <c r="D195" s="65" t="s">
        <v>2114</v>
      </c>
      <c r="E195" s="59" t="s">
        <v>2115</v>
      </c>
      <c r="F195" s="36">
        <f t="shared" si="1"/>
        <v>1</v>
      </c>
      <c r="G195" s="36" t="s">
        <v>1480</v>
      </c>
      <c r="H195" s="36" t="s">
        <v>1481</v>
      </c>
      <c r="I195" s="36" t="s">
        <v>1481</v>
      </c>
      <c r="J195" s="36" t="s">
        <v>2116</v>
      </c>
      <c r="K195" s="66" t="s">
        <v>2117</v>
      </c>
      <c r="L195" s="60"/>
      <c r="M195" s="61"/>
      <c r="N195" s="61"/>
      <c r="O195" s="61"/>
      <c r="P195" s="61"/>
      <c r="Q195" s="61"/>
      <c r="R195" s="61"/>
      <c r="S195" s="61"/>
      <c r="T195" s="61"/>
      <c r="U195" s="61"/>
      <c r="V195" s="61"/>
      <c r="W195" s="61"/>
      <c r="X195" s="61"/>
      <c r="Y195" s="61"/>
      <c r="Z195" s="61"/>
      <c r="AA195" s="61"/>
      <c r="AB195" s="61"/>
    </row>
    <row r="196" spans="1:28">
      <c r="A196" s="35" t="s">
        <v>697</v>
      </c>
      <c r="B196" s="35">
        <v>1</v>
      </c>
      <c r="C196" s="65" t="s">
        <v>2085</v>
      </c>
      <c r="D196" s="65" t="s">
        <v>2103</v>
      </c>
      <c r="E196" s="59" t="s">
        <v>2118</v>
      </c>
      <c r="F196" s="36">
        <f t="shared" si="1"/>
        <v>1</v>
      </c>
      <c r="G196" s="36" t="s">
        <v>1480</v>
      </c>
      <c r="H196" s="36" t="s">
        <v>1481</v>
      </c>
      <c r="I196" s="36" t="s">
        <v>1481</v>
      </c>
      <c r="J196" s="36" t="s">
        <v>2119</v>
      </c>
      <c r="K196" s="36" t="s">
        <v>2120</v>
      </c>
      <c r="L196" s="60"/>
      <c r="M196" s="61"/>
      <c r="N196" s="61"/>
      <c r="O196" s="61"/>
      <c r="P196" s="61"/>
      <c r="Q196" s="61"/>
      <c r="R196" s="61"/>
      <c r="S196" s="61"/>
      <c r="T196" s="61"/>
      <c r="U196" s="61"/>
      <c r="V196" s="61"/>
      <c r="W196" s="61"/>
      <c r="X196" s="61"/>
      <c r="Y196" s="61"/>
      <c r="Z196" s="61"/>
      <c r="AA196" s="61"/>
      <c r="AB196" s="61"/>
    </row>
    <row r="197" spans="1:28">
      <c r="A197" s="35" t="s">
        <v>354</v>
      </c>
      <c r="B197" s="35">
        <v>0</v>
      </c>
      <c r="C197" s="65" t="s">
        <v>2085</v>
      </c>
      <c r="D197" s="65" t="s">
        <v>2103</v>
      </c>
      <c r="E197" s="59" t="s">
        <v>2118</v>
      </c>
      <c r="F197" s="36">
        <v>0</v>
      </c>
      <c r="G197" s="36" t="s">
        <v>1489</v>
      </c>
      <c r="H197" s="36"/>
      <c r="I197" s="36"/>
      <c r="J197" s="36"/>
      <c r="K197" s="36"/>
      <c r="L197" s="60"/>
      <c r="M197" s="61"/>
      <c r="N197" s="61"/>
      <c r="O197" s="61"/>
      <c r="P197" s="61"/>
      <c r="Q197" s="61"/>
      <c r="R197" s="61"/>
      <c r="S197" s="61"/>
      <c r="T197" s="61"/>
      <c r="U197" s="61"/>
      <c r="V197" s="61"/>
      <c r="W197" s="61"/>
      <c r="X197" s="61"/>
      <c r="Y197" s="61"/>
      <c r="Z197" s="61"/>
      <c r="AA197" s="61"/>
      <c r="AB197" s="61"/>
    </row>
    <row r="198" spans="1:28">
      <c r="A198" s="35" t="s">
        <v>838</v>
      </c>
      <c r="B198" s="35">
        <v>2</v>
      </c>
      <c r="C198" s="29" t="s">
        <v>2090</v>
      </c>
      <c r="D198" s="65" t="s">
        <v>2121</v>
      </c>
      <c r="E198" s="59" t="s">
        <v>2122</v>
      </c>
      <c r="F198" s="36">
        <v>-1</v>
      </c>
      <c r="G198" s="36" t="s">
        <v>1530</v>
      </c>
      <c r="H198" s="36" t="s">
        <v>1705</v>
      </c>
      <c r="I198" s="36" t="s">
        <v>1532</v>
      </c>
      <c r="J198" s="36" t="s">
        <v>2123</v>
      </c>
      <c r="K198" s="36" t="s">
        <v>2124</v>
      </c>
      <c r="L198" s="60"/>
      <c r="M198" s="61"/>
      <c r="N198" s="61"/>
      <c r="O198" s="61"/>
      <c r="P198" s="61"/>
      <c r="Q198" s="61"/>
      <c r="R198" s="61"/>
      <c r="S198" s="61"/>
      <c r="T198" s="61"/>
      <c r="U198" s="61"/>
      <c r="V198" s="61"/>
      <c r="W198" s="61"/>
      <c r="X198" s="61"/>
      <c r="Y198" s="61"/>
      <c r="Z198" s="61"/>
      <c r="AA198" s="61"/>
      <c r="AB198" s="61"/>
    </row>
    <row r="199" spans="1:28">
      <c r="A199" s="35" t="s">
        <v>726</v>
      </c>
      <c r="B199" s="35">
        <v>1</v>
      </c>
      <c r="C199" s="29" t="s">
        <v>2090</v>
      </c>
      <c r="D199" s="65" t="s">
        <v>2103</v>
      </c>
      <c r="E199" s="59" t="s">
        <v>2125</v>
      </c>
      <c r="F199" s="36">
        <v>0</v>
      </c>
      <c r="G199" s="36" t="s">
        <v>1489</v>
      </c>
      <c r="H199" s="36"/>
      <c r="I199" s="36"/>
      <c r="J199" s="36"/>
      <c r="K199" s="36"/>
      <c r="L199" s="60"/>
      <c r="M199" s="61"/>
      <c r="N199" s="61"/>
      <c r="O199" s="61"/>
      <c r="P199" s="61"/>
      <c r="Q199" s="61"/>
      <c r="R199" s="61"/>
      <c r="S199" s="61"/>
      <c r="T199" s="61"/>
      <c r="U199" s="61"/>
      <c r="V199" s="61"/>
      <c r="W199" s="61"/>
      <c r="X199" s="61"/>
      <c r="Y199" s="61"/>
      <c r="Z199" s="61"/>
      <c r="AA199" s="61"/>
      <c r="AB199" s="61"/>
    </row>
    <row r="200" spans="1:28">
      <c r="A200" s="35" t="s">
        <v>417</v>
      </c>
      <c r="B200" s="35">
        <v>1</v>
      </c>
      <c r="C200" s="65" t="s">
        <v>2085</v>
      </c>
      <c r="D200" s="65" t="s">
        <v>2103</v>
      </c>
      <c r="E200" s="59" t="s">
        <v>2126</v>
      </c>
      <c r="F200" s="36">
        <f>1</f>
        <v>1</v>
      </c>
      <c r="G200" s="36" t="s">
        <v>1480</v>
      </c>
      <c r="H200" s="36" t="s">
        <v>1481</v>
      </c>
      <c r="I200" s="36" t="s">
        <v>1481</v>
      </c>
      <c r="J200" s="36" t="s">
        <v>2127</v>
      </c>
      <c r="K200" s="66" t="s">
        <v>2128</v>
      </c>
      <c r="L200" s="60"/>
      <c r="M200" s="61"/>
      <c r="N200" s="61"/>
      <c r="O200" s="61"/>
      <c r="P200" s="61"/>
      <c r="Q200" s="61"/>
      <c r="R200" s="61"/>
      <c r="S200" s="61"/>
      <c r="T200" s="61"/>
      <c r="U200" s="61"/>
      <c r="V200" s="61"/>
      <c r="W200" s="61"/>
      <c r="X200" s="61"/>
      <c r="Y200" s="61"/>
      <c r="Z200" s="61"/>
      <c r="AA200" s="61"/>
      <c r="AB200" s="61"/>
    </row>
    <row r="201" spans="1:28">
      <c r="A201" s="35" t="s">
        <v>599</v>
      </c>
      <c r="B201" s="35">
        <v>1</v>
      </c>
      <c r="C201" s="65" t="s">
        <v>2085</v>
      </c>
      <c r="D201" s="65" t="s">
        <v>2103</v>
      </c>
      <c r="E201" s="59" t="s">
        <v>2129</v>
      </c>
      <c r="F201" s="36">
        <v>0</v>
      </c>
      <c r="G201" s="36" t="s">
        <v>1489</v>
      </c>
      <c r="H201" s="36"/>
      <c r="I201" s="36"/>
      <c r="J201" s="36"/>
      <c r="K201" s="36"/>
      <c r="L201" s="60"/>
      <c r="M201" s="61"/>
      <c r="N201" s="61"/>
      <c r="O201" s="61"/>
      <c r="P201" s="61"/>
      <c r="Q201" s="61"/>
      <c r="R201" s="61"/>
      <c r="S201" s="61"/>
      <c r="T201" s="61"/>
      <c r="U201" s="61"/>
      <c r="V201" s="61"/>
      <c r="W201" s="61"/>
      <c r="X201" s="61"/>
      <c r="Y201" s="61"/>
      <c r="Z201" s="61"/>
      <c r="AA201" s="61"/>
      <c r="AB201" s="61"/>
    </row>
    <row r="202" spans="1:28">
      <c r="A202" s="35" t="s">
        <v>976</v>
      </c>
      <c r="B202" s="35">
        <v>1</v>
      </c>
      <c r="C202" s="67" t="s">
        <v>2130</v>
      </c>
      <c r="D202" s="65" t="s">
        <v>2103</v>
      </c>
      <c r="E202" s="59" t="s">
        <v>2131</v>
      </c>
      <c r="F202" s="36">
        <v>0</v>
      </c>
      <c r="G202" s="36" t="s">
        <v>1489</v>
      </c>
      <c r="H202" s="36"/>
      <c r="I202" s="36"/>
      <c r="J202" s="36"/>
      <c r="K202" s="36"/>
      <c r="L202" s="60"/>
      <c r="M202" s="61"/>
      <c r="N202" s="61"/>
      <c r="O202" s="61"/>
      <c r="P202" s="61"/>
      <c r="Q202" s="61"/>
      <c r="R202" s="61"/>
      <c r="S202" s="61"/>
      <c r="T202" s="61"/>
      <c r="U202" s="61"/>
      <c r="V202" s="61"/>
      <c r="W202" s="61"/>
      <c r="X202" s="61"/>
      <c r="Y202" s="61"/>
      <c r="Z202" s="61"/>
      <c r="AA202" s="61"/>
      <c r="AB202" s="61"/>
    </row>
    <row r="203" spans="1:28">
      <c r="A203" s="35" t="s">
        <v>560</v>
      </c>
      <c r="B203" s="35">
        <v>2</v>
      </c>
      <c r="C203" s="65" t="s">
        <v>2085</v>
      </c>
      <c r="D203" s="65" t="s">
        <v>2132</v>
      </c>
      <c r="E203" s="59" t="s">
        <v>2133</v>
      </c>
      <c r="F203" s="36">
        <v>0</v>
      </c>
      <c r="G203" s="36" t="s">
        <v>1489</v>
      </c>
      <c r="H203" s="36"/>
      <c r="I203" s="36"/>
      <c r="J203" s="36"/>
      <c r="K203" s="36"/>
      <c r="L203" s="60"/>
      <c r="M203" s="61"/>
      <c r="N203" s="61"/>
      <c r="O203" s="61"/>
      <c r="P203" s="61"/>
      <c r="Q203" s="61"/>
      <c r="R203" s="61"/>
      <c r="S203" s="61"/>
      <c r="T203" s="61"/>
      <c r="U203" s="61"/>
      <c r="V203" s="61"/>
      <c r="W203" s="61"/>
      <c r="X203" s="61"/>
      <c r="Y203" s="61"/>
      <c r="Z203" s="61"/>
      <c r="AA203" s="61"/>
      <c r="AB203" s="61"/>
    </row>
    <row r="204" spans="1:28">
      <c r="A204" s="35" t="s">
        <v>567</v>
      </c>
      <c r="B204" s="35">
        <v>2</v>
      </c>
      <c r="C204" s="65" t="s">
        <v>2090</v>
      </c>
      <c r="D204" s="65" t="s">
        <v>2134</v>
      </c>
      <c r="E204" s="59" t="s">
        <v>2135</v>
      </c>
      <c r="F204" s="36">
        <f>1</f>
        <v>1</v>
      </c>
      <c r="G204" s="36" t="s">
        <v>1480</v>
      </c>
      <c r="H204" s="36" t="s">
        <v>1481</v>
      </c>
      <c r="I204" s="36" t="s">
        <v>1481</v>
      </c>
      <c r="J204" s="36" t="s">
        <v>2136</v>
      </c>
      <c r="K204" s="36" t="s">
        <v>2137</v>
      </c>
      <c r="L204" s="60"/>
      <c r="M204" s="61"/>
      <c r="N204" s="61"/>
      <c r="O204" s="61"/>
      <c r="P204" s="61"/>
      <c r="Q204" s="61"/>
      <c r="R204" s="61"/>
      <c r="S204" s="61"/>
      <c r="T204" s="61"/>
      <c r="U204" s="61"/>
      <c r="V204" s="61"/>
      <c r="W204" s="61"/>
      <c r="X204" s="61"/>
      <c r="Y204" s="61"/>
      <c r="Z204" s="61"/>
      <c r="AA204" s="61"/>
      <c r="AB204" s="61"/>
    </row>
    <row r="205" spans="1:28">
      <c r="A205" s="35" t="s">
        <v>574</v>
      </c>
      <c r="B205" s="35">
        <v>2</v>
      </c>
      <c r="C205" s="65" t="s">
        <v>2085</v>
      </c>
      <c r="D205" s="65" t="s">
        <v>2138</v>
      </c>
      <c r="E205" s="59" t="s">
        <v>2139</v>
      </c>
      <c r="F205" s="36">
        <v>0</v>
      </c>
      <c r="G205" s="36" t="s">
        <v>1489</v>
      </c>
      <c r="H205" s="36"/>
      <c r="I205" s="36"/>
      <c r="J205" s="36"/>
      <c r="K205" s="36"/>
      <c r="L205" s="60"/>
      <c r="M205" s="61"/>
      <c r="N205" s="61"/>
      <c r="O205" s="61"/>
      <c r="P205" s="61"/>
      <c r="Q205" s="61"/>
      <c r="R205" s="61"/>
      <c r="S205" s="61"/>
      <c r="T205" s="61"/>
      <c r="U205" s="61"/>
      <c r="V205" s="61"/>
      <c r="W205" s="61"/>
      <c r="X205" s="61"/>
      <c r="Y205" s="61"/>
      <c r="Z205" s="61"/>
      <c r="AA205" s="61"/>
      <c r="AB205" s="61"/>
    </row>
    <row r="206" spans="1:28">
      <c r="A206" s="35" t="s">
        <v>608</v>
      </c>
      <c r="B206" s="35">
        <v>1</v>
      </c>
      <c r="C206" s="29" t="s">
        <v>2090</v>
      </c>
      <c r="D206" s="65" t="s">
        <v>2103</v>
      </c>
      <c r="E206" s="59" t="s">
        <v>2140</v>
      </c>
      <c r="F206" s="36">
        <f t="shared" ref="F206:F208" si="2">1</f>
        <v>1</v>
      </c>
      <c r="G206" s="36" t="s">
        <v>1480</v>
      </c>
      <c r="H206" s="36" t="s">
        <v>1481</v>
      </c>
      <c r="I206" s="36" t="s">
        <v>1481</v>
      </c>
      <c r="J206" s="36" t="s">
        <v>2141</v>
      </c>
      <c r="K206" s="36" t="s">
        <v>2142</v>
      </c>
      <c r="L206" s="60"/>
      <c r="M206" s="61"/>
      <c r="N206" s="61"/>
      <c r="O206" s="61"/>
      <c r="P206" s="61"/>
      <c r="Q206" s="61"/>
      <c r="R206" s="61"/>
      <c r="S206" s="61"/>
      <c r="T206" s="61"/>
      <c r="U206" s="61"/>
      <c r="V206" s="61"/>
      <c r="W206" s="61"/>
      <c r="X206" s="61"/>
      <c r="Y206" s="61"/>
      <c r="Z206" s="61"/>
      <c r="AA206" s="61"/>
      <c r="AB206" s="61"/>
    </row>
    <row r="207" spans="1:28">
      <c r="A207" s="35" t="s">
        <v>620</v>
      </c>
      <c r="B207" s="35">
        <v>2</v>
      </c>
      <c r="C207" s="65" t="s">
        <v>2085</v>
      </c>
      <c r="D207" s="65" t="s">
        <v>2143</v>
      </c>
      <c r="E207" s="59" t="s">
        <v>2144</v>
      </c>
      <c r="F207" s="36">
        <f t="shared" si="2"/>
        <v>1</v>
      </c>
      <c r="G207" s="36" t="s">
        <v>1480</v>
      </c>
      <c r="H207" s="36" t="s">
        <v>1481</v>
      </c>
      <c r="I207" s="36" t="s">
        <v>1481</v>
      </c>
      <c r="J207" s="36" t="s">
        <v>2145</v>
      </c>
      <c r="K207" s="36" t="s">
        <v>2146</v>
      </c>
      <c r="L207" s="60"/>
      <c r="M207" s="61"/>
      <c r="N207" s="61"/>
      <c r="O207" s="61"/>
      <c r="P207" s="61"/>
      <c r="Q207" s="61"/>
      <c r="R207" s="61"/>
      <c r="S207" s="61"/>
      <c r="T207" s="61"/>
      <c r="U207" s="61"/>
      <c r="V207" s="61"/>
      <c r="W207" s="61"/>
      <c r="X207" s="61"/>
      <c r="Y207" s="61"/>
      <c r="Z207" s="61"/>
      <c r="AA207" s="61"/>
      <c r="AB207" s="61"/>
    </row>
    <row r="208" spans="1:28">
      <c r="A208" s="35" t="s">
        <v>663</v>
      </c>
      <c r="B208" s="35">
        <v>1</v>
      </c>
      <c r="C208" s="65" t="s">
        <v>2085</v>
      </c>
      <c r="D208" s="65" t="s">
        <v>2103</v>
      </c>
      <c r="E208" s="59" t="s">
        <v>2147</v>
      </c>
      <c r="F208" s="36">
        <f t="shared" si="2"/>
        <v>1</v>
      </c>
      <c r="G208" s="36" t="s">
        <v>1480</v>
      </c>
      <c r="H208" s="36" t="s">
        <v>1481</v>
      </c>
      <c r="I208" s="36" t="s">
        <v>1481</v>
      </c>
      <c r="J208" s="36" t="s">
        <v>2148</v>
      </c>
      <c r="K208" s="66" t="s">
        <v>2149</v>
      </c>
      <c r="L208" s="60"/>
      <c r="M208" s="61"/>
      <c r="N208" s="61"/>
      <c r="O208" s="61"/>
      <c r="P208" s="61"/>
      <c r="Q208" s="61"/>
      <c r="R208" s="61"/>
      <c r="S208" s="61"/>
      <c r="T208" s="61"/>
      <c r="U208" s="61"/>
      <c r="V208" s="61"/>
      <c r="W208" s="61"/>
      <c r="X208" s="61"/>
      <c r="Y208" s="61"/>
      <c r="Z208" s="61"/>
      <c r="AA208" s="61"/>
      <c r="AB208" s="61"/>
    </row>
    <row r="209" spans="1:28">
      <c r="A209" s="35" t="s">
        <v>399</v>
      </c>
      <c r="B209" s="35">
        <v>1</v>
      </c>
      <c r="C209" s="65" t="s">
        <v>2085</v>
      </c>
      <c r="D209" s="65" t="s">
        <v>2103</v>
      </c>
      <c r="E209" s="59" t="s">
        <v>2150</v>
      </c>
      <c r="F209" s="36">
        <v>0</v>
      </c>
      <c r="G209" s="36" t="s">
        <v>1489</v>
      </c>
      <c r="H209" s="36"/>
      <c r="I209" s="36"/>
      <c r="J209" s="36"/>
      <c r="K209" s="36"/>
      <c r="L209" s="60"/>
      <c r="M209" s="61"/>
      <c r="N209" s="61"/>
      <c r="O209" s="61"/>
      <c r="P209" s="61"/>
      <c r="Q209" s="61"/>
      <c r="R209" s="61"/>
      <c r="S209" s="61"/>
      <c r="T209" s="61"/>
      <c r="U209" s="61"/>
      <c r="V209" s="61"/>
      <c r="W209" s="61"/>
      <c r="X209" s="61"/>
      <c r="Y209" s="61"/>
      <c r="Z209" s="61"/>
      <c r="AA209" s="61"/>
      <c r="AB209" s="61"/>
    </row>
    <row r="210" spans="1:28">
      <c r="A210" s="35" t="s">
        <v>833</v>
      </c>
      <c r="B210" s="35">
        <v>2</v>
      </c>
      <c r="C210" s="65" t="s">
        <v>2085</v>
      </c>
      <c r="D210" s="65" t="s">
        <v>2151</v>
      </c>
      <c r="E210" s="59" t="s">
        <v>2152</v>
      </c>
      <c r="F210" s="36">
        <f>1</f>
        <v>1</v>
      </c>
      <c r="G210" s="36" t="s">
        <v>1480</v>
      </c>
      <c r="H210" s="36" t="s">
        <v>1481</v>
      </c>
      <c r="I210" s="36" t="s">
        <v>1481</v>
      </c>
      <c r="J210" s="36" t="s">
        <v>2153</v>
      </c>
      <c r="K210" s="66" t="s">
        <v>2154</v>
      </c>
      <c r="L210" s="60"/>
      <c r="M210" s="61"/>
      <c r="N210" s="61"/>
      <c r="O210" s="61"/>
      <c r="P210" s="61"/>
      <c r="Q210" s="61"/>
      <c r="R210" s="61"/>
      <c r="S210" s="61"/>
      <c r="T210" s="61"/>
      <c r="U210" s="61"/>
      <c r="V210" s="61"/>
      <c r="W210" s="61"/>
      <c r="X210" s="61"/>
      <c r="Y210" s="61"/>
      <c r="Z210" s="61"/>
      <c r="AA210" s="61"/>
      <c r="AB210" s="61"/>
    </row>
    <row r="211" spans="1:28">
      <c r="A211" s="35" t="s">
        <v>449</v>
      </c>
      <c r="B211" s="35">
        <v>1</v>
      </c>
      <c r="C211" s="29" t="s">
        <v>2090</v>
      </c>
      <c r="D211" s="65" t="s">
        <v>2103</v>
      </c>
      <c r="E211" s="59" t="s">
        <v>2155</v>
      </c>
      <c r="F211" s="36">
        <v>0</v>
      </c>
      <c r="G211" s="36" t="s">
        <v>1489</v>
      </c>
      <c r="H211" s="36"/>
      <c r="I211" s="36"/>
      <c r="J211" s="36"/>
      <c r="K211" s="36"/>
      <c r="L211" s="60"/>
      <c r="M211" s="61"/>
      <c r="N211" s="61"/>
      <c r="O211" s="61"/>
      <c r="P211" s="61"/>
      <c r="Q211" s="61"/>
      <c r="R211" s="61"/>
      <c r="S211" s="61"/>
      <c r="T211" s="61"/>
      <c r="U211" s="61"/>
      <c r="V211" s="61"/>
      <c r="W211" s="61"/>
      <c r="X211" s="61"/>
      <c r="Y211" s="61"/>
      <c r="Z211" s="61"/>
      <c r="AA211" s="61"/>
      <c r="AB211" s="61"/>
    </row>
    <row r="212" spans="1:28">
      <c r="A212" s="35" t="s">
        <v>998</v>
      </c>
      <c r="B212" s="35">
        <v>2</v>
      </c>
      <c r="C212" s="65" t="s">
        <v>2085</v>
      </c>
      <c r="D212" s="65" t="s">
        <v>2156</v>
      </c>
      <c r="E212" s="59" t="s">
        <v>2157</v>
      </c>
      <c r="F212" s="36">
        <f t="shared" ref="F212:F214" si="3">1</f>
        <v>1</v>
      </c>
      <c r="G212" s="36" t="s">
        <v>1480</v>
      </c>
      <c r="H212" s="36" t="s">
        <v>1481</v>
      </c>
      <c r="I212" s="36" t="s">
        <v>1481</v>
      </c>
      <c r="J212" s="36" t="s">
        <v>2158</v>
      </c>
      <c r="K212" s="66" t="s">
        <v>2159</v>
      </c>
      <c r="L212" s="60"/>
      <c r="M212" s="61"/>
      <c r="N212" s="61"/>
      <c r="O212" s="61"/>
      <c r="P212" s="61"/>
      <c r="Q212" s="61"/>
      <c r="R212" s="61"/>
      <c r="S212" s="61"/>
      <c r="T212" s="61"/>
      <c r="U212" s="61"/>
      <c r="V212" s="61"/>
      <c r="W212" s="61"/>
      <c r="X212" s="61"/>
      <c r="Y212" s="61"/>
      <c r="Z212" s="61"/>
      <c r="AA212" s="61"/>
      <c r="AB212" s="61"/>
    </row>
    <row r="213" spans="1:28">
      <c r="A213" s="35" t="s">
        <v>1024</v>
      </c>
      <c r="B213" s="35">
        <v>1</v>
      </c>
      <c r="C213" s="65" t="s">
        <v>2090</v>
      </c>
      <c r="D213" s="65" t="s">
        <v>2103</v>
      </c>
      <c r="E213" s="59" t="s">
        <v>2160</v>
      </c>
      <c r="F213" s="36">
        <f t="shared" si="3"/>
        <v>1</v>
      </c>
      <c r="G213" s="36" t="s">
        <v>1480</v>
      </c>
      <c r="H213" s="36" t="s">
        <v>1481</v>
      </c>
      <c r="I213" s="36" t="s">
        <v>1481</v>
      </c>
      <c r="J213" s="36" t="s">
        <v>2161</v>
      </c>
      <c r="K213" s="36" t="s">
        <v>2162</v>
      </c>
      <c r="L213" s="60"/>
      <c r="M213" s="61"/>
      <c r="N213" s="61"/>
      <c r="O213" s="61"/>
      <c r="P213" s="61"/>
      <c r="Q213" s="61"/>
      <c r="R213" s="61"/>
      <c r="S213" s="61"/>
      <c r="T213" s="61"/>
      <c r="U213" s="61"/>
      <c r="V213" s="61"/>
      <c r="W213" s="61"/>
      <c r="X213" s="61"/>
      <c r="Y213" s="61"/>
      <c r="Z213" s="61"/>
      <c r="AA213" s="61"/>
      <c r="AB213" s="61"/>
    </row>
    <row r="214" spans="1:28">
      <c r="A214" s="35" t="s">
        <v>490</v>
      </c>
      <c r="B214" s="35">
        <v>3</v>
      </c>
      <c r="C214" s="29" t="s">
        <v>2113</v>
      </c>
      <c r="D214" s="65" t="s">
        <v>2163</v>
      </c>
      <c r="E214" s="59" t="s">
        <v>2164</v>
      </c>
      <c r="F214" s="36">
        <f t="shared" si="3"/>
        <v>1</v>
      </c>
      <c r="G214" s="36" t="s">
        <v>1480</v>
      </c>
      <c r="H214" s="36" t="s">
        <v>1481</v>
      </c>
      <c r="I214" s="36" t="s">
        <v>1481</v>
      </c>
      <c r="J214" s="36" t="s">
        <v>2165</v>
      </c>
      <c r="K214" s="36" t="s">
        <v>2166</v>
      </c>
      <c r="L214" s="60"/>
      <c r="M214" s="61"/>
      <c r="N214" s="61"/>
      <c r="O214" s="61"/>
      <c r="P214" s="61"/>
      <c r="Q214" s="61"/>
      <c r="R214" s="61"/>
      <c r="S214" s="61"/>
      <c r="T214" s="61"/>
      <c r="U214" s="61"/>
      <c r="V214" s="61"/>
      <c r="W214" s="61"/>
      <c r="X214" s="61"/>
      <c r="Y214" s="61"/>
      <c r="Z214" s="61"/>
      <c r="AA214" s="61"/>
      <c r="AB214" s="61"/>
    </row>
    <row r="215" spans="1:28">
      <c r="A215" s="35" t="s">
        <v>1329</v>
      </c>
      <c r="B215" s="35">
        <v>1</v>
      </c>
      <c r="C215" s="29" t="s">
        <v>2090</v>
      </c>
      <c r="D215" s="65" t="s">
        <v>2103</v>
      </c>
      <c r="E215" s="59" t="s">
        <v>2167</v>
      </c>
      <c r="F215" s="36">
        <v>-1</v>
      </c>
      <c r="G215" s="36" t="s">
        <v>1530</v>
      </c>
      <c r="H215" s="36" t="s">
        <v>1830</v>
      </c>
      <c r="I215" s="36" t="s">
        <v>1532</v>
      </c>
      <c r="J215" s="36" t="s">
        <v>2168</v>
      </c>
      <c r="K215" s="36" t="s">
        <v>2169</v>
      </c>
      <c r="L215" s="60"/>
      <c r="M215" s="61"/>
      <c r="N215" s="61"/>
      <c r="O215" s="61"/>
      <c r="P215" s="61"/>
      <c r="Q215" s="61"/>
      <c r="R215" s="61"/>
      <c r="S215" s="61"/>
      <c r="T215" s="61"/>
      <c r="U215" s="61"/>
      <c r="V215" s="61"/>
      <c r="W215" s="61"/>
      <c r="X215" s="61"/>
      <c r="Y215" s="61"/>
      <c r="Z215" s="61"/>
      <c r="AA215" s="61"/>
      <c r="AB215" s="61"/>
    </row>
    <row r="216" spans="1:28">
      <c r="A216" s="35" t="s">
        <v>1159</v>
      </c>
      <c r="B216" s="35">
        <v>1</v>
      </c>
      <c r="C216" s="65" t="s">
        <v>2085</v>
      </c>
      <c r="D216" s="65" t="s">
        <v>2103</v>
      </c>
      <c r="E216" s="59" t="s">
        <v>2170</v>
      </c>
      <c r="F216" s="36">
        <v>-1</v>
      </c>
      <c r="G216" s="36" t="s">
        <v>1530</v>
      </c>
      <c r="H216" s="36" t="s">
        <v>1569</v>
      </c>
      <c r="I216" s="36" t="s">
        <v>1532</v>
      </c>
      <c r="J216" s="36" t="s">
        <v>2171</v>
      </c>
      <c r="K216" s="36" t="s">
        <v>2172</v>
      </c>
      <c r="L216" s="60"/>
      <c r="M216" s="61"/>
      <c r="N216" s="61"/>
      <c r="O216" s="61"/>
      <c r="P216" s="61"/>
      <c r="Q216" s="61"/>
      <c r="R216" s="61"/>
      <c r="S216" s="61"/>
      <c r="T216" s="61"/>
      <c r="U216" s="61"/>
      <c r="V216" s="61"/>
      <c r="W216" s="61"/>
      <c r="X216" s="61"/>
      <c r="Y216" s="61"/>
      <c r="Z216" s="61"/>
      <c r="AA216" s="61"/>
      <c r="AB216" s="61"/>
    </row>
    <row r="217" spans="1:28">
      <c r="A217" s="35" t="s">
        <v>907</v>
      </c>
      <c r="B217" s="35">
        <v>2</v>
      </c>
      <c r="C217" s="65" t="s">
        <v>2085</v>
      </c>
      <c r="D217" s="65" t="s">
        <v>2173</v>
      </c>
      <c r="E217" s="59" t="s">
        <v>2174</v>
      </c>
      <c r="F217" s="36">
        <f>1</f>
        <v>1</v>
      </c>
      <c r="G217" s="36" t="s">
        <v>1480</v>
      </c>
      <c r="H217" s="36" t="s">
        <v>1481</v>
      </c>
      <c r="I217" s="36" t="s">
        <v>1481</v>
      </c>
      <c r="J217" s="36" t="s">
        <v>2175</v>
      </c>
      <c r="K217" s="66" t="s">
        <v>2176</v>
      </c>
      <c r="L217" s="60"/>
      <c r="M217" s="61"/>
      <c r="N217" s="61"/>
      <c r="O217" s="61"/>
      <c r="P217" s="61"/>
      <c r="Q217" s="61"/>
      <c r="R217" s="61"/>
      <c r="S217" s="61"/>
      <c r="T217" s="61"/>
      <c r="U217" s="61"/>
      <c r="V217" s="61"/>
      <c r="W217" s="61"/>
      <c r="X217" s="61"/>
      <c r="Y217" s="61"/>
      <c r="Z217" s="61"/>
      <c r="AA217" s="61"/>
      <c r="AB217" s="61"/>
    </row>
    <row r="218" spans="1:28">
      <c r="A218" s="35" t="s">
        <v>787</v>
      </c>
      <c r="B218" s="35">
        <v>1</v>
      </c>
      <c r="C218" s="29" t="s">
        <v>2090</v>
      </c>
      <c r="D218" s="65" t="s">
        <v>2103</v>
      </c>
      <c r="E218" s="59" t="s">
        <v>2177</v>
      </c>
      <c r="F218" s="36">
        <v>0</v>
      </c>
      <c r="G218" s="36" t="s">
        <v>1489</v>
      </c>
      <c r="H218" s="36"/>
      <c r="I218" s="36"/>
      <c r="J218" s="36"/>
      <c r="K218" s="36"/>
      <c r="L218" s="60"/>
      <c r="M218" s="61"/>
      <c r="N218" s="61"/>
      <c r="O218" s="61"/>
      <c r="P218" s="61"/>
      <c r="Q218" s="61"/>
      <c r="R218" s="61"/>
      <c r="S218" s="61"/>
      <c r="T218" s="61"/>
      <c r="U218" s="61"/>
      <c r="V218" s="61"/>
      <c r="W218" s="61"/>
      <c r="X218" s="61"/>
      <c r="Y218" s="61"/>
      <c r="Z218" s="61"/>
      <c r="AA218" s="61"/>
      <c r="AB218" s="61"/>
    </row>
    <row r="219" spans="1:28">
      <c r="A219" s="35" t="s">
        <v>593</v>
      </c>
      <c r="B219" s="35">
        <v>3</v>
      </c>
      <c r="C219" s="29" t="s">
        <v>2113</v>
      </c>
      <c r="D219" s="65" t="s">
        <v>2178</v>
      </c>
      <c r="E219" s="59" t="s">
        <v>2179</v>
      </c>
      <c r="F219" s="36">
        <v>-1</v>
      </c>
      <c r="G219" s="36" t="s">
        <v>1530</v>
      </c>
      <c r="H219" s="36" t="s">
        <v>1705</v>
      </c>
      <c r="I219" s="36" t="s">
        <v>1532</v>
      </c>
      <c r="J219" s="36" t="s">
        <v>2180</v>
      </c>
      <c r="K219" s="36" t="s">
        <v>2181</v>
      </c>
      <c r="L219" s="60"/>
      <c r="M219" s="61"/>
      <c r="N219" s="61"/>
      <c r="O219" s="61"/>
      <c r="P219" s="61"/>
      <c r="Q219" s="61"/>
      <c r="R219" s="61"/>
      <c r="S219" s="61"/>
      <c r="T219" s="61"/>
      <c r="U219" s="61"/>
      <c r="V219" s="61"/>
      <c r="W219" s="61"/>
      <c r="X219" s="61"/>
      <c r="Y219" s="61"/>
      <c r="Z219" s="61"/>
      <c r="AA219" s="61"/>
      <c r="AB219" s="61"/>
    </row>
    <row r="220" spans="1:28">
      <c r="A220" s="35" t="s">
        <v>766</v>
      </c>
      <c r="B220" s="35">
        <v>1</v>
      </c>
      <c r="C220" s="65" t="s">
        <v>2085</v>
      </c>
      <c r="D220" s="65" t="s">
        <v>2103</v>
      </c>
      <c r="E220" s="59" t="s">
        <v>2182</v>
      </c>
      <c r="F220" s="36">
        <v>0</v>
      </c>
      <c r="G220" s="36" t="s">
        <v>1489</v>
      </c>
      <c r="H220" s="36"/>
      <c r="I220" s="36"/>
      <c r="J220" s="36"/>
      <c r="K220" s="36"/>
      <c r="L220" s="60"/>
      <c r="M220" s="61"/>
      <c r="N220" s="61"/>
      <c r="O220" s="61"/>
      <c r="P220" s="61"/>
      <c r="Q220" s="61"/>
      <c r="R220" s="61"/>
      <c r="S220" s="61"/>
      <c r="T220" s="61"/>
      <c r="U220" s="61"/>
      <c r="V220" s="61"/>
      <c r="W220" s="61"/>
      <c r="X220" s="61"/>
      <c r="Y220" s="61"/>
      <c r="Z220" s="61"/>
      <c r="AA220" s="61"/>
      <c r="AB220" s="61"/>
    </row>
    <row r="221" spans="1:28">
      <c r="A221" s="35" t="s">
        <v>1007</v>
      </c>
      <c r="B221" s="35">
        <v>2</v>
      </c>
      <c r="C221" s="65" t="s">
        <v>2090</v>
      </c>
      <c r="D221" s="65" t="s">
        <v>2183</v>
      </c>
      <c r="E221" s="59" t="s">
        <v>2184</v>
      </c>
      <c r="F221" s="36">
        <f>1</f>
        <v>1</v>
      </c>
      <c r="G221" s="36" t="s">
        <v>1480</v>
      </c>
      <c r="H221" s="36" t="s">
        <v>1481</v>
      </c>
      <c r="I221" s="36" t="s">
        <v>1481</v>
      </c>
      <c r="J221" s="36" t="s">
        <v>2185</v>
      </c>
      <c r="K221" s="36" t="s">
        <v>2186</v>
      </c>
      <c r="L221" s="60"/>
      <c r="M221" s="61"/>
      <c r="N221" s="61"/>
      <c r="O221" s="61"/>
      <c r="P221" s="61"/>
      <c r="Q221" s="61"/>
      <c r="R221" s="61"/>
      <c r="S221" s="61"/>
      <c r="T221" s="61"/>
      <c r="U221" s="61"/>
      <c r="V221" s="61"/>
      <c r="W221" s="61"/>
      <c r="X221" s="61"/>
      <c r="Y221" s="61"/>
      <c r="Z221" s="61"/>
      <c r="AA221" s="61"/>
      <c r="AB221" s="61"/>
    </row>
    <row r="222" spans="1:28">
      <c r="A222" s="35" t="s">
        <v>508</v>
      </c>
      <c r="B222" s="35">
        <v>2</v>
      </c>
      <c r="C222" s="65" t="s">
        <v>2085</v>
      </c>
      <c r="D222" s="65" t="s">
        <v>2187</v>
      </c>
      <c r="E222" s="59" t="s">
        <v>2188</v>
      </c>
      <c r="F222" s="36">
        <v>-1</v>
      </c>
      <c r="G222" s="36" t="s">
        <v>1530</v>
      </c>
      <c r="H222" s="36" t="s">
        <v>1705</v>
      </c>
      <c r="I222" s="36" t="s">
        <v>1532</v>
      </c>
      <c r="J222" s="36" t="s">
        <v>2189</v>
      </c>
      <c r="K222" s="36" t="s">
        <v>2190</v>
      </c>
      <c r="L222" s="60"/>
      <c r="M222" s="61"/>
      <c r="N222" s="61"/>
      <c r="O222" s="61"/>
      <c r="P222" s="61"/>
      <c r="Q222" s="61"/>
      <c r="R222" s="61"/>
      <c r="S222" s="61"/>
      <c r="T222" s="61"/>
      <c r="U222" s="61"/>
      <c r="V222" s="61"/>
      <c r="W222" s="61"/>
      <c r="X222" s="61"/>
      <c r="Y222" s="61"/>
      <c r="Z222" s="61"/>
      <c r="AA222" s="61"/>
      <c r="AB222" s="61"/>
    </row>
    <row r="223" spans="1:28">
      <c r="A223" s="35" t="s">
        <v>647</v>
      </c>
      <c r="B223" s="35">
        <v>2</v>
      </c>
      <c r="C223" s="65" t="s">
        <v>2085</v>
      </c>
      <c r="D223" s="65" t="s">
        <v>2191</v>
      </c>
      <c r="E223" s="59" t="s">
        <v>2192</v>
      </c>
      <c r="F223" s="36">
        <v>0</v>
      </c>
      <c r="G223" s="36" t="s">
        <v>1489</v>
      </c>
      <c r="H223" s="36"/>
      <c r="I223" s="36"/>
      <c r="J223" s="36"/>
      <c r="K223" s="36"/>
      <c r="L223" s="60"/>
      <c r="M223" s="61"/>
      <c r="N223" s="61"/>
      <c r="O223" s="61"/>
      <c r="P223" s="61"/>
      <c r="Q223" s="61"/>
      <c r="R223" s="61"/>
      <c r="S223" s="61"/>
      <c r="T223" s="61"/>
      <c r="U223" s="61"/>
      <c r="V223" s="61"/>
      <c r="W223" s="61"/>
      <c r="X223" s="61"/>
      <c r="Y223" s="61"/>
      <c r="Z223" s="61"/>
      <c r="AA223" s="61"/>
      <c r="AB223" s="61"/>
    </row>
    <row r="224" spans="1:28">
      <c r="A224" s="35" t="s">
        <v>1165</v>
      </c>
      <c r="B224" s="35">
        <v>2</v>
      </c>
      <c r="C224" s="65" t="s">
        <v>2090</v>
      </c>
      <c r="D224" s="65" t="s">
        <v>2193</v>
      </c>
      <c r="E224" s="59" t="s">
        <v>2194</v>
      </c>
      <c r="F224" s="36">
        <f t="shared" ref="F224:F225" si="4">1</f>
        <v>1</v>
      </c>
      <c r="G224" s="36" t="s">
        <v>1480</v>
      </c>
      <c r="H224" s="36" t="s">
        <v>1481</v>
      </c>
      <c r="I224" s="36" t="s">
        <v>1481</v>
      </c>
      <c r="J224" s="36" t="s">
        <v>2195</v>
      </c>
      <c r="K224" s="66" t="s">
        <v>2196</v>
      </c>
      <c r="L224" s="60"/>
      <c r="M224" s="61"/>
      <c r="N224" s="61"/>
      <c r="O224" s="61"/>
      <c r="P224" s="61"/>
      <c r="Q224" s="61"/>
      <c r="R224" s="61"/>
      <c r="S224" s="61"/>
      <c r="T224" s="61"/>
      <c r="U224" s="61"/>
      <c r="V224" s="61"/>
      <c r="W224" s="61"/>
      <c r="X224" s="61"/>
      <c r="Y224" s="61"/>
      <c r="Z224" s="61"/>
      <c r="AA224" s="61"/>
      <c r="AB224" s="61"/>
    </row>
    <row r="225" spans="1:28">
      <c r="A225" s="35" t="s">
        <v>851</v>
      </c>
      <c r="B225" s="35">
        <v>1</v>
      </c>
      <c r="C225" s="65" t="s">
        <v>2085</v>
      </c>
      <c r="D225" s="65" t="s">
        <v>2103</v>
      </c>
      <c r="E225" s="59" t="s">
        <v>2197</v>
      </c>
      <c r="F225" s="36">
        <f t="shared" si="4"/>
        <v>1</v>
      </c>
      <c r="G225" s="36" t="s">
        <v>1480</v>
      </c>
      <c r="H225" s="36" t="s">
        <v>1481</v>
      </c>
      <c r="I225" s="36" t="s">
        <v>1481</v>
      </c>
      <c r="J225" s="36" t="s">
        <v>2198</v>
      </c>
      <c r="K225" s="66" t="s">
        <v>2199</v>
      </c>
      <c r="L225" s="60"/>
      <c r="M225" s="61"/>
      <c r="N225" s="61"/>
      <c r="O225" s="61"/>
      <c r="P225" s="61"/>
      <c r="Q225" s="61"/>
      <c r="R225" s="61"/>
      <c r="S225" s="61"/>
      <c r="T225" s="61"/>
      <c r="U225" s="61"/>
      <c r="V225" s="61"/>
      <c r="W225" s="61"/>
      <c r="X225" s="61"/>
      <c r="Y225" s="61"/>
      <c r="Z225" s="61"/>
      <c r="AA225" s="61"/>
      <c r="AB225" s="61"/>
    </row>
    <row r="226" spans="1:28">
      <c r="A226" s="35" t="s">
        <v>778</v>
      </c>
      <c r="B226" s="35">
        <v>2</v>
      </c>
      <c r="C226" s="65" t="s">
        <v>2085</v>
      </c>
      <c r="D226" s="65" t="s">
        <v>2200</v>
      </c>
      <c r="E226" s="59" t="s">
        <v>2201</v>
      </c>
      <c r="F226" s="36">
        <v>0</v>
      </c>
      <c r="G226" s="36" t="s">
        <v>1489</v>
      </c>
      <c r="H226" s="36"/>
      <c r="I226" s="36"/>
      <c r="J226" s="36"/>
      <c r="K226" s="36"/>
      <c r="L226" s="60"/>
      <c r="M226" s="61"/>
      <c r="N226" s="61"/>
      <c r="O226" s="61"/>
      <c r="P226" s="61"/>
      <c r="Q226" s="61"/>
      <c r="R226" s="61"/>
      <c r="S226" s="61"/>
      <c r="T226" s="61"/>
      <c r="U226" s="61"/>
      <c r="V226" s="61"/>
      <c r="W226" s="61"/>
      <c r="X226" s="61"/>
      <c r="Y226" s="61"/>
      <c r="Z226" s="61"/>
      <c r="AA226" s="61"/>
      <c r="AB226" s="61"/>
    </row>
    <row r="227" spans="1:28">
      <c r="A227" s="35" t="s">
        <v>601</v>
      </c>
      <c r="B227" s="35">
        <v>2</v>
      </c>
      <c r="C227" s="65" t="s">
        <v>2085</v>
      </c>
      <c r="D227" s="65" t="s">
        <v>2202</v>
      </c>
      <c r="E227" s="59" t="s">
        <v>2203</v>
      </c>
      <c r="F227" s="36">
        <v>-1</v>
      </c>
      <c r="G227" s="36" t="s">
        <v>1530</v>
      </c>
      <c r="H227" s="36" t="s">
        <v>1531</v>
      </c>
      <c r="I227" s="36" t="s">
        <v>1532</v>
      </c>
      <c r="J227" s="36" t="s">
        <v>2204</v>
      </c>
      <c r="K227" s="36" t="s">
        <v>2205</v>
      </c>
      <c r="L227" s="60"/>
      <c r="M227" s="61"/>
      <c r="N227" s="61"/>
      <c r="O227" s="61"/>
      <c r="P227" s="61"/>
      <c r="Q227" s="61"/>
      <c r="R227" s="61"/>
      <c r="S227" s="61"/>
      <c r="T227" s="61"/>
      <c r="U227" s="61"/>
      <c r="V227" s="61"/>
      <c r="W227" s="61"/>
      <c r="X227" s="61"/>
      <c r="Y227" s="61"/>
      <c r="Z227" s="61"/>
      <c r="AA227" s="61"/>
      <c r="AB227" s="61"/>
    </row>
    <row r="228" spans="1:28">
      <c r="A228" s="35" t="s">
        <v>928</v>
      </c>
      <c r="B228" s="35">
        <v>3</v>
      </c>
      <c r="C228" s="29" t="s">
        <v>2113</v>
      </c>
      <c r="D228" s="65" t="s">
        <v>2206</v>
      </c>
      <c r="E228" s="59" t="s">
        <v>2207</v>
      </c>
      <c r="F228" s="36">
        <f t="shared" ref="F228:F230" si="5">1</f>
        <v>1</v>
      </c>
      <c r="G228" s="36" t="s">
        <v>1480</v>
      </c>
      <c r="H228" s="36" t="s">
        <v>1481</v>
      </c>
      <c r="I228" s="36" t="s">
        <v>1481</v>
      </c>
      <c r="J228" s="36" t="s">
        <v>2208</v>
      </c>
      <c r="K228" s="66" t="s">
        <v>2209</v>
      </c>
      <c r="L228" s="60"/>
      <c r="M228" s="61"/>
      <c r="N228" s="61"/>
      <c r="O228" s="61"/>
      <c r="P228" s="61"/>
      <c r="Q228" s="61"/>
      <c r="R228" s="61"/>
      <c r="S228" s="61"/>
      <c r="T228" s="61"/>
      <c r="U228" s="61"/>
      <c r="V228" s="61"/>
      <c r="W228" s="61"/>
      <c r="X228" s="61"/>
      <c r="Y228" s="61"/>
      <c r="Z228" s="61"/>
      <c r="AA228" s="61"/>
      <c r="AB228" s="61"/>
    </row>
    <row r="229" spans="1:28">
      <c r="A229" s="35" t="s">
        <v>495</v>
      </c>
      <c r="B229" s="35">
        <v>3</v>
      </c>
      <c r="C229" s="29" t="s">
        <v>2113</v>
      </c>
      <c r="D229" s="65" t="s">
        <v>2210</v>
      </c>
      <c r="E229" s="59" t="s">
        <v>2211</v>
      </c>
      <c r="F229" s="36">
        <f t="shared" si="5"/>
        <v>1</v>
      </c>
      <c r="G229" s="36" t="s">
        <v>1480</v>
      </c>
      <c r="H229" s="36" t="s">
        <v>1481</v>
      </c>
      <c r="I229" s="36" t="s">
        <v>1481</v>
      </c>
      <c r="J229" s="36" t="s">
        <v>2212</v>
      </c>
      <c r="K229" s="66" t="s">
        <v>2213</v>
      </c>
      <c r="L229" s="60"/>
      <c r="M229" s="61"/>
      <c r="N229" s="61"/>
      <c r="O229" s="61"/>
      <c r="P229" s="61"/>
      <c r="Q229" s="61"/>
      <c r="R229" s="61"/>
      <c r="S229" s="61"/>
      <c r="T229" s="61"/>
      <c r="U229" s="61"/>
      <c r="V229" s="61"/>
      <c r="W229" s="61"/>
      <c r="X229" s="61"/>
      <c r="Y229" s="61"/>
      <c r="Z229" s="61"/>
      <c r="AA229" s="61"/>
      <c r="AB229" s="61"/>
    </row>
    <row r="230" spans="1:28">
      <c r="A230" s="35" t="s">
        <v>669</v>
      </c>
      <c r="B230" s="35">
        <v>3</v>
      </c>
      <c r="C230" s="29" t="s">
        <v>2113</v>
      </c>
      <c r="D230" s="65" t="s">
        <v>2214</v>
      </c>
      <c r="E230" s="59" t="s">
        <v>2215</v>
      </c>
      <c r="F230" s="36">
        <f t="shared" si="5"/>
        <v>1</v>
      </c>
      <c r="G230" s="36" t="s">
        <v>1480</v>
      </c>
      <c r="H230" s="36" t="s">
        <v>1481</v>
      </c>
      <c r="I230" s="36" t="s">
        <v>1481</v>
      </c>
      <c r="J230" s="36" t="s">
        <v>2216</v>
      </c>
      <c r="K230" s="66" t="s">
        <v>2217</v>
      </c>
      <c r="L230" s="60"/>
      <c r="M230" s="61"/>
      <c r="N230" s="61"/>
      <c r="O230" s="61"/>
      <c r="P230" s="61"/>
      <c r="Q230" s="61"/>
      <c r="R230" s="61"/>
      <c r="S230" s="61"/>
      <c r="T230" s="61"/>
      <c r="U230" s="61"/>
      <c r="V230" s="61"/>
      <c r="W230" s="61"/>
      <c r="X230" s="61"/>
      <c r="Y230" s="61"/>
      <c r="Z230" s="61"/>
      <c r="AA230" s="61"/>
      <c r="AB230" s="61"/>
    </row>
    <row r="231" spans="1:28">
      <c r="A231" s="35" t="s">
        <v>186</v>
      </c>
      <c r="B231" s="35">
        <v>2</v>
      </c>
      <c r="C231" s="65" t="s">
        <v>2085</v>
      </c>
      <c r="D231" s="65" t="s">
        <v>2218</v>
      </c>
      <c r="E231" s="59" t="s">
        <v>2219</v>
      </c>
      <c r="F231" s="36">
        <v>-1</v>
      </c>
      <c r="G231" s="36" t="s">
        <v>1530</v>
      </c>
      <c r="H231" s="36" t="s">
        <v>1569</v>
      </c>
      <c r="I231" s="36" t="s">
        <v>1532</v>
      </c>
      <c r="J231" s="36" t="s">
        <v>2220</v>
      </c>
      <c r="K231" s="36" t="s">
        <v>2221</v>
      </c>
      <c r="L231" s="60"/>
      <c r="M231" s="61"/>
      <c r="N231" s="61"/>
      <c r="O231" s="61"/>
      <c r="P231" s="61"/>
      <c r="Q231" s="61"/>
      <c r="R231" s="61"/>
      <c r="S231" s="61"/>
      <c r="T231" s="61"/>
      <c r="U231" s="61"/>
      <c r="V231" s="61"/>
      <c r="W231" s="61"/>
      <c r="X231" s="61"/>
      <c r="Y231" s="61"/>
      <c r="Z231" s="61"/>
      <c r="AA231" s="61"/>
      <c r="AB231" s="61"/>
    </row>
    <row r="232" spans="1:28">
      <c r="A232" s="68"/>
      <c r="B232" s="69"/>
      <c r="C232" s="69"/>
      <c r="D232" s="69"/>
      <c r="E232" s="69"/>
      <c r="F232" s="69"/>
      <c r="G232" s="69"/>
      <c r="H232" s="69"/>
      <c r="I232" s="69"/>
      <c r="J232" s="69"/>
      <c r="K232" s="69"/>
      <c r="L232" s="60"/>
    </row>
    <row r="233" spans="1:28">
      <c r="A233" s="68"/>
      <c r="B233" s="69"/>
      <c r="C233" s="69"/>
      <c r="D233" s="69"/>
      <c r="E233" s="69"/>
      <c r="F233" s="69"/>
      <c r="G233" s="69"/>
      <c r="H233" s="69"/>
      <c r="I233" s="69"/>
      <c r="J233" s="69"/>
      <c r="K233" s="69"/>
      <c r="L233" s="60"/>
    </row>
    <row r="234" spans="1:28">
      <c r="A234" s="68"/>
      <c r="B234" s="69"/>
      <c r="C234" s="69"/>
      <c r="D234" s="69"/>
      <c r="E234" s="69"/>
      <c r="F234" s="69"/>
      <c r="G234" s="69"/>
      <c r="H234" s="69"/>
      <c r="I234" s="69"/>
      <c r="J234" s="69"/>
      <c r="K234" s="69"/>
      <c r="L234" s="60"/>
    </row>
    <row r="235" spans="1:28">
      <c r="A235" s="68"/>
      <c r="B235" s="69"/>
      <c r="C235" s="69"/>
      <c r="D235" s="69"/>
      <c r="E235" s="69"/>
      <c r="F235" s="69"/>
      <c r="G235" s="69"/>
      <c r="H235" s="69"/>
      <c r="I235" s="69"/>
      <c r="J235" s="69"/>
      <c r="K235" s="69"/>
      <c r="L235" s="60"/>
    </row>
    <row r="236" spans="1:28">
      <c r="A236" s="68"/>
      <c r="B236" s="69"/>
      <c r="C236" s="69"/>
      <c r="D236" s="69"/>
      <c r="E236" s="69"/>
      <c r="F236" s="69"/>
      <c r="G236" s="69"/>
      <c r="H236" s="69"/>
      <c r="I236" s="69"/>
      <c r="J236" s="69"/>
      <c r="K236" s="69"/>
      <c r="L236" s="60"/>
    </row>
    <row r="237" spans="1:28">
      <c r="A237" s="68"/>
      <c r="B237" s="69"/>
      <c r="C237" s="69"/>
      <c r="D237" s="69"/>
      <c r="E237" s="69"/>
      <c r="F237" s="69"/>
      <c r="G237" s="69"/>
      <c r="H237" s="69"/>
      <c r="I237" s="69"/>
      <c r="J237" s="69"/>
      <c r="K237" s="69"/>
      <c r="L237" s="60"/>
    </row>
    <row r="238" spans="1:28">
      <c r="A238" s="68"/>
      <c r="B238" s="69"/>
      <c r="C238" s="69"/>
      <c r="D238" s="69"/>
      <c r="E238" s="69"/>
      <c r="F238" s="69"/>
      <c r="G238" s="69"/>
      <c r="H238" s="69"/>
      <c r="I238" s="69"/>
      <c r="J238" s="69"/>
      <c r="K238" s="69"/>
      <c r="L238" s="60"/>
    </row>
    <row r="239" spans="1:28">
      <c r="A239" s="68"/>
      <c r="B239" s="69"/>
      <c r="C239" s="69"/>
      <c r="D239" s="69"/>
      <c r="E239" s="69"/>
      <c r="F239" s="69"/>
      <c r="G239" s="69"/>
      <c r="H239" s="69"/>
      <c r="I239" s="69"/>
      <c r="J239" s="69"/>
      <c r="K239" s="69"/>
      <c r="L239" s="60"/>
    </row>
    <row r="240" spans="1:28">
      <c r="A240" s="68"/>
      <c r="B240" s="69"/>
      <c r="C240" s="69"/>
      <c r="D240" s="69"/>
      <c r="E240" s="69"/>
      <c r="F240" s="69"/>
      <c r="G240" s="69"/>
      <c r="H240" s="69"/>
      <c r="I240" s="69"/>
      <c r="J240" s="69"/>
      <c r="K240" s="69"/>
      <c r="L240" s="60"/>
    </row>
    <row r="241" spans="1:12">
      <c r="A241" s="68"/>
      <c r="B241" s="69"/>
      <c r="C241" s="69"/>
      <c r="D241" s="69"/>
      <c r="E241" s="69"/>
      <c r="F241" s="69"/>
      <c r="G241" s="69"/>
      <c r="H241" s="69"/>
      <c r="I241" s="69"/>
      <c r="J241" s="69"/>
      <c r="K241" s="69"/>
      <c r="L241" s="60"/>
    </row>
    <row r="242" spans="1:12">
      <c r="A242" s="68"/>
      <c r="B242" s="69"/>
      <c r="C242" s="69"/>
      <c r="D242" s="69"/>
      <c r="E242" s="69"/>
      <c r="F242" s="69"/>
      <c r="G242" s="69"/>
      <c r="H242" s="69"/>
      <c r="I242" s="69"/>
      <c r="J242" s="69"/>
      <c r="K242" s="69"/>
      <c r="L242" s="60"/>
    </row>
    <row r="243" spans="1:12">
      <c r="A243" s="68"/>
      <c r="B243" s="69"/>
      <c r="C243" s="69"/>
      <c r="D243" s="69"/>
      <c r="E243" s="69"/>
      <c r="F243" s="69"/>
      <c r="G243" s="69"/>
      <c r="H243" s="69"/>
      <c r="I243" s="69"/>
      <c r="J243" s="69"/>
      <c r="K243" s="69"/>
      <c r="L243" s="60"/>
    </row>
    <row r="244" spans="1:12">
      <c r="A244" s="68"/>
      <c r="B244" s="69"/>
      <c r="C244" s="69"/>
      <c r="D244" s="69"/>
      <c r="E244" s="69"/>
      <c r="F244" s="69"/>
      <c r="G244" s="69"/>
      <c r="H244" s="69"/>
      <c r="I244" s="69"/>
      <c r="J244" s="69"/>
      <c r="K244" s="69"/>
      <c r="L244" s="60"/>
    </row>
    <row r="245" spans="1:12">
      <c r="A245" s="68"/>
      <c r="B245" s="69"/>
      <c r="C245" s="69"/>
      <c r="D245" s="69"/>
      <c r="E245" s="69"/>
      <c r="F245" s="69"/>
      <c r="G245" s="69"/>
      <c r="H245" s="69"/>
      <c r="I245" s="69"/>
      <c r="J245" s="69"/>
      <c r="K245" s="69"/>
      <c r="L245" s="60"/>
    </row>
    <row r="246" spans="1:12">
      <c r="A246" s="68"/>
      <c r="B246" s="69"/>
      <c r="C246" s="69"/>
      <c r="D246" s="69"/>
      <c r="E246" s="69"/>
      <c r="F246" s="69"/>
      <c r="G246" s="69"/>
      <c r="H246" s="69"/>
      <c r="I246" s="69"/>
      <c r="J246" s="69"/>
      <c r="K246" s="69"/>
      <c r="L246" s="60"/>
    </row>
    <row r="247" spans="1:12">
      <c r="A247" s="68"/>
      <c r="B247" s="69"/>
      <c r="C247" s="69"/>
      <c r="D247" s="69"/>
      <c r="E247" s="69"/>
      <c r="F247" s="69"/>
      <c r="G247" s="69"/>
      <c r="H247" s="69"/>
      <c r="I247" s="69"/>
      <c r="J247" s="69"/>
      <c r="K247" s="69"/>
      <c r="L247" s="60"/>
    </row>
    <row r="248" spans="1:12">
      <c r="A248" s="68"/>
      <c r="B248" s="69"/>
      <c r="C248" s="69"/>
      <c r="D248" s="69"/>
      <c r="E248" s="69"/>
      <c r="F248" s="69"/>
      <c r="G248" s="69"/>
      <c r="H248" s="69"/>
      <c r="I248" s="69"/>
      <c r="J248" s="69"/>
      <c r="K248" s="69"/>
      <c r="L248" s="60"/>
    </row>
    <row r="249" spans="1:12">
      <c r="A249" s="68"/>
      <c r="B249" s="69"/>
      <c r="C249" s="69"/>
      <c r="D249" s="69"/>
      <c r="E249" s="69"/>
      <c r="F249" s="69"/>
      <c r="G249" s="69"/>
      <c r="H249" s="69"/>
      <c r="I249" s="69"/>
      <c r="J249" s="69"/>
      <c r="K249" s="69"/>
      <c r="L249" s="60"/>
    </row>
    <row r="250" spans="1:12">
      <c r="A250" s="68"/>
      <c r="B250" s="69"/>
      <c r="C250" s="69"/>
      <c r="D250" s="69"/>
      <c r="E250" s="69"/>
      <c r="F250" s="69"/>
      <c r="G250" s="69"/>
      <c r="H250" s="69"/>
      <c r="I250" s="69"/>
      <c r="J250" s="69"/>
      <c r="K250" s="69"/>
      <c r="L250" s="60"/>
    </row>
    <row r="251" spans="1:12">
      <c r="A251" s="68"/>
      <c r="B251" s="69"/>
      <c r="C251" s="69"/>
      <c r="D251" s="69"/>
      <c r="E251" s="69"/>
      <c r="F251" s="69"/>
      <c r="G251" s="69"/>
      <c r="H251" s="69"/>
      <c r="I251" s="69"/>
      <c r="J251" s="69"/>
      <c r="K251" s="69"/>
      <c r="L251" s="60"/>
    </row>
    <row r="252" spans="1:12">
      <c r="A252" s="68"/>
      <c r="B252" s="69"/>
      <c r="C252" s="69"/>
      <c r="D252" s="69"/>
      <c r="E252" s="69"/>
      <c r="F252" s="69"/>
      <c r="G252" s="69"/>
      <c r="H252" s="69"/>
      <c r="I252" s="69"/>
      <c r="J252" s="69"/>
      <c r="K252" s="69"/>
      <c r="L252" s="60"/>
    </row>
    <row r="253" spans="1:12">
      <c r="A253" s="68"/>
      <c r="B253" s="69"/>
      <c r="C253" s="69"/>
      <c r="D253" s="69"/>
      <c r="E253" s="69"/>
      <c r="F253" s="69"/>
      <c r="G253" s="69"/>
      <c r="H253" s="69"/>
      <c r="I253" s="69"/>
      <c r="J253" s="69"/>
      <c r="K253" s="69"/>
      <c r="L253" s="60"/>
    </row>
    <row r="254" spans="1:12">
      <c r="A254" s="68"/>
      <c r="B254" s="69"/>
      <c r="C254" s="69"/>
      <c r="D254" s="69"/>
      <c r="E254" s="69"/>
      <c r="F254" s="69"/>
      <c r="G254" s="69"/>
      <c r="H254" s="69"/>
      <c r="I254" s="69"/>
      <c r="J254" s="69"/>
      <c r="K254" s="69"/>
      <c r="L254" s="60"/>
    </row>
    <row r="255" spans="1:12">
      <c r="A255" s="68"/>
      <c r="B255" s="69"/>
      <c r="C255" s="69"/>
      <c r="D255" s="69"/>
      <c r="E255" s="69"/>
      <c r="F255" s="69"/>
      <c r="G255" s="69"/>
      <c r="H255" s="69"/>
      <c r="I255" s="69"/>
      <c r="J255" s="69"/>
      <c r="K255" s="69"/>
      <c r="L255" s="60"/>
    </row>
    <row r="256" spans="1:12">
      <c r="A256" s="68"/>
      <c r="B256" s="69"/>
      <c r="C256" s="69"/>
      <c r="D256" s="69"/>
      <c r="E256" s="69"/>
      <c r="F256" s="69"/>
      <c r="G256" s="69"/>
      <c r="H256" s="69"/>
      <c r="I256" s="69"/>
      <c r="J256" s="69"/>
      <c r="K256" s="69"/>
      <c r="L256" s="60"/>
    </row>
    <row r="257" spans="1:12">
      <c r="A257" s="68"/>
      <c r="B257" s="69"/>
      <c r="C257" s="69"/>
      <c r="D257" s="69"/>
      <c r="E257" s="69"/>
      <c r="F257" s="69"/>
      <c r="G257" s="69"/>
      <c r="H257" s="69"/>
      <c r="I257" s="69"/>
      <c r="J257" s="69"/>
      <c r="K257" s="69"/>
      <c r="L257" s="60"/>
    </row>
    <row r="258" spans="1:12">
      <c r="A258" s="68"/>
      <c r="B258" s="69"/>
      <c r="C258" s="69"/>
      <c r="D258" s="69"/>
      <c r="E258" s="69"/>
      <c r="F258" s="69"/>
      <c r="G258" s="69"/>
      <c r="H258" s="69"/>
      <c r="I258" s="69"/>
      <c r="J258" s="69"/>
      <c r="K258" s="69"/>
      <c r="L258" s="60"/>
    </row>
    <row r="259" spans="1:12">
      <c r="A259" s="68"/>
      <c r="B259" s="69"/>
      <c r="C259" s="69"/>
      <c r="D259" s="69"/>
      <c r="E259" s="69"/>
      <c r="F259" s="69"/>
      <c r="G259" s="69"/>
      <c r="H259" s="69"/>
      <c r="I259" s="69"/>
      <c r="J259" s="69"/>
      <c r="K259" s="69"/>
      <c r="L259" s="60"/>
    </row>
    <row r="260" spans="1:12">
      <c r="A260" s="68"/>
      <c r="B260" s="69"/>
      <c r="C260" s="69"/>
      <c r="D260" s="69"/>
      <c r="E260" s="69"/>
      <c r="F260" s="69"/>
      <c r="G260" s="69"/>
      <c r="H260" s="69"/>
      <c r="I260" s="69"/>
      <c r="J260" s="69"/>
      <c r="K260" s="69"/>
      <c r="L260" s="60"/>
    </row>
    <row r="261" spans="1:12">
      <c r="A261" s="68"/>
      <c r="B261" s="69"/>
      <c r="C261" s="69"/>
      <c r="D261" s="69"/>
      <c r="E261" s="69"/>
      <c r="F261" s="69"/>
      <c r="G261" s="69"/>
      <c r="H261" s="69"/>
      <c r="I261" s="69"/>
      <c r="J261" s="69"/>
      <c r="K261" s="69"/>
      <c r="L261" s="60"/>
    </row>
    <row r="262" spans="1:12">
      <c r="A262" s="68"/>
      <c r="B262" s="69"/>
      <c r="C262" s="69"/>
      <c r="D262" s="69"/>
      <c r="E262" s="69"/>
      <c r="F262" s="69"/>
      <c r="G262" s="69"/>
      <c r="H262" s="69"/>
      <c r="I262" s="69"/>
      <c r="J262" s="69"/>
      <c r="K262" s="69"/>
      <c r="L262" s="60"/>
    </row>
    <row r="263" spans="1:12">
      <c r="A263" s="68"/>
      <c r="B263" s="69"/>
      <c r="C263" s="69"/>
      <c r="D263" s="69"/>
      <c r="E263" s="69"/>
      <c r="F263" s="69"/>
      <c r="G263" s="69"/>
      <c r="H263" s="69"/>
      <c r="I263" s="69"/>
      <c r="J263" s="69"/>
      <c r="K263" s="69"/>
      <c r="L263" s="60"/>
    </row>
    <row r="264" spans="1:12">
      <c r="A264" s="68"/>
      <c r="B264" s="69"/>
      <c r="C264" s="69"/>
      <c r="D264" s="69"/>
      <c r="E264" s="69"/>
      <c r="F264" s="69"/>
      <c r="G264" s="69"/>
      <c r="H264" s="69"/>
      <c r="I264" s="69"/>
      <c r="J264" s="69"/>
      <c r="K264" s="69"/>
      <c r="L264" s="60"/>
    </row>
    <row r="265" spans="1:12">
      <c r="A265" s="68"/>
      <c r="B265" s="69"/>
      <c r="C265" s="69"/>
      <c r="D265" s="69"/>
      <c r="E265" s="69"/>
      <c r="F265" s="69"/>
      <c r="G265" s="69"/>
      <c r="H265" s="69"/>
      <c r="I265" s="69"/>
      <c r="J265" s="69"/>
      <c r="K265" s="69"/>
      <c r="L265" s="60"/>
    </row>
    <row r="266" spans="1:12">
      <c r="A266" s="68"/>
      <c r="B266" s="69"/>
      <c r="C266" s="69"/>
      <c r="D266" s="69"/>
      <c r="E266" s="69"/>
      <c r="F266" s="69"/>
      <c r="G266" s="69"/>
      <c r="H266" s="69"/>
      <c r="I266" s="69"/>
      <c r="J266" s="69"/>
      <c r="K266" s="69"/>
      <c r="L266" s="60"/>
    </row>
    <row r="267" spans="1:12">
      <c r="A267" s="68"/>
      <c r="B267" s="69"/>
      <c r="C267" s="69"/>
      <c r="D267" s="69"/>
      <c r="E267" s="69"/>
      <c r="F267" s="69"/>
      <c r="G267" s="69"/>
      <c r="H267" s="69"/>
      <c r="I267" s="69"/>
      <c r="J267" s="69"/>
      <c r="K267" s="69"/>
      <c r="L267" s="60"/>
    </row>
    <row r="268" spans="1:12">
      <c r="A268" s="68"/>
      <c r="B268" s="69"/>
      <c r="C268" s="69"/>
      <c r="D268" s="69"/>
      <c r="E268" s="69"/>
      <c r="F268" s="69"/>
      <c r="G268" s="69"/>
      <c r="H268" s="69"/>
      <c r="I268" s="69"/>
      <c r="J268" s="69"/>
      <c r="K268" s="69"/>
      <c r="L268" s="60"/>
    </row>
    <row r="269" spans="1:12">
      <c r="A269" s="68"/>
      <c r="B269" s="69"/>
      <c r="C269" s="69"/>
      <c r="D269" s="69"/>
      <c r="E269" s="69"/>
      <c r="F269" s="69"/>
      <c r="G269" s="69"/>
      <c r="H269" s="69"/>
      <c r="I269" s="69"/>
      <c r="J269" s="69"/>
      <c r="K269" s="69"/>
      <c r="L269" s="60"/>
    </row>
    <row r="270" spans="1:12">
      <c r="A270" s="68"/>
      <c r="B270" s="69"/>
      <c r="C270" s="69"/>
      <c r="D270" s="69"/>
      <c r="E270" s="69"/>
      <c r="F270" s="69"/>
      <c r="G270" s="69"/>
      <c r="H270" s="69"/>
      <c r="I270" s="69"/>
      <c r="J270" s="69"/>
      <c r="K270" s="69"/>
      <c r="L270" s="60"/>
    </row>
    <row r="271" spans="1:12">
      <c r="A271" s="68"/>
      <c r="B271" s="69"/>
      <c r="C271" s="69"/>
      <c r="D271" s="69"/>
      <c r="E271" s="69"/>
      <c r="F271" s="69"/>
      <c r="G271" s="69"/>
      <c r="H271" s="69"/>
      <c r="I271" s="69"/>
      <c r="J271" s="69"/>
      <c r="K271" s="69"/>
      <c r="L271" s="60"/>
    </row>
    <row r="272" spans="1:12">
      <c r="A272" s="68"/>
      <c r="B272" s="69"/>
      <c r="C272" s="69"/>
      <c r="D272" s="69"/>
      <c r="E272" s="69"/>
      <c r="F272" s="69"/>
      <c r="G272" s="69"/>
      <c r="H272" s="69"/>
      <c r="I272" s="69"/>
      <c r="J272" s="69"/>
      <c r="K272" s="69"/>
      <c r="L272" s="60"/>
    </row>
    <row r="273" spans="1:12">
      <c r="A273" s="68"/>
      <c r="B273" s="69"/>
      <c r="C273" s="69"/>
      <c r="D273" s="69"/>
      <c r="E273" s="69"/>
      <c r="F273" s="69"/>
      <c r="G273" s="69"/>
      <c r="H273" s="69"/>
      <c r="I273" s="69"/>
      <c r="J273" s="69"/>
      <c r="K273" s="69"/>
      <c r="L273" s="60"/>
    </row>
    <row r="274" spans="1:12">
      <c r="A274" s="68"/>
      <c r="B274" s="69"/>
      <c r="C274" s="69"/>
      <c r="D274" s="69"/>
      <c r="E274" s="69"/>
      <c r="F274" s="69"/>
      <c r="G274" s="69"/>
      <c r="H274" s="69"/>
      <c r="I274" s="69"/>
      <c r="J274" s="69"/>
      <c r="K274" s="69"/>
      <c r="L274" s="60"/>
    </row>
    <row r="275" spans="1:12">
      <c r="A275" s="68"/>
      <c r="B275" s="69"/>
      <c r="C275" s="69"/>
      <c r="D275" s="69"/>
      <c r="E275" s="69"/>
      <c r="F275" s="69"/>
      <c r="G275" s="69"/>
      <c r="H275" s="69"/>
      <c r="I275" s="69"/>
      <c r="J275" s="69"/>
      <c r="K275" s="69"/>
      <c r="L275" s="60"/>
    </row>
    <row r="276" spans="1:12">
      <c r="A276" s="68"/>
      <c r="B276" s="69"/>
      <c r="C276" s="69"/>
      <c r="D276" s="69"/>
      <c r="E276" s="69"/>
      <c r="F276" s="69"/>
      <c r="G276" s="69"/>
      <c r="H276" s="69"/>
      <c r="I276" s="69"/>
      <c r="J276" s="69"/>
      <c r="K276" s="69"/>
      <c r="L276" s="60"/>
    </row>
    <row r="277" spans="1:12">
      <c r="A277" s="68"/>
      <c r="B277" s="69"/>
      <c r="C277" s="69"/>
      <c r="D277" s="69"/>
      <c r="E277" s="69"/>
      <c r="F277" s="69"/>
      <c r="G277" s="69"/>
      <c r="H277" s="69"/>
      <c r="I277" s="69"/>
      <c r="J277" s="69"/>
      <c r="K277" s="69"/>
      <c r="L277" s="60"/>
    </row>
    <row r="278" spans="1:12">
      <c r="A278" s="68"/>
      <c r="B278" s="69"/>
      <c r="C278" s="69"/>
      <c r="D278" s="69"/>
      <c r="E278" s="69"/>
      <c r="F278" s="69"/>
      <c r="G278" s="69"/>
      <c r="H278" s="69"/>
      <c r="I278" s="69"/>
      <c r="J278" s="69"/>
      <c r="K278" s="69"/>
      <c r="L278" s="60"/>
    </row>
    <row r="279" spans="1:12">
      <c r="A279" s="68"/>
      <c r="B279" s="69"/>
      <c r="C279" s="69"/>
      <c r="D279" s="69"/>
      <c r="E279" s="69"/>
      <c r="F279" s="69"/>
      <c r="G279" s="69"/>
      <c r="H279" s="69"/>
      <c r="I279" s="69"/>
      <c r="J279" s="69"/>
      <c r="K279" s="69"/>
      <c r="L279" s="60"/>
    </row>
    <row r="280" spans="1:12">
      <c r="A280" s="68"/>
      <c r="B280" s="69"/>
      <c r="C280" s="69"/>
      <c r="D280" s="69"/>
      <c r="E280" s="69"/>
      <c r="F280" s="69"/>
      <c r="G280" s="69"/>
      <c r="H280" s="69"/>
      <c r="I280" s="69"/>
      <c r="J280" s="69"/>
      <c r="K280" s="69"/>
      <c r="L280" s="60"/>
    </row>
    <row r="281" spans="1:12">
      <c r="A281" s="68"/>
      <c r="B281" s="69"/>
      <c r="C281" s="69"/>
      <c r="D281" s="69"/>
      <c r="E281" s="69"/>
      <c r="F281" s="69"/>
      <c r="G281" s="69"/>
      <c r="H281" s="69"/>
      <c r="I281" s="69"/>
      <c r="J281" s="69"/>
      <c r="K281" s="69"/>
      <c r="L281" s="60"/>
    </row>
    <row r="282" spans="1:12">
      <c r="A282" s="68"/>
      <c r="B282" s="69"/>
      <c r="C282" s="69"/>
      <c r="D282" s="69"/>
      <c r="E282" s="69"/>
      <c r="F282" s="69"/>
      <c r="G282" s="69"/>
      <c r="H282" s="69"/>
      <c r="I282" s="69"/>
      <c r="J282" s="69"/>
      <c r="K282" s="69"/>
      <c r="L282" s="60"/>
    </row>
    <row r="283" spans="1:12">
      <c r="A283" s="68"/>
      <c r="B283" s="69"/>
      <c r="C283" s="69"/>
      <c r="D283" s="69"/>
      <c r="E283" s="69"/>
      <c r="F283" s="69"/>
      <c r="G283" s="69"/>
      <c r="H283" s="69"/>
      <c r="I283" s="69"/>
      <c r="J283" s="69"/>
      <c r="K283" s="69"/>
      <c r="L283" s="60"/>
    </row>
    <row r="284" spans="1:12">
      <c r="A284" s="68"/>
      <c r="B284" s="69"/>
      <c r="C284" s="69"/>
      <c r="D284" s="69"/>
      <c r="E284" s="69"/>
      <c r="F284" s="69"/>
      <c r="G284" s="69"/>
      <c r="H284" s="69"/>
      <c r="I284" s="69"/>
      <c r="J284" s="69"/>
      <c r="K284" s="69"/>
      <c r="L284" s="60"/>
    </row>
    <row r="285" spans="1:12">
      <c r="A285" s="68"/>
      <c r="B285" s="69"/>
      <c r="C285" s="69"/>
      <c r="D285" s="69"/>
      <c r="E285" s="69"/>
      <c r="F285" s="69"/>
      <c r="G285" s="69"/>
      <c r="H285" s="69"/>
      <c r="I285" s="69"/>
      <c r="J285" s="69"/>
      <c r="K285" s="69"/>
      <c r="L285" s="60"/>
    </row>
    <row r="286" spans="1:12">
      <c r="A286" s="68"/>
      <c r="B286" s="69"/>
      <c r="C286" s="69"/>
      <c r="D286" s="69"/>
      <c r="E286" s="69"/>
      <c r="F286" s="69"/>
      <c r="G286" s="69"/>
      <c r="H286" s="69"/>
      <c r="I286" s="69"/>
      <c r="J286" s="69"/>
      <c r="K286" s="69"/>
      <c r="L286" s="60"/>
    </row>
    <row r="287" spans="1:12">
      <c r="A287" s="68"/>
      <c r="B287" s="69"/>
      <c r="C287" s="69"/>
      <c r="D287" s="69"/>
      <c r="E287" s="69"/>
      <c r="F287" s="69"/>
      <c r="G287" s="69"/>
      <c r="H287" s="69"/>
      <c r="I287" s="69"/>
      <c r="J287" s="69"/>
      <c r="K287" s="69"/>
      <c r="L287" s="60"/>
    </row>
    <row r="288" spans="1:12">
      <c r="A288" s="68"/>
      <c r="B288" s="69"/>
      <c r="C288" s="69"/>
      <c r="D288" s="69"/>
      <c r="E288" s="69"/>
      <c r="F288" s="69"/>
      <c r="G288" s="69"/>
      <c r="H288" s="69"/>
      <c r="I288" s="69"/>
      <c r="J288" s="69"/>
      <c r="K288" s="69"/>
      <c r="L288" s="60"/>
    </row>
    <row r="289" spans="1:12">
      <c r="A289" s="68"/>
      <c r="B289" s="69"/>
      <c r="C289" s="69"/>
      <c r="D289" s="69"/>
      <c r="E289" s="69"/>
      <c r="F289" s="69"/>
      <c r="G289" s="69"/>
      <c r="H289" s="69"/>
      <c r="I289" s="69"/>
      <c r="J289" s="69"/>
      <c r="K289" s="69"/>
      <c r="L289" s="60"/>
    </row>
    <row r="290" spans="1:12">
      <c r="A290" s="68"/>
      <c r="B290" s="69"/>
      <c r="C290" s="69"/>
      <c r="D290" s="69"/>
      <c r="E290" s="69"/>
      <c r="F290" s="69"/>
      <c r="G290" s="69"/>
      <c r="H290" s="69"/>
      <c r="I290" s="69"/>
      <c r="J290" s="69"/>
      <c r="K290" s="69"/>
      <c r="L290" s="60"/>
    </row>
    <row r="291" spans="1:12">
      <c r="A291" s="68"/>
      <c r="B291" s="69"/>
      <c r="C291" s="69"/>
      <c r="D291" s="69"/>
      <c r="E291" s="69"/>
      <c r="F291" s="69"/>
      <c r="G291" s="69"/>
      <c r="H291" s="69"/>
      <c r="I291" s="69"/>
      <c r="J291" s="69"/>
      <c r="K291" s="69"/>
      <c r="L291" s="60"/>
    </row>
    <row r="292" spans="1:12">
      <c r="A292" s="68"/>
      <c r="B292" s="69"/>
      <c r="C292" s="69"/>
      <c r="D292" s="69"/>
      <c r="E292" s="69"/>
      <c r="F292" s="69"/>
      <c r="G292" s="69"/>
      <c r="H292" s="69"/>
      <c r="I292" s="69"/>
      <c r="J292" s="69"/>
      <c r="K292" s="69"/>
      <c r="L292" s="60"/>
    </row>
    <row r="293" spans="1:12">
      <c r="A293" s="68"/>
      <c r="B293" s="69"/>
      <c r="C293" s="69"/>
      <c r="D293" s="69"/>
      <c r="E293" s="69"/>
      <c r="F293" s="69"/>
      <c r="G293" s="69"/>
      <c r="H293" s="69"/>
      <c r="I293" s="69"/>
      <c r="J293" s="69"/>
      <c r="K293" s="69"/>
      <c r="L293" s="60"/>
    </row>
    <row r="294" spans="1:12">
      <c r="A294" s="68"/>
      <c r="B294" s="69"/>
      <c r="C294" s="69"/>
      <c r="D294" s="69"/>
      <c r="E294" s="69"/>
      <c r="F294" s="69"/>
      <c r="G294" s="69"/>
      <c r="H294" s="69"/>
      <c r="I294" s="69"/>
      <c r="J294" s="69"/>
      <c r="K294" s="69"/>
      <c r="L294" s="60"/>
    </row>
    <row r="295" spans="1:12">
      <c r="A295" s="68"/>
      <c r="B295" s="69"/>
      <c r="C295" s="69"/>
      <c r="D295" s="69"/>
      <c r="E295" s="69"/>
      <c r="F295" s="69"/>
      <c r="G295" s="69"/>
      <c r="H295" s="69"/>
      <c r="I295" s="69"/>
      <c r="J295" s="69"/>
      <c r="K295" s="69"/>
      <c r="L295" s="60"/>
    </row>
    <row r="296" spans="1:12">
      <c r="A296" s="68"/>
      <c r="B296" s="69"/>
      <c r="C296" s="69"/>
      <c r="D296" s="69"/>
      <c r="E296" s="69"/>
      <c r="F296" s="69"/>
      <c r="G296" s="69"/>
      <c r="H296" s="69"/>
      <c r="I296" s="69"/>
      <c r="J296" s="69"/>
      <c r="K296" s="69"/>
      <c r="L296" s="60"/>
    </row>
    <row r="297" spans="1:12">
      <c r="A297" s="68"/>
      <c r="B297" s="69"/>
      <c r="C297" s="69"/>
      <c r="D297" s="69"/>
      <c r="E297" s="69"/>
      <c r="F297" s="69"/>
      <c r="G297" s="69"/>
      <c r="H297" s="69"/>
      <c r="I297" s="69"/>
      <c r="J297" s="69"/>
      <c r="K297" s="69"/>
      <c r="L297" s="60"/>
    </row>
    <row r="298" spans="1:12">
      <c r="A298" s="68"/>
      <c r="B298" s="69"/>
      <c r="C298" s="69"/>
      <c r="D298" s="69"/>
      <c r="E298" s="69"/>
      <c r="F298" s="69"/>
      <c r="G298" s="69"/>
      <c r="H298" s="69"/>
      <c r="I298" s="69"/>
      <c r="J298" s="69"/>
      <c r="K298" s="69"/>
      <c r="L298" s="60"/>
    </row>
    <row r="299" spans="1:12">
      <c r="A299" s="68"/>
      <c r="B299" s="69"/>
      <c r="C299" s="69"/>
      <c r="D299" s="69"/>
      <c r="E299" s="69"/>
      <c r="F299" s="69"/>
      <c r="G299" s="69"/>
      <c r="H299" s="69"/>
      <c r="I299" s="69"/>
      <c r="J299" s="69"/>
      <c r="K299" s="69"/>
      <c r="L299" s="60"/>
    </row>
    <row r="300" spans="1:12">
      <c r="A300" s="68"/>
      <c r="B300" s="69"/>
      <c r="C300" s="69"/>
      <c r="D300" s="69"/>
      <c r="E300" s="69"/>
      <c r="F300" s="69"/>
      <c r="G300" s="69"/>
      <c r="H300" s="69"/>
      <c r="I300" s="69"/>
      <c r="J300" s="69"/>
      <c r="K300" s="69"/>
      <c r="L300" s="60"/>
    </row>
    <row r="301" spans="1:12">
      <c r="A301" s="68"/>
      <c r="B301" s="69"/>
      <c r="C301" s="69"/>
      <c r="D301" s="69"/>
      <c r="E301" s="69"/>
      <c r="F301" s="69"/>
      <c r="G301" s="69"/>
      <c r="H301" s="69"/>
      <c r="I301" s="69"/>
      <c r="J301" s="69"/>
      <c r="K301" s="69"/>
      <c r="L301" s="60"/>
    </row>
    <row r="302" spans="1:12">
      <c r="A302" s="68"/>
      <c r="B302" s="69"/>
      <c r="C302" s="69"/>
      <c r="D302" s="69"/>
      <c r="E302" s="69"/>
      <c r="F302" s="69"/>
      <c r="G302" s="69"/>
      <c r="H302" s="69"/>
      <c r="I302" s="69"/>
      <c r="J302" s="69"/>
      <c r="K302" s="69"/>
      <c r="L302" s="60"/>
    </row>
    <row r="303" spans="1:12">
      <c r="A303" s="68"/>
      <c r="B303" s="69"/>
      <c r="C303" s="69"/>
      <c r="D303" s="69"/>
      <c r="E303" s="69"/>
      <c r="F303" s="69"/>
      <c r="G303" s="69"/>
      <c r="H303" s="69"/>
      <c r="I303" s="69"/>
      <c r="J303" s="69"/>
      <c r="K303" s="69"/>
      <c r="L303" s="60"/>
    </row>
    <row r="304" spans="1:12">
      <c r="A304" s="68"/>
      <c r="B304" s="69"/>
      <c r="C304" s="69"/>
      <c r="D304" s="69"/>
      <c r="E304" s="69"/>
      <c r="F304" s="69"/>
      <c r="G304" s="69"/>
      <c r="H304" s="69"/>
      <c r="I304" s="69"/>
      <c r="J304" s="69"/>
      <c r="K304" s="69"/>
      <c r="L304" s="60"/>
    </row>
    <row r="305" spans="1:12">
      <c r="A305" s="68"/>
      <c r="B305" s="69"/>
      <c r="C305" s="69"/>
      <c r="D305" s="69"/>
      <c r="E305" s="69"/>
      <c r="F305" s="69"/>
      <c r="G305" s="69"/>
      <c r="H305" s="69"/>
      <c r="I305" s="69"/>
      <c r="J305" s="69"/>
      <c r="K305" s="69"/>
      <c r="L305" s="60"/>
    </row>
    <row r="306" spans="1:12">
      <c r="A306" s="68"/>
      <c r="B306" s="69"/>
      <c r="C306" s="69"/>
      <c r="D306" s="69"/>
      <c r="E306" s="69"/>
      <c r="F306" s="69"/>
      <c r="G306" s="69"/>
      <c r="H306" s="69"/>
      <c r="I306" s="69"/>
      <c r="J306" s="69"/>
      <c r="K306" s="69"/>
      <c r="L306" s="60"/>
    </row>
    <row r="307" spans="1:12">
      <c r="A307" s="68"/>
      <c r="B307" s="69"/>
      <c r="C307" s="69"/>
      <c r="D307" s="69"/>
      <c r="E307" s="69"/>
      <c r="F307" s="69"/>
      <c r="G307" s="69"/>
      <c r="H307" s="69"/>
      <c r="I307" s="69"/>
      <c r="J307" s="69"/>
      <c r="K307" s="69"/>
      <c r="L307" s="60"/>
    </row>
    <row r="308" spans="1:12">
      <c r="A308" s="68"/>
      <c r="B308" s="69"/>
      <c r="C308" s="69"/>
      <c r="D308" s="69"/>
      <c r="E308" s="69"/>
      <c r="F308" s="69"/>
      <c r="G308" s="69"/>
      <c r="H308" s="69"/>
      <c r="I308" s="69"/>
      <c r="J308" s="69"/>
      <c r="K308" s="69"/>
      <c r="L308" s="60"/>
    </row>
    <row r="309" spans="1:12">
      <c r="A309" s="68"/>
      <c r="B309" s="69"/>
      <c r="C309" s="69"/>
      <c r="D309" s="69"/>
      <c r="E309" s="69"/>
      <c r="F309" s="69"/>
      <c r="G309" s="69"/>
      <c r="H309" s="69"/>
      <c r="I309" s="69"/>
      <c r="J309" s="69"/>
      <c r="K309" s="69"/>
      <c r="L309" s="60"/>
    </row>
    <row r="310" spans="1:12">
      <c r="A310" s="68"/>
      <c r="B310" s="69"/>
      <c r="C310" s="69"/>
      <c r="D310" s="69"/>
      <c r="E310" s="69"/>
      <c r="F310" s="69"/>
      <c r="G310" s="69"/>
      <c r="H310" s="69"/>
      <c r="I310" s="69"/>
      <c r="J310" s="69"/>
      <c r="K310" s="69"/>
      <c r="L310" s="60"/>
    </row>
    <row r="311" spans="1:12">
      <c r="A311" s="68"/>
      <c r="B311" s="69"/>
      <c r="C311" s="69"/>
      <c r="D311" s="69"/>
      <c r="E311" s="69"/>
      <c r="F311" s="69"/>
      <c r="G311" s="69"/>
      <c r="H311" s="69"/>
      <c r="I311" s="69"/>
      <c r="J311" s="69"/>
      <c r="K311" s="69"/>
      <c r="L311" s="60"/>
    </row>
    <row r="312" spans="1:12">
      <c r="A312" s="68"/>
      <c r="B312" s="69"/>
      <c r="C312" s="69"/>
      <c r="D312" s="69"/>
      <c r="E312" s="69"/>
      <c r="F312" s="69"/>
      <c r="G312" s="69"/>
      <c r="H312" s="69"/>
      <c r="I312" s="69"/>
      <c r="J312" s="69"/>
      <c r="K312" s="69"/>
      <c r="L312" s="60"/>
    </row>
    <row r="313" spans="1:12">
      <c r="A313" s="68"/>
      <c r="B313" s="69"/>
      <c r="C313" s="69"/>
      <c r="D313" s="69"/>
      <c r="E313" s="69"/>
      <c r="F313" s="69"/>
      <c r="G313" s="69"/>
      <c r="H313" s="69"/>
      <c r="I313" s="69"/>
      <c r="J313" s="69"/>
      <c r="K313" s="69"/>
      <c r="L313" s="60"/>
    </row>
    <row r="314" spans="1:12">
      <c r="A314" s="68"/>
      <c r="B314" s="69"/>
      <c r="C314" s="69"/>
      <c r="D314" s="69"/>
      <c r="E314" s="69"/>
      <c r="F314" s="69"/>
      <c r="G314" s="69"/>
      <c r="H314" s="69"/>
      <c r="I314" s="69"/>
      <c r="J314" s="69"/>
      <c r="K314" s="69"/>
      <c r="L314" s="60"/>
    </row>
    <row r="315" spans="1:12">
      <c r="A315" s="68"/>
      <c r="B315" s="69"/>
      <c r="C315" s="69"/>
      <c r="D315" s="69"/>
      <c r="E315" s="69"/>
      <c r="F315" s="69"/>
      <c r="G315" s="69"/>
      <c r="H315" s="69"/>
      <c r="I315" s="69"/>
      <c r="J315" s="69"/>
      <c r="K315" s="69"/>
      <c r="L315" s="60"/>
    </row>
    <row r="316" spans="1:12">
      <c r="A316" s="68"/>
      <c r="B316" s="69"/>
      <c r="C316" s="69"/>
      <c r="D316" s="69"/>
      <c r="E316" s="69"/>
      <c r="F316" s="69"/>
      <c r="G316" s="69"/>
      <c r="H316" s="69"/>
      <c r="I316" s="69"/>
      <c r="J316" s="69"/>
      <c r="K316" s="69"/>
      <c r="L316" s="60"/>
    </row>
    <row r="317" spans="1:12">
      <c r="A317" s="68"/>
      <c r="B317" s="69"/>
      <c r="C317" s="69"/>
      <c r="D317" s="69"/>
      <c r="E317" s="69"/>
      <c r="F317" s="69"/>
      <c r="G317" s="69"/>
      <c r="H317" s="69"/>
      <c r="I317" s="69"/>
      <c r="J317" s="69"/>
      <c r="K317" s="69"/>
      <c r="L317" s="60"/>
    </row>
    <row r="318" spans="1:12">
      <c r="A318" s="68"/>
      <c r="B318" s="69"/>
      <c r="C318" s="69"/>
      <c r="D318" s="69"/>
      <c r="E318" s="69"/>
      <c r="F318" s="69"/>
      <c r="G318" s="69"/>
      <c r="H318" s="69"/>
      <c r="I318" s="69"/>
      <c r="J318" s="69"/>
      <c r="K318" s="69"/>
      <c r="L318" s="60"/>
    </row>
    <row r="319" spans="1:12">
      <c r="A319" s="68"/>
      <c r="B319" s="69"/>
      <c r="C319" s="69"/>
      <c r="D319" s="69"/>
      <c r="E319" s="69"/>
      <c r="F319" s="69"/>
      <c r="G319" s="69"/>
      <c r="H319" s="69"/>
      <c r="I319" s="69"/>
      <c r="J319" s="69"/>
      <c r="K319" s="69"/>
      <c r="L319" s="60"/>
    </row>
    <row r="320" spans="1:12">
      <c r="A320" s="68"/>
      <c r="B320" s="69"/>
      <c r="C320" s="69"/>
      <c r="D320" s="69"/>
      <c r="E320" s="69"/>
      <c r="F320" s="69"/>
      <c r="G320" s="69"/>
      <c r="H320" s="69"/>
      <c r="I320" s="69"/>
      <c r="J320" s="69"/>
      <c r="K320" s="69"/>
      <c r="L320" s="60"/>
    </row>
    <row r="321" spans="1:12">
      <c r="A321" s="68"/>
      <c r="B321" s="69"/>
      <c r="C321" s="69"/>
      <c r="D321" s="69"/>
      <c r="E321" s="69"/>
      <c r="F321" s="69"/>
      <c r="G321" s="69"/>
      <c r="H321" s="69"/>
      <c r="I321" s="69"/>
      <c r="J321" s="69"/>
      <c r="K321" s="69"/>
      <c r="L321" s="60"/>
    </row>
    <row r="322" spans="1:12">
      <c r="A322" s="68"/>
      <c r="B322" s="69"/>
      <c r="C322" s="69"/>
      <c r="D322" s="69"/>
      <c r="E322" s="69"/>
      <c r="F322" s="69"/>
      <c r="G322" s="69"/>
      <c r="H322" s="69"/>
      <c r="I322" s="69"/>
      <c r="J322" s="69"/>
      <c r="K322" s="69"/>
      <c r="L322" s="60"/>
    </row>
    <row r="323" spans="1:12">
      <c r="A323" s="68"/>
      <c r="B323" s="69"/>
      <c r="C323" s="69"/>
      <c r="D323" s="69"/>
      <c r="E323" s="69"/>
      <c r="F323" s="69"/>
      <c r="G323" s="69"/>
      <c r="H323" s="69"/>
      <c r="I323" s="69"/>
      <c r="J323" s="69"/>
      <c r="K323" s="69"/>
      <c r="L323" s="60"/>
    </row>
    <row r="324" spans="1:12">
      <c r="A324" s="68"/>
      <c r="B324" s="69"/>
      <c r="C324" s="69"/>
      <c r="D324" s="69"/>
      <c r="E324" s="69"/>
      <c r="F324" s="69"/>
      <c r="G324" s="69"/>
      <c r="H324" s="69"/>
      <c r="I324" s="69"/>
      <c r="J324" s="69"/>
      <c r="K324" s="69"/>
      <c r="L324" s="60"/>
    </row>
    <row r="325" spans="1:12">
      <c r="A325" s="68"/>
      <c r="B325" s="69"/>
      <c r="C325" s="69"/>
      <c r="D325" s="69"/>
      <c r="E325" s="69"/>
      <c r="F325" s="69"/>
      <c r="G325" s="69"/>
      <c r="H325" s="69"/>
      <c r="I325" s="69"/>
      <c r="J325" s="69"/>
      <c r="K325" s="69"/>
      <c r="L325" s="60"/>
    </row>
    <row r="326" spans="1:12">
      <c r="A326" s="68"/>
      <c r="B326" s="69"/>
      <c r="C326" s="69"/>
      <c r="D326" s="69"/>
      <c r="E326" s="69"/>
      <c r="F326" s="69"/>
      <c r="G326" s="69"/>
      <c r="H326" s="69"/>
      <c r="I326" s="69"/>
      <c r="J326" s="69"/>
      <c r="K326" s="69"/>
      <c r="L326" s="60"/>
    </row>
    <row r="327" spans="1:12">
      <c r="A327" s="68"/>
      <c r="B327" s="69"/>
      <c r="C327" s="69"/>
      <c r="D327" s="69"/>
      <c r="E327" s="69"/>
      <c r="F327" s="69"/>
      <c r="G327" s="69"/>
      <c r="H327" s="69"/>
      <c r="I327" s="69"/>
      <c r="J327" s="69"/>
      <c r="K327" s="69"/>
      <c r="L327" s="60"/>
    </row>
    <row r="328" spans="1:12">
      <c r="A328" s="68"/>
      <c r="B328" s="69"/>
      <c r="C328" s="69"/>
      <c r="D328" s="69"/>
      <c r="E328" s="69"/>
      <c r="F328" s="69"/>
      <c r="G328" s="69"/>
      <c r="H328" s="69"/>
      <c r="I328" s="69"/>
      <c r="J328" s="69"/>
      <c r="K328" s="69"/>
      <c r="L328" s="60"/>
    </row>
    <row r="329" spans="1:12">
      <c r="A329" s="68"/>
      <c r="B329" s="69"/>
      <c r="C329" s="69"/>
      <c r="D329" s="69"/>
      <c r="E329" s="69"/>
      <c r="F329" s="69"/>
      <c r="G329" s="69"/>
      <c r="H329" s="69"/>
      <c r="I329" s="69"/>
      <c r="J329" s="69"/>
      <c r="K329" s="69"/>
      <c r="L329" s="60"/>
    </row>
    <row r="330" spans="1:12">
      <c r="A330" s="68"/>
      <c r="B330" s="69"/>
      <c r="C330" s="69"/>
      <c r="D330" s="69"/>
      <c r="E330" s="69"/>
      <c r="F330" s="69"/>
      <c r="G330" s="69"/>
      <c r="H330" s="69"/>
      <c r="I330" s="69"/>
      <c r="J330" s="69"/>
      <c r="K330" s="69"/>
      <c r="L330" s="60"/>
    </row>
    <row r="331" spans="1:12">
      <c r="A331" s="68"/>
      <c r="B331" s="69"/>
      <c r="C331" s="69"/>
      <c r="D331" s="69"/>
      <c r="E331" s="69"/>
      <c r="F331" s="69"/>
      <c r="G331" s="69"/>
      <c r="H331" s="69"/>
      <c r="I331" s="69"/>
      <c r="J331" s="69"/>
      <c r="K331" s="69"/>
      <c r="L331" s="60"/>
    </row>
    <row r="332" spans="1:12">
      <c r="A332" s="68"/>
      <c r="B332" s="69"/>
      <c r="C332" s="69"/>
      <c r="D332" s="69"/>
      <c r="E332" s="69"/>
      <c r="F332" s="69"/>
      <c r="G332" s="69"/>
      <c r="H332" s="69"/>
      <c r="I332" s="69"/>
      <c r="J332" s="69"/>
      <c r="K332" s="69"/>
      <c r="L332" s="60"/>
    </row>
    <row r="333" spans="1:12">
      <c r="A333" s="68"/>
      <c r="B333" s="69"/>
      <c r="C333" s="69"/>
      <c r="D333" s="69"/>
      <c r="E333" s="69"/>
      <c r="F333" s="69"/>
      <c r="G333" s="69"/>
      <c r="H333" s="69"/>
      <c r="I333" s="69"/>
      <c r="J333" s="69"/>
      <c r="K333" s="69"/>
      <c r="L333" s="60"/>
    </row>
    <row r="334" spans="1:12">
      <c r="A334" s="68"/>
      <c r="B334" s="69"/>
      <c r="C334" s="69"/>
      <c r="D334" s="69"/>
      <c r="E334" s="69"/>
      <c r="F334" s="69"/>
      <c r="G334" s="69"/>
      <c r="H334" s="69"/>
      <c r="I334" s="69"/>
      <c r="J334" s="69"/>
      <c r="K334" s="69"/>
      <c r="L334" s="60"/>
    </row>
    <row r="335" spans="1:12">
      <c r="A335" s="68"/>
      <c r="B335" s="69"/>
      <c r="C335" s="69"/>
      <c r="D335" s="69"/>
      <c r="E335" s="69"/>
      <c r="F335" s="69"/>
      <c r="G335" s="69"/>
      <c r="H335" s="69"/>
      <c r="I335" s="69"/>
      <c r="J335" s="69"/>
      <c r="K335" s="69"/>
      <c r="L335" s="60"/>
    </row>
    <row r="336" spans="1:12">
      <c r="A336" s="68"/>
      <c r="B336" s="69"/>
      <c r="C336" s="69"/>
      <c r="D336" s="69"/>
      <c r="E336" s="69"/>
      <c r="F336" s="69"/>
      <c r="G336" s="69"/>
      <c r="H336" s="69"/>
      <c r="I336" s="69"/>
      <c r="J336" s="69"/>
      <c r="K336" s="69"/>
      <c r="L336" s="60"/>
    </row>
    <row r="337" spans="1:12">
      <c r="A337" s="68"/>
      <c r="B337" s="69"/>
      <c r="C337" s="69"/>
      <c r="D337" s="69"/>
      <c r="E337" s="69"/>
      <c r="F337" s="69"/>
      <c r="G337" s="69"/>
      <c r="H337" s="69"/>
      <c r="I337" s="69"/>
      <c r="J337" s="69"/>
      <c r="K337" s="69"/>
      <c r="L337" s="60"/>
    </row>
    <row r="338" spans="1:12">
      <c r="A338" s="68"/>
      <c r="B338" s="69"/>
      <c r="C338" s="69"/>
      <c r="D338" s="69"/>
      <c r="E338" s="69"/>
      <c r="F338" s="69"/>
      <c r="G338" s="69"/>
      <c r="H338" s="69"/>
      <c r="I338" s="69"/>
      <c r="J338" s="69"/>
      <c r="K338" s="69"/>
      <c r="L338" s="60"/>
    </row>
    <row r="339" spans="1:12">
      <c r="A339" s="68"/>
      <c r="B339" s="69"/>
      <c r="C339" s="69"/>
      <c r="D339" s="69"/>
      <c r="E339" s="69"/>
      <c r="F339" s="69"/>
      <c r="G339" s="69"/>
      <c r="H339" s="69"/>
      <c r="I339" s="69"/>
      <c r="J339" s="69"/>
      <c r="K339" s="69"/>
      <c r="L339" s="60"/>
    </row>
    <row r="340" spans="1:12">
      <c r="A340" s="68"/>
      <c r="B340" s="69"/>
      <c r="C340" s="69"/>
      <c r="D340" s="69"/>
      <c r="E340" s="69"/>
      <c r="F340" s="69"/>
      <c r="G340" s="69"/>
      <c r="H340" s="69"/>
      <c r="I340" s="69"/>
      <c r="J340" s="69"/>
      <c r="K340" s="69"/>
      <c r="L340" s="60"/>
    </row>
    <row r="341" spans="1:12">
      <c r="A341" s="68"/>
      <c r="B341" s="69"/>
      <c r="C341" s="69"/>
      <c r="D341" s="69"/>
      <c r="E341" s="69"/>
      <c r="F341" s="69"/>
      <c r="G341" s="69"/>
      <c r="H341" s="69"/>
      <c r="I341" s="69"/>
      <c r="J341" s="69"/>
      <c r="K341" s="69"/>
      <c r="L341" s="60"/>
    </row>
    <row r="342" spans="1:12">
      <c r="A342" s="68"/>
      <c r="B342" s="69"/>
      <c r="C342" s="69"/>
      <c r="D342" s="69"/>
      <c r="E342" s="69"/>
      <c r="F342" s="69"/>
      <c r="G342" s="69"/>
      <c r="H342" s="69"/>
      <c r="I342" s="69"/>
      <c r="J342" s="69"/>
      <c r="K342" s="69"/>
      <c r="L342" s="60"/>
    </row>
    <row r="343" spans="1:12">
      <c r="A343" s="68"/>
      <c r="B343" s="69"/>
      <c r="C343" s="69"/>
      <c r="D343" s="69"/>
      <c r="E343" s="69"/>
      <c r="F343" s="69"/>
      <c r="G343" s="69"/>
      <c r="H343" s="69"/>
      <c r="I343" s="69"/>
      <c r="J343" s="69"/>
      <c r="K343" s="69"/>
      <c r="L343" s="60"/>
    </row>
    <row r="344" spans="1:12">
      <c r="A344" s="68"/>
      <c r="B344" s="69"/>
      <c r="C344" s="69"/>
      <c r="D344" s="69"/>
      <c r="E344" s="69"/>
      <c r="F344" s="69"/>
      <c r="G344" s="69"/>
      <c r="H344" s="69"/>
      <c r="I344" s="69"/>
      <c r="J344" s="69"/>
      <c r="K344" s="69"/>
      <c r="L344" s="60"/>
    </row>
    <row r="345" spans="1:12">
      <c r="A345" s="68"/>
      <c r="B345" s="69"/>
      <c r="C345" s="69"/>
      <c r="D345" s="69"/>
      <c r="E345" s="69"/>
      <c r="F345" s="69"/>
      <c r="G345" s="69"/>
      <c r="H345" s="69"/>
      <c r="I345" s="69"/>
      <c r="J345" s="69"/>
      <c r="K345" s="69"/>
      <c r="L345" s="60"/>
    </row>
    <row r="346" spans="1:12">
      <c r="A346" s="68"/>
      <c r="B346" s="69"/>
      <c r="C346" s="69"/>
      <c r="D346" s="69"/>
      <c r="E346" s="69"/>
      <c r="F346" s="69"/>
      <c r="G346" s="69"/>
      <c r="H346" s="69"/>
      <c r="I346" s="69"/>
      <c r="J346" s="69"/>
      <c r="K346" s="69"/>
      <c r="L346" s="60"/>
    </row>
    <row r="347" spans="1:12">
      <c r="A347" s="68"/>
      <c r="B347" s="69"/>
      <c r="C347" s="69"/>
      <c r="D347" s="69"/>
      <c r="E347" s="69"/>
      <c r="F347" s="69"/>
      <c r="G347" s="69"/>
      <c r="H347" s="69"/>
      <c r="I347" s="69"/>
      <c r="J347" s="69"/>
      <c r="K347" s="69"/>
      <c r="L347" s="60"/>
    </row>
    <row r="348" spans="1:12">
      <c r="A348" s="68"/>
      <c r="B348" s="69"/>
      <c r="C348" s="69"/>
      <c r="D348" s="69"/>
      <c r="E348" s="69"/>
      <c r="F348" s="69"/>
      <c r="G348" s="69"/>
      <c r="H348" s="69"/>
      <c r="I348" s="69"/>
      <c r="J348" s="69"/>
      <c r="K348" s="69"/>
      <c r="L348" s="60"/>
    </row>
    <row r="349" spans="1:12">
      <c r="A349" s="68"/>
      <c r="B349" s="69"/>
      <c r="C349" s="69"/>
      <c r="D349" s="69"/>
      <c r="E349" s="69"/>
      <c r="F349" s="69"/>
      <c r="G349" s="69"/>
      <c r="H349" s="69"/>
      <c r="I349" s="69"/>
      <c r="J349" s="69"/>
      <c r="K349" s="69"/>
      <c r="L349" s="60"/>
    </row>
    <row r="350" spans="1:12">
      <c r="A350" s="68"/>
      <c r="B350" s="69"/>
      <c r="C350" s="69"/>
      <c r="D350" s="69"/>
      <c r="E350" s="69"/>
      <c r="F350" s="69"/>
      <c r="G350" s="69"/>
      <c r="H350" s="69"/>
      <c r="I350" s="69"/>
      <c r="J350" s="69"/>
      <c r="K350" s="69"/>
      <c r="L350" s="60"/>
    </row>
    <row r="351" spans="1:12">
      <c r="A351" s="68"/>
      <c r="B351" s="69"/>
      <c r="C351" s="69"/>
      <c r="D351" s="69"/>
      <c r="E351" s="69"/>
      <c r="F351" s="69"/>
      <c r="G351" s="69"/>
      <c r="H351" s="69"/>
      <c r="I351" s="69"/>
      <c r="J351" s="69"/>
      <c r="K351" s="69"/>
      <c r="L351" s="60"/>
    </row>
    <row r="352" spans="1:12">
      <c r="A352" s="68"/>
      <c r="B352" s="69"/>
      <c r="C352" s="69"/>
      <c r="D352" s="69"/>
      <c r="E352" s="69"/>
      <c r="F352" s="69"/>
      <c r="G352" s="69"/>
      <c r="H352" s="69"/>
      <c r="I352" s="69"/>
      <c r="J352" s="69"/>
      <c r="K352" s="69"/>
      <c r="L352" s="60"/>
    </row>
    <row r="353" spans="1:12">
      <c r="A353" s="68"/>
      <c r="B353" s="69"/>
      <c r="C353" s="69"/>
      <c r="D353" s="69"/>
      <c r="E353" s="69"/>
      <c r="F353" s="69"/>
      <c r="G353" s="69"/>
      <c r="H353" s="69"/>
      <c r="I353" s="69"/>
      <c r="J353" s="69"/>
      <c r="K353" s="69"/>
      <c r="L353" s="60"/>
    </row>
    <row r="354" spans="1:12">
      <c r="A354" s="68"/>
      <c r="B354" s="69"/>
      <c r="C354" s="69"/>
      <c r="D354" s="69"/>
      <c r="E354" s="69"/>
      <c r="F354" s="69"/>
      <c r="G354" s="69"/>
      <c r="H354" s="69"/>
      <c r="I354" s="69"/>
      <c r="J354" s="69"/>
      <c r="K354" s="69"/>
      <c r="L354" s="60"/>
    </row>
    <row r="355" spans="1:12">
      <c r="A355" s="68"/>
      <c r="B355" s="69"/>
      <c r="C355" s="69"/>
      <c r="D355" s="69"/>
      <c r="E355" s="69"/>
      <c r="F355" s="69"/>
      <c r="G355" s="69"/>
      <c r="H355" s="69"/>
      <c r="I355" s="69"/>
      <c r="J355" s="69"/>
      <c r="K355" s="69"/>
      <c r="L355" s="60"/>
    </row>
    <row r="356" spans="1:12">
      <c r="A356" s="68"/>
      <c r="B356" s="69"/>
      <c r="C356" s="69"/>
      <c r="D356" s="69"/>
      <c r="E356" s="69"/>
      <c r="F356" s="69"/>
      <c r="G356" s="69"/>
      <c r="H356" s="69"/>
      <c r="I356" s="69"/>
      <c r="J356" s="69"/>
      <c r="K356" s="69"/>
      <c r="L356" s="60"/>
    </row>
    <row r="357" spans="1:12">
      <c r="A357" s="68"/>
      <c r="B357" s="69"/>
      <c r="C357" s="69"/>
      <c r="D357" s="69"/>
      <c r="E357" s="69"/>
      <c r="F357" s="69"/>
      <c r="G357" s="69"/>
      <c r="H357" s="69"/>
      <c r="I357" s="69"/>
      <c r="J357" s="69"/>
      <c r="K357" s="69"/>
      <c r="L357" s="60"/>
    </row>
    <row r="358" spans="1:12">
      <c r="A358" s="68"/>
      <c r="B358" s="69"/>
      <c r="C358" s="69"/>
      <c r="D358" s="69"/>
      <c r="E358" s="69"/>
      <c r="F358" s="69"/>
      <c r="G358" s="69"/>
      <c r="H358" s="69"/>
      <c r="I358" s="69"/>
      <c r="J358" s="69"/>
      <c r="K358" s="69"/>
      <c r="L358" s="60"/>
    </row>
    <row r="359" spans="1:12">
      <c r="A359" s="68"/>
      <c r="B359" s="69"/>
      <c r="C359" s="69"/>
      <c r="D359" s="69"/>
      <c r="E359" s="69"/>
      <c r="F359" s="69"/>
      <c r="G359" s="69"/>
      <c r="H359" s="69"/>
      <c r="I359" s="69"/>
      <c r="J359" s="69"/>
      <c r="K359" s="69"/>
      <c r="L359" s="60"/>
    </row>
    <row r="360" spans="1:12">
      <c r="A360" s="68"/>
      <c r="B360" s="69"/>
      <c r="C360" s="69"/>
      <c r="D360" s="69"/>
      <c r="E360" s="69"/>
      <c r="F360" s="69"/>
      <c r="G360" s="69"/>
      <c r="H360" s="69"/>
      <c r="I360" s="69"/>
      <c r="J360" s="69"/>
      <c r="K360" s="69"/>
      <c r="L360" s="60"/>
    </row>
    <row r="361" spans="1:12">
      <c r="A361" s="68"/>
      <c r="B361" s="69"/>
      <c r="C361" s="69"/>
      <c r="D361" s="69"/>
      <c r="E361" s="69"/>
      <c r="F361" s="69"/>
      <c r="G361" s="69"/>
      <c r="H361" s="69"/>
      <c r="I361" s="69"/>
      <c r="J361" s="69"/>
      <c r="K361" s="69"/>
      <c r="L361" s="60"/>
    </row>
    <row r="362" spans="1:12">
      <c r="A362" s="68"/>
      <c r="B362" s="69"/>
      <c r="C362" s="69"/>
      <c r="D362" s="69"/>
      <c r="E362" s="69"/>
      <c r="F362" s="69"/>
      <c r="G362" s="69"/>
      <c r="H362" s="69"/>
      <c r="I362" s="69"/>
      <c r="J362" s="69"/>
      <c r="K362" s="69"/>
      <c r="L362" s="60"/>
    </row>
    <row r="363" spans="1:12">
      <c r="A363" s="68"/>
      <c r="B363" s="69"/>
      <c r="C363" s="69"/>
      <c r="D363" s="69"/>
      <c r="E363" s="69"/>
      <c r="F363" s="69"/>
      <c r="G363" s="69"/>
      <c r="H363" s="69"/>
      <c r="I363" s="69"/>
      <c r="J363" s="69"/>
      <c r="K363" s="69"/>
      <c r="L363" s="60"/>
    </row>
    <row r="364" spans="1:12">
      <c r="A364" s="68"/>
      <c r="B364" s="69"/>
      <c r="C364" s="69"/>
      <c r="D364" s="69"/>
      <c r="E364" s="69"/>
      <c r="F364" s="69"/>
      <c r="G364" s="69"/>
      <c r="H364" s="69"/>
      <c r="I364" s="69"/>
      <c r="J364" s="69"/>
      <c r="K364" s="69"/>
      <c r="L364" s="60"/>
    </row>
    <row r="365" spans="1:12">
      <c r="A365" s="68"/>
      <c r="B365" s="69"/>
      <c r="C365" s="69"/>
      <c r="D365" s="69"/>
      <c r="E365" s="69"/>
      <c r="F365" s="69"/>
      <c r="G365" s="69"/>
      <c r="H365" s="69"/>
      <c r="I365" s="69"/>
      <c r="J365" s="69"/>
      <c r="K365" s="69"/>
      <c r="L365" s="60"/>
    </row>
    <row r="366" spans="1:12">
      <c r="A366" s="68"/>
      <c r="B366" s="69"/>
      <c r="C366" s="69"/>
      <c r="D366" s="69"/>
      <c r="E366" s="69"/>
      <c r="F366" s="69"/>
      <c r="G366" s="69"/>
      <c r="H366" s="69"/>
      <c r="I366" s="69"/>
      <c r="J366" s="69"/>
      <c r="K366" s="69"/>
      <c r="L366" s="60"/>
    </row>
    <row r="367" spans="1:12">
      <c r="A367" s="68"/>
      <c r="B367" s="69"/>
      <c r="C367" s="69"/>
      <c r="D367" s="69"/>
      <c r="E367" s="69"/>
      <c r="F367" s="69"/>
      <c r="G367" s="69"/>
      <c r="H367" s="69"/>
      <c r="I367" s="69"/>
      <c r="J367" s="69"/>
      <c r="K367" s="69"/>
      <c r="L367" s="60"/>
    </row>
    <row r="368" spans="1:12">
      <c r="A368" s="68"/>
      <c r="B368" s="69"/>
      <c r="C368" s="69"/>
      <c r="D368" s="69"/>
      <c r="E368" s="69"/>
      <c r="F368" s="69"/>
      <c r="G368" s="69"/>
      <c r="H368" s="69"/>
      <c r="I368" s="69"/>
      <c r="J368" s="69"/>
      <c r="K368" s="69"/>
      <c r="L368" s="60"/>
    </row>
    <row r="369" spans="1:12">
      <c r="A369" s="68"/>
      <c r="B369" s="69"/>
      <c r="C369" s="69"/>
      <c r="D369" s="69"/>
      <c r="E369" s="69"/>
      <c r="F369" s="69"/>
      <c r="G369" s="69"/>
      <c r="H369" s="69"/>
      <c r="I369" s="69"/>
      <c r="J369" s="69"/>
      <c r="K369" s="69"/>
      <c r="L369" s="60"/>
    </row>
    <row r="370" spans="1:12">
      <c r="A370" s="68"/>
      <c r="B370" s="69"/>
      <c r="C370" s="69"/>
      <c r="D370" s="69"/>
      <c r="E370" s="69"/>
      <c r="F370" s="69"/>
      <c r="G370" s="69"/>
      <c r="H370" s="69"/>
      <c r="I370" s="69"/>
      <c r="J370" s="69"/>
      <c r="K370" s="69"/>
      <c r="L370" s="60"/>
    </row>
    <row r="371" spans="1:12">
      <c r="A371" s="68"/>
      <c r="B371" s="69"/>
      <c r="C371" s="69"/>
      <c r="D371" s="69"/>
      <c r="E371" s="69"/>
      <c r="F371" s="69"/>
      <c r="G371" s="69"/>
      <c r="H371" s="69"/>
      <c r="I371" s="69"/>
      <c r="J371" s="69"/>
      <c r="K371" s="69"/>
      <c r="L371" s="60"/>
    </row>
    <row r="372" spans="1:12">
      <c r="A372" s="68"/>
      <c r="B372" s="69"/>
      <c r="C372" s="69"/>
      <c r="D372" s="69"/>
      <c r="E372" s="69"/>
      <c r="F372" s="69"/>
      <c r="G372" s="69"/>
      <c r="H372" s="69"/>
      <c r="I372" s="69"/>
      <c r="J372" s="69"/>
      <c r="K372" s="69"/>
      <c r="L372" s="60"/>
    </row>
    <row r="373" spans="1:12">
      <c r="A373" s="68"/>
      <c r="B373" s="69"/>
      <c r="C373" s="69"/>
      <c r="D373" s="69"/>
      <c r="E373" s="69"/>
      <c r="F373" s="69"/>
      <c r="G373" s="69"/>
      <c r="H373" s="69"/>
      <c r="I373" s="69"/>
      <c r="J373" s="69"/>
      <c r="K373" s="69"/>
      <c r="L373" s="60"/>
    </row>
    <row r="374" spans="1:12">
      <c r="A374" s="68"/>
      <c r="B374" s="69"/>
      <c r="C374" s="69"/>
      <c r="D374" s="69"/>
      <c r="E374" s="69"/>
      <c r="F374" s="69"/>
      <c r="G374" s="69"/>
      <c r="H374" s="69"/>
      <c r="I374" s="69"/>
      <c r="J374" s="69"/>
      <c r="K374" s="69"/>
      <c r="L374" s="60"/>
    </row>
    <row r="375" spans="1:12">
      <c r="A375" s="68"/>
      <c r="B375" s="69"/>
      <c r="C375" s="69"/>
      <c r="D375" s="69"/>
      <c r="E375" s="69"/>
      <c r="F375" s="69"/>
      <c r="G375" s="69"/>
      <c r="H375" s="69"/>
      <c r="I375" s="69"/>
      <c r="J375" s="69"/>
      <c r="K375" s="69"/>
      <c r="L375" s="60"/>
    </row>
    <row r="376" spans="1:12">
      <c r="A376" s="68"/>
      <c r="B376" s="69"/>
      <c r="C376" s="69"/>
      <c r="D376" s="69"/>
      <c r="E376" s="69"/>
      <c r="F376" s="69"/>
      <c r="G376" s="69"/>
      <c r="H376" s="69"/>
      <c r="I376" s="69"/>
      <c r="J376" s="69"/>
      <c r="K376" s="69"/>
      <c r="L376" s="60"/>
    </row>
    <row r="377" spans="1:12">
      <c r="A377" s="68"/>
      <c r="B377" s="69"/>
      <c r="C377" s="69"/>
      <c r="D377" s="69"/>
      <c r="E377" s="69"/>
      <c r="F377" s="69"/>
      <c r="G377" s="69"/>
      <c r="H377" s="69"/>
      <c r="I377" s="69"/>
      <c r="J377" s="69"/>
      <c r="K377" s="69"/>
      <c r="L377" s="60"/>
    </row>
    <row r="378" spans="1:12">
      <c r="A378" s="68"/>
      <c r="B378" s="69"/>
      <c r="C378" s="69"/>
      <c r="D378" s="69"/>
      <c r="E378" s="69"/>
      <c r="F378" s="69"/>
      <c r="G378" s="69"/>
      <c r="H378" s="69"/>
      <c r="I378" s="69"/>
      <c r="J378" s="69"/>
      <c r="K378" s="69"/>
      <c r="L378" s="60"/>
    </row>
    <row r="379" spans="1:12">
      <c r="A379" s="68"/>
      <c r="B379" s="69"/>
      <c r="C379" s="69"/>
      <c r="D379" s="69"/>
      <c r="E379" s="69"/>
      <c r="F379" s="69"/>
      <c r="G379" s="69"/>
      <c r="H379" s="69"/>
      <c r="I379" s="69"/>
      <c r="J379" s="69"/>
      <c r="K379" s="69"/>
      <c r="L379" s="60"/>
    </row>
    <row r="380" spans="1:12">
      <c r="A380" s="68"/>
      <c r="B380" s="69"/>
      <c r="C380" s="69"/>
      <c r="D380" s="69"/>
      <c r="E380" s="69"/>
      <c r="F380" s="69"/>
      <c r="G380" s="69"/>
      <c r="H380" s="69"/>
      <c r="I380" s="69"/>
      <c r="J380" s="69"/>
      <c r="K380" s="69"/>
      <c r="L380" s="60"/>
    </row>
    <row r="381" spans="1:12">
      <c r="A381" s="68"/>
      <c r="B381" s="69"/>
      <c r="C381" s="69"/>
      <c r="D381" s="69"/>
      <c r="E381" s="69"/>
      <c r="F381" s="69"/>
      <c r="G381" s="69"/>
      <c r="H381" s="69"/>
      <c r="I381" s="69"/>
      <c r="J381" s="69"/>
      <c r="K381" s="69"/>
      <c r="L381" s="60"/>
    </row>
    <row r="382" spans="1:12">
      <c r="A382" s="68"/>
      <c r="B382" s="69"/>
      <c r="C382" s="69"/>
      <c r="D382" s="69"/>
      <c r="E382" s="69"/>
      <c r="F382" s="69"/>
      <c r="G382" s="69"/>
      <c r="H382" s="69"/>
      <c r="I382" s="69"/>
      <c r="J382" s="69"/>
      <c r="K382" s="69"/>
      <c r="L382" s="60"/>
    </row>
    <row r="383" spans="1:12">
      <c r="A383" s="68"/>
      <c r="B383" s="69"/>
      <c r="C383" s="69"/>
      <c r="D383" s="69"/>
      <c r="E383" s="69"/>
      <c r="F383" s="69"/>
      <c r="G383" s="69"/>
      <c r="H383" s="69"/>
      <c r="I383" s="69"/>
      <c r="J383" s="69"/>
      <c r="K383" s="69"/>
      <c r="L383" s="60"/>
    </row>
    <row r="384" spans="1:12">
      <c r="A384" s="68"/>
      <c r="B384" s="69"/>
      <c r="C384" s="69"/>
      <c r="D384" s="69"/>
      <c r="E384" s="69"/>
      <c r="F384" s="69"/>
      <c r="G384" s="69"/>
      <c r="H384" s="69"/>
      <c r="I384" s="69"/>
      <c r="J384" s="69"/>
      <c r="K384" s="69"/>
      <c r="L384" s="60"/>
    </row>
    <row r="385" spans="1:12">
      <c r="A385" s="68"/>
      <c r="B385" s="69"/>
      <c r="C385" s="69"/>
      <c r="D385" s="69"/>
      <c r="E385" s="69"/>
      <c r="F385" s="69"/>
      <c r="G385" s="69"/>
      <c r="H385" s="69"/>
      <c r="I385" s="69"/>
      <c r="J385" s="69"/>
      <c r="K385" s="69"/>
      <c r="L385" s="60"/>
    </row>
    <row r="386" spans="1:12">
      <c r="A386" s="68"/>
      <c r="B386" s="69"/>
      <c r="C386" s="69"/>
      <c r="D386" s="69"/>
      <c r="E386" s="69"/>
      <c r="F386" s="69"/>
      <c r="G386" s="69"/>
      <c r="H386" s="69"/>
      <c r="I386" s="69"/>
      <c r="J386" s="69"/>
      <c r="K386" s="69"/>
      <c r="L386" s="60"/>
    </row>
    <row r="387" spans="1:12">
      <c r="A387" s="68"/>
      <c r="B387" s="69"/>
      <c r="C387" s="69"/>
      <c r="D387" s="69"/>
      <c r="E387" s="69"/>
      <c r="F387" s="69"/>
      <c r="G387" s="69"/>
      <c r="H387" s="69"/>
      <c r="I387" s="69"/>
      <c r="J387" s="69"/>
      <c r="K387" s="69"/>
      <c r="L387" s="60"/>
    </row>
    <row r="388" spans="1:12">
      <c r="A388" s="68"/>
      <c r="B388" s="69"/>
      <c r="C388" s="69"/>
      <c r="D388" s="69"/>
      <c r="E388" s="69"/>
      <c r="F388" s="69"/>
      <c r="G388" s="69"/>
      <c r="H388" s="69"/>
      <c r="I388" s="69"/>
      <c r="J388" s="69"/>
      <c r="K388" s="69"/>
      <c r="L388" s="60"/>
    </row>
    <row r="389" spans="1:12">
      <c r="A389" s="68"/>
      <c r="B389" s="69"/>
      <c r="C389" s="69"/>
      <c r="D389" s="69"/>
      <c r="E389" s="69"/>
      <c r="F389" s="69"/>
      <c r="G389" s="69"/>
      <c r="H389" s="69"/>
      <c r="I389" s="69"/>
      <c r="J389" s="69"/>
      <c r="K389" s="69"/>
      <c r="L389" s="60"/>
    </row>
    <row r="390" spans="1:12">
      <c r="A390" s="68"/>
      <c r="B390" s="69"/>
      <c r="C390" s="69"/>
      <c r="D390" s="69"/>
      <c r="E390" s="69"/>
      <c r="F390" s="69"/>
      <c r="G390" s="69"/>
      <c r="H390" s="69"/>
      <c r="I390" s="69"/>
      <c r="J390" s="69"/>
      <c r="K390" s="69"/>
      <c r="L390" s="60"/>
    </row>
    <row r="391" spans="1:12">
      <c r="A391" s="68"/>
      <c r="B391" s="69"/>
      <c r="C391" s="69"/>
      <c r="D391" s="69"/>
      <c r="E391" s="69"/>
      <c r="F391" s="69"/>
      <c r="G391" s="69"/>
      <c r="H391" s="69"/>
      <c r="I391" s="69"/>
      <c r="J391" s="69"/>
      <c r="K391" s="69"/>
      <c r="L391" s="60"/>
    </row>
    <row r="392" spans="1:12">
      <c r="A392" s="68"/>
      <c r="B392" s="69"/>
      <c r="C392" s="69"/>
      <c r="D392" s="69"/>
      <c r="E392" s="69"/>
      <c r="F392" s="69"/>
      <c r="G392" s="69"/>
      <c r="H392" s="69"/>
      <c r="I392" s="69"/>
      <c r="J392" s="69"/>
      <c r="K392" s="69"/>
      <c r="L392" s="60"/>
    </row>
    <row r="393" spans="1:12">
      <c r="A393" s="68"/>
      <c r="B393" s="69"/>
      <c r="C393" s="69"/>
      <c r="D393" s="69"/>
      <c r="E393" s="69"/>
      <c r="F393" s="69"/>
      <c r="G393" s="69"/>
      <c r="H393" s="69"/>
      <c r="I393" s="69"/>
      <c r="J393" s="69"/>
      <c r="K393" s="69"/>
      <c r="L393" s="60"/>
    </row>
    <row r="394" spans="1:12">
      <c r="A394" s="68"/>
      <c r="B394" s="69"/>
      <c r="C394" s="69"/>
      <c r="D394" s="69"/>
      <c r="E394" s="69"/>
      <c r="F394" s="69"/>
      <c r="G394" s="69"/>
      <c r="H394" s="69"/>
      <c r="I394" s="69"/>
      <c r="J394" s="69"/>
      <c r="K394" s="69"/>
      <c r="L394" s="60"/>
    </row>
    <row r="395" spans="1:12">
      <c r="A395" s="68"/>
      <c r="B395" s="69"/>
      <c r="C395" s="69"/>
      <c r="D395" s="69"/>
      <c r="E395" s="69"/>
      <c r="F395" s="69"/>
      <c r="G395" s="69"/>
      <c r="H395" s="69"/>
      <c r="I395" s="69"/>
      <c r="J395" s="69"/>
      <c r="K395" s="69"/>
      <c r="L395" s="60"/>
    </row>
    <row r="396" spans="1:12">
      <c r="A396" s="68"/>
      <c r="B396" s="69"/>
      <c r="C396" s="69"/>
      <c r="D396" s="69"/>
      <c r="E396" s="69"/>
      <c r="F396" s="69"/>
      <c r="G396" s="69"/>
      <c r="H396" s="69"/>
      <c r="I396" s="69"/>
      <c r="J396" s="69"/>
      <c r="K396" s="69"/>
      <c r="L396" s="60"/>
    </row>
    <row r="397" spans="1:12">
      <c r="A397" s="68"/>
      <c r="B397" s="69"/>
      <c r="C397" s="69"/>
      <c r="D397" s="69"/>
      <c r="E397" s="69"/>
      <c r="F397" s="69"/>
      <c r="G397" s="69"/>
      <c r="H397" s="69"/>
      <c r="I397" s="69"/>
      <c r="J397" s="69"/>
      <c r="K397" s="69"/>
      <c r="L397" s="60"/>
    </row>
    <row r="398" spans="1:12">
      <c r="A398" s="68"/>
      <c r="B398" s="69"/>
      <c r="C398" s="69"/>
      <c r="D398" s="69"/>
      <c r="E398" s="69"/>
      <c r="F398" s="69"/>
      <c r="G398" s="69"/>
      <c r="H398" s="69"/>
      <c r="I398" s="69"/>
      <c r="J398" s="69"/>
      <c r="K398" s="69"/>
      <c r="L398" s="60"/>
    </row>
    <row r="399" spans="1:12">
      <c r="A399" s="68"/>
      <c r="B399" s="69"/>
      <c r="C399" s="69"/>
      <c r="D399" s="69"/>
      <c r="E399" s="69"/>
      <c r="F399" s="69"/>
      <c r="G399" s="69"/>
      <c r="H399" s="69"/>
      <c r="I399" s="69"/>
      <c r="J399" s="69"/>
      <c r="K399" s="69"/>
      <c r="L399" s="60"/>
    </row>
    <row r="400" spans="1:12">
      <c r="A400" s="68"/>
      <c r="B400" s="69"/>
      <c r="C400" s="69"/>
      <c r="D400" s="69"/>
      <c r="E400" s="69"/>
      <c r="F400" s="69"/>
      <c r="G400" s="69"/>
      <c r="H400" s="69"/>
      <c r="I400" s="69"/>
      <c r="J400" s="69"/>
      <c r="K400" s="69"/>
      <c r="L400" s="60"/>
    </row>
    <row r="401" spans="1:12">
      <c r="A401" s="68"/>
      <c r="B401" s="69"/>
      <c r="C401" s="69"/>
      <c r="D401" s="69"/>
      <c r="E401" s="69"/>
      <c r="F401" s="69"/>
      <c r="G401" s="69"/>
      <c r="H401" s="69"/>
      <c r="I401" s="69"/>
      <c r="J401" s="69"/>
      <c r="K401" s="69"/>
      <c r="L401" s="60"/>
    </row>
    <row r="402" spans="1:12">
      <c r="A402" s="68"/>
      <c r="B402" s="69"/>
      <c r="C402" s="69"/>
      <c r="D402" s="69"/>
      <c r="E402" s="69"/>
      <c r="F402" s="69"/>
      <c r="G402" s="69"/>
      <c r="H402" s="69"/>
      <c r="I402" s="69"/>
      <c r="J402" s="69"/>
      <c r="K402" s="69"/>
      <c r="L402" s="60"/>
    </row>
    <row r="403" spans="1:12">
      <c r="A403" s="68"/>
      <c r="B403" s="69"/>
      <c r="C403" s="69"/>
      <c r="D403" s="69"/>
      <c r="E403" s="69"/>
      <c r="F403" s="69"/>
      <c r="G403" s="69"/>
      <c r="H403" s="69"/>
      <c r="I403" s="69"/>
      <c r="J403" s="69"/>
      <c r="K403" s="69"/>
      <c r="L403" s="60"/>
    </row>
    <row r="404" spans="1:12">
      <c r="A404" s="68"/>
      <c r="B404" s="69"/>
      <c r="C404" s="69"/>
      <c r="D404" s="69"/>
      <c r="E404" s="69"/>
      <c r="F404" s="69"/>
      <c r="G404" s="69"/>
      <c r="H404" s="69"/>
      <c r="I404" s="69"/>
      <c r="J404" s="69"/>
      <c r="K404" s="69"/>
      <c r="L404" s="60"/>
    </row>
    <row r="405" spans="1:12">
      <c r="A405" s="68"/>
      <c r="B405" s="69"/>
      <c r="C405" s="69"/>
      <c r="D405" s="69"/>
      <c r="E405" s="69"/>
      <c r="F405" s="69"/>
      <c r="G405" s="69"/>
      <c r="H405" s="69"/>
      <c r="I405" s="69"/>
      <c r="J405" s="69"/>
      <c r="K405" s="69"/>
      <c r="L405" s="60"/>
    </row>
    <row r="406" spans="1:12">
      <c r="A406" s="68"/>
      <c r="B406" s="69"/>
      <c r="C406" s="69"/>
      <c r="D406" s="69"/>
      <c r="E406" s="69"/>
      <c r="F406" s="69"/>
      <c r="G406" s="69"/>
      <c r="H406" s="69"/>
      <c r="I406" s="69"/>
      <c r="J406" s="69"/>
      <c r="K406" s="69"/>
      <c r="L406" s="60"/>
    </row>
    <row r="407" spans="1:12">
      <c r="A407" s="68"/>
      <c r="B407" s="69"/>
      <c r="C407" s="69"/>
      <c r="D407" s="69"/>
      <c r="E407" s="69"/>
      <c r="F407" s="69"/>
      <c r="G407" s="69"/>
      <c r="H407" s="69"/>
      <c r="I407" s="69"/>
      <c r="J407" s="69"/>
      <c r="K407" s="69"/>
      <c r="L407" s="60"/>
    </row>
    <row r="408" spans="1:12">
      <c r="A408" s="68"/>
      <c r="B408" s="69"/>
      <c r="C408" s="69"/>
      <c r="D408" s="69"/>
      <c r="E408" s="69"/>
      <c r="F408" s="69"/>
      <c r="G408" s="69"/>
      <c r="H408" s="69"/>
      <c r="I408" s="69"/>
      <c r="J408" s="69"/>
      <c r="K408" s="69"/>
      <c r="L408" s="60"/>
    </row>
    <row r="409" spans="1:12">
      <c r="A409" s="68"/>
      <c r="B409" s="69"/>
      <c r="C409" s="69"/>
      <c r="D409" s="69"/>
      <c r="E409" s="69"/>
      <c r="F409" s="69"/>
      <c r="G409" s="69"/>
      <c r="H409" s="69"/>
      <c r="I409" s="69"/>
      <c r="J409" s="69"/>
      <c r="K409" s="69"/>
      <c r="L409" s="60"/>
    </row>
    <row r="410" spans="1:12">
      <c r="A410" s="68"/>
      <c r="B410" s="69"/>
      <c r="C410" s="69"/>
      <c r="D410" s="69"/>
      <c r="E410" s="69"/>
      <c r="F410" s="69"/>
      <c r="G410" s="69"/>
      <c r="H410" s="69"/>
      <c r="I410" s="69"/>
      <c r="J410" s="69"/>
      <c r="K410" s="69"/>
      <c r="L410" s="60"/>
    </row>
    <row r="411" spans="1:12">
      <c r="A411" s="68"/>
      <c r="B411" s="69"/>
      <c r="C411" s="69"/>
      <c r="D411" s="69"/>
      <c r="E411" s="69"/>
      <c r="F411" s="69"/>
      <c r="G411" s="69"/>
      <c r="H411" s="69"/>
      <c r="I411" s="69"/>
      <c r="J411" s="69"/>
      <c r="K411" s="69"/>
      <c r="L411" s="60"/>
    </row>
    <row r="412" spans="1:12">
      <c r="A412" s="68"/>
      <c r="B412" s="69"/>
      <c r="C412" s="69"/>
      <c r="D412" s="69"/>
      <c r="E412" s="69"/>
      <c r="F412" s="69"/>
      <c r="G412" s="69"/>
      <c r="H412" s="69"/>
      <c r="I412" s="69"/>
      <c r="J412" s="69"/>
      <c r="K412" s="69"/>
      <c r="L412" s="60"/>
    </row>
    <row r="413" spans="1:12">
      <c r="A413" s="68"/>
      <c r="B413" s="69"/>
      <c r="C413" s="69"/>
      <c r="D413" s="69"/>
      <c r="E413" s="69"/>
      <c r="F413" s="69"/>
      <c r="G413" s="69"/>
      <c r="H413" s="69"/>
      <c r="I413" s="69"/>
      <c r="J413" s="69"/>
      <c r="K413" s="69"/>
      <c r="L413" s="60"/>
    </row>
    <row r="414" spans="1:12">
      <c r="A414" s="68"/>
      <c r="B414" s="69"/>
      <c r="C414" s="69"/>
      <c r="D414" s="69"/>
      <c r="E414" s="69"/>
      <c r="F414" s="69"/>
      <c r="G414" s="69"/>
      <c r="H414" s="69"/>
      <c r="I414" s="69"/>
      <c r="J414" s="69"/>
      <c r="K414" s="69"/>
      <c r="L414" s="60"/>
    </row>
    <row r="415" spans="1:12">
      <c r="A415" s="68"/>
      <c r="B415" s="69"/>
      <c r="C415" s="69"/>
      <c r="D415" s="69"/>
      <c r="E415" s="69"/>
      <c r="F415" s="69"/>
      <c r="G415" s="69"/>
      <c r="H415" s="69"/>
      <c r="I415" s="69"/>
      <c r="J415" s="69"/>
      <c r="K415" s="69"/>
      <c r="L415" s="60"/>
    </row>
    <row r="416" spans="1:12">
      <c r="A416" s="68"/>
      <c r="B416" s="69"/>
      <c r="C416" s="69"/>
      <c r="D416" s="69"/>
      <c r="E416" s="69"/>
      <c r="F416" s="69"/>
      <c r="G416" s="69"/>
      <c r="H416" s="69"/>
      <c r="I416" s="69"/>
      <c r="J416" s="69"/>
      <c r="K416" s="69"/>
      <c r="L416" s="60"/>
    </row>
    <row r="417" spans="1:12">
      <c r="A417" s="68"/>
      <c r="B417" s="69"/>
      <c r="C417" s="69"/>
      <c r="D417" s="69"/>
      <c r="E417" s="69"/>
      <c r="F417" s="69"/>
      <c r="G417" s="69"/>
      <c r="H417" s="69"/>
      <c r="I417" s="69"/>
      <c r="J417" s="69"/>
      <c r="K417" s="69"/>
      <c r="L417" s="60"/>
    </row>
    <row r="418" spans="1:12">
      <c r="A418" s="68"/>
      <c r="B418" s="69"/>
      <c r="C418" s="69"/>
      <c r="D418" s="69"/>
      <c r="E418" s="69"/>
      <c r="F418" s="69"/>
      <c r="G418" s="69"/>
      <c r="H418" s="69"/>
      <c r="I418" s="69"/>
      <c r="J418" s="69"/>
      <c r="K418" s="69"/>
      <c r="L418" s="60"/>
    </row>
    <row r="419" spans="1:12">
      <c r="A419" s="68"/>
      <c r="B419" s="69"/>
      <c r="C419" s="69"/>
      <c r="D419" s="69"/>
      <c r="E419" s="69"/>
      <c r="F419" s="69"/>
      <c r="G419" s="69"/>
      <c r="H419" s="69"/>
      <c r="I419" s="69"/>
      <c r="J419" s="69"/>
      <c r="K419" s="69"/>
      <c r="L419" s="60"/>
    </row>
    <row r="420" spans="1:12">
      <c r="A420" s="68"/>
      <c r="B420" s="69"/>
      <c r="C420" s="69"/>
      <c r="D420" s="69"/>
      <c r="E420" s="69"/>
      <c r="F420" s="69"/>
      <c r="G420" s="69"/>
      <c r="H420" s="69"/>
      <c r="I420" s="69"/>
      <c r="J420" s="69"/>
      <c r="K420" s="69"/>
      <c r="L420" s="60"/>
    </row>
    <row r="421" spans="1:12">
      <c r="A421" s="68"/>
      <c r="B421" s="69"/>
      <c r="C421" s="69"/>
      <c r="D421" s="69"/>
      <c r="E421" s="69"/>
      <c r="F421" s="69"/>
      <c r="G421" s="69"/>
      <c r="H421" s="69"/>
      <c r="I421" s="69"/>
      <c r="J421" s="69"/>
      <c r="K421" s="69"/>
      <c r="L421" s="60"/>
    </row>
    <row r="422" spans="1:12">
      <c r="A422" s="68"/>
      <c r="B422" s="69"/>
      <c r="C422" s="69"/>
      <c r="D422" s="69"/>
      <c r="E422" s="69"/>
      <c r="F422" s="69"/>
      <c r="G422" s="69"/>
      <c r="H422" s="69"/>
      <c r="I422" s="69"/>
      <c r="J422" s="69"/>
      <c r="K422" s="69"/>
      <c r="L422" s="60"/>
    </row>
    <row r="423" spans="1:12">
      <c r="A423" s="68"/>
      <c r="B423" s="69"/>
      <c r="C423" s="69"/>
      <c r="D423" s="69"/>
      <c r="E423" s="69"/>
      <c r="F423" s="69"/>
      <c r="G423" s="69"/>
      <c r="H423" s="69"/>
      <c r="I423" s="69"/>
      <c r="J423" s="69"/>
      <c r="K423" s="69"/>
      <c r="L423" s="60"/>
    </row>
    <row r="424" spans="1:12">
      <c r="A424" s="68"/>
      <c r="B424" s="69"/>
      <c r="C424" s="69"/>
      <c r="D424" s="69"/>
      <c r="E424" s="69"/>
      <c r="F424" s="69"/>
      <c r="G424" s="69"/>
      <c r="H424" s="69"/>
      <c r="I424" s="69"/>
      <c r="J424" s="69"/>
      <c r="K424" s="69"/>
      <c r="L424" s="60"/>
    </row>
    <row r="425" spans="1:12">
      <c r="A425" s="68"/>
      <c r="B425" s="69"/>
      <c r="C425" s="69"/>
      <c r="D425" s="69"/>
      <c r="E425" s="69"/>
      <c r="F425" s="69"/>
      <c r="G425" s="69"/>
      <c r="H425" s="69"/>
      <c r="I425" s="69"/>
      <c r="J425" s="69"/>
      <c r="K425" s="69"/>
      <c r="L425" s="60"/>
    </row>
    <row r="426" spans="1:12">
      <c r="A426" s="68"/>
      <c r="B426" s="69"/>
      <c r="C426" s="69"/>
      <c r="D426" s="69"/>
      <c r="E426" s="69"/>
      <c r="F426" s="69"/>
      <c r="G426" s="69"/>
      <c r="H426" s="69"/>
      <c r="I426" s="69"/>
      <c r="J426" s="69"/>
      <c r="K426" s="69"/>
      <c r="L426" s="60"/>
    </row>
    <row r="427" spans="1:12">
      <c r="A427" s="68"/>
      <c r="B427" s="69"/>
      <c r="C427" s="69"/>
      <c r="D427" s="69"/>
      <c r="E427" s="69"/>
      <c r="F427" s="69"/>
      <c r="G427" s="69"/>
      <c r="H427" s="69"/>
      <c r="I427" s="69"/>
      <c r="J427" s="69"/>
      <c r="K427" s="69"/>
      <c r="L427" s="60"/>
    </row>
    <row r="428" spans="1:12">
      <c r="A428" s="68"/>
      <c r="B428" s="69"/>
      <c r="C428" s="69"/>
      <c r="D428" s="69"/>
      <c r="E428" s="69"/>
      <c r="F428" s="69"/>
      <c r="G428" s="69"/>
      <c r="H428" s="69"/>
      <c r="I428" s="69"/>
      <c r="J428" s="69"/>
      <c r="K428" s="69"/>
      <c r="L428" s="60"/>
    </row>
    <row r="429" spans="1:12">
      <c r="A429" s="68"/>
      <c r="B429" s="69"/>
      <c r="C429" s="69"/>
      <c r="D429" s="69"/>
      <c r="E429" s="69"/>
      <c r="F429" s="69"/>
      <c r="G429" s="69"/>
      <c r="H429" s="69"/>
      <c r="I429" s="69"/>
      <c r="J429" s="69"/>
      <c r="K429" s="69"/>
      <c r="L429" s="60"/>
    </row>
    <row r="430" spans="1:12">
      <c r="A430" s="68"/>
      <c r="B430" s="69"/>
      <c r="C430" s="69"/>
      <c r="D430" s="69"/>
      <c r="E430" s="69"/>
      <c r="F430" s="69"/>
      <c r="G430" s="69"/>
      <c r="H430" s="69"/>
      <c r="I430" s="69"/>
      <c r="J430" s="69"/>
      <c r="K430" s="69"/>
      <c r="L430" s="60"/>
    </row>
    <row r="431" spans="1:12">
      <c r="A431" s="68"/>
      <c r="B431" s="69"/>
      <c r="C431" s="69"/>
      <c r="D431" s="69"/>
      <c r="E431" s="69"/>
      <c r="F431" s="69"/>
      <c r="G431" s="69"/>
      <c r="H431" s="69"/>
      <c r="I431" s="69"/>
      <c r="J431" s="69"/>
      <c r="K431" s="69"/>
      <c r="L431" s="60"/>
    </row>
    <row r="432" spans="1:12">
      <c r="A432" s="68"/>
      <c r="B432" s="69"/>
      <c r="C432" s="69"/>
      <c r="D432" s="69"/>
      <c r="E432" s="69"/>
      <c r="F432" s="69"/>
      <c r="G432" s="69"/>
      <c r="H432" s="69"/>
      <c r="I432" s="69"/>
      <c r="J432" s="69"/>
      <c r="K432" s="69"/>
      <c r="L432" s="60"/>
    </row>
    <row r="433" spans="1:12">
      <c r="A433" s="68"/>
      <c r="B433" s="69"/>
      <c r="C433" s="69"/>
      <c r="D433" s="69"/>
      <c r="E433" s="69"/>
      <c r="F433" s="69"/>
      <c r="G433" s="69"/>
      <c r="H433" s="69"/>
      <c r="I433" s="69"/>
      <c r="J433" s="69"/>
      <c r="K433" s="69"/>
      <c r="L433" s="60"/>
    </row>
    <row r="434" spans="1:12">
      <c r="A434" s="68"/>
      <c r="B434" s="69"/>
      <c r="C434" s="69"/>
      <c r="D434" s="69"/>
      <c r="E434" s="69"/>
      <c r="F434" s="69"/>
      <c r="G434" s="69"/>
      <c r="H434" s="69"/>
      <c r="I434" s="69"/>
      <c r="J434" s="69"/>
      <c r="K434" s="69"/>
      <c r="L434" s="60"/>
    </row>
    <row r="435" spans="1:12">
      <c r="A435" s="68"/>
      <c r="B435" s="69"/>
      <c r="C435" s="69"/>
      <c r="D435" s="69"/>
      <c r="E435" s="69"/>
      <c r="F435" s="69"/>
      <c r="G435" s="69"/>
      <c r="H435" s="69"/>
      <c r="I435" s="69"/>
      <c r="J435" s="69"/>
      <c r="K435" s="69"/>
      <c r="L435" s="60"/>
    </row>
    <row r="436" spans="1:12">
      <c r="A436" s="68"/>
      <c r="B436" s="69"/>
      <c r="C436" s="69"/>
      <c r="D436" s="69"/>
      <c r="E436" s="69"/>
      <c r="F436" s="69"/>
      <c r="G436" s="69"/>
      <c r="H436" s="69"/>
      <c r="I436" s="69"/>
      <c r="J436" s="69"/>
      <c r="K436" s="69"/>
      <c r="L436" s="60"/>
    </row>
    <row r="437" spans="1:12">
      <c r="A437" s="68"/>
      <c r="B437" s="69"/>
      <c r="C437" s="69"/>
      <c r="D437" s="69"/>
      <c r="E437" s="69"/>
      <c r="F437" s="69"/>
      <c r="G437" s="69"/>
      <c r="H437" s="69"/>
      <c r="I437" s="69"/>
      <c r="J437" s="69"/>
      <c r="K437" s="69"/>
      <c r="L437" s="60"/>
    </row>
    <row r="438" spans="1:12">
      <c r="A438" s="68"/>
      <c r="B438" s="69"/>
      <c r="C438" s="69"/>
      <c r="D438" s="69"/>
      <c r="E438" s="69"/>
      <c r="F438" s="69"/>
      <c r="G438" s="69"/>
      <c r="H438" s="69"/>
      <c r="I438" s="69"/>
      <c r="J438" s="69"/>
      <c r="K438" s="69"/>
      <c r="L438" s="60"/>
    </row>
    <row r="439" spans="1:12">
      <c r="A439" s="68"/>
      <c r="B439" s="69"/>
      <c r="C439" s="69"/>
      <c r="D439" s="69"/>
      <c r="E439" s="69"/>
      <c r="F439" s="69"/>
      <c r="G439" s="69"/>
      <c r="H439" s="69"/>
      <c r="I439" s="69"/>
      <c r="J439" s="69"/>
      <c r="K439" s="69"/>
      <c r="L439" s="60"/>
    </row>
    <row r="440" spans="1:12">
      <c r="A440" s="68"/>
      <c r="B440" s="69"/>
      <c r="C440" s="69"/>
      <c r="D440" s="69"/>
      <c r="E440" s="69"/>
      <c r="F440" s="69"/>
      <c r="G440" s="69"/>
      <c r="H440" s="69"/>
      <c r="I440" s="69"/>
      <c r="J440" s="69"/>
      <c r="K440" s="69"/>
      <c r="L440" s="60"/>
    </row>
    <row r="441" spans="1:12">
      <c r="A441" s="68"/>
      <c r="B441" s="69"/>
      <c r="C441" s="69"/>
      <c r="D441" s="69"/>
      <c r="E441" s="69"/>
      <c r="F441" s="69"/>
      <c r="G441" s="69"/>
      <c r="H441" s="69"/>
      <c r="I441" s="69"/>
      <c r="J441" s="69"/>
      <c r="K441" s="69"/>
      <c r="L441" s="60"/>
    </row>
    <row r="442" spans="1:12">
      <c r="A442" s="68"/>
      <c r="B442" s="69"/>
      <c r="C442" s="69"/>
      <c r="D442" s="69"/>
      <c r="E442" s="69"/>
      <c r="F442" s="69"/>
      <c r="G442" s="69"/>
      <c r="H442" s="69"/>
      <c r="I442" s="69"/>
      <c r="J442" s="69"/>
      <c r="K442" s="69"/>
      <c r="L442" s="60"/>
    </row>
    <row r="443" spans="1:12">
      <c r="A443" s="68"/>
      <c r="B443" s="69"/>
      <c r="C443" s="69"/>
      <c r="D443" s="69"/>
      <c r="E443" s="69"/>
      <c r="F443" s="69"/>
      <c r="G443" s="69"/>
      <c r="H443" s="69"/>
      <c r="I443" s="69"/>
      <c r="J443" s="69"/>
      <c r="K443" s="69"/>
      <c r="L443" s="60"/>
    </row>
    <row r="444" spans="1:12">
      <c r="A444" s="68"/>
      <c r="B444" s="69"/>
      <c r="C444" s="69"/>
      <c r="D444" s="69"/>
      <c r="E444" s="69"/>
      <c r="F444" s="69"/>
      <c r="G444" s="69"/>
      <c r="H444" s="69"/>
      <c r="I444" s="69"/>
      <c r="J444" s="69"/>
      <c r="K444" s="69"/>
      <c r="L444" s="60"/>
    </row>
    <row r="445" spans="1:12">
      <c r="A445" s="68"/>
      <c r="B445" s="69"/>
      <c r="C445" s="69"/>
      <c r="D445" s="69"/>
      <c r="E445" s="69"/>
      <c r="F445" s="69"/>
      <c r="G445" s="69"/>
      <c r="H445" s="69"/>
      <c r="I445" s="69"/>
      <c r="J445" s="69"/>
      <c r="K445" s="69"/>
      <c r="L445" s="60"/>
    </row>
    <row r="446" spans="1:12">
      <c r="A446" s="68"/>
      <c r="B446" s="69"/>
      <c r="C446" s="69"/>
      <c r="D446" s="69"/>
      <c r="E446" s="69"/>
      <c r="F446" s="69"/>
      <c r="G446" s="69"/>
      <c r="H446" s="69"/>
      <c r="I446" s="69"/>
      <c r="J446" s="69"/>
      <c r="K446" s="69"/>
      <c r="L446" s="60"/>
    </row>
    <row r="447" spans="1:12">
      <c r="A447" s="68"/>
      <c r="B447" s="69"/>
      <c r="C447" s="69"/>
      <c r="D447" s="69"/>
      <c r="E447" s="69"/>
      <c r="F447" s="69"/>
      <c r="G447" s="69"/>
      <c r="H447" s="69"/>
      <c r="I447" s="69"/>
      <c r="J447" s="69"/>
      <c r="K447" s="69"/>
      <c r="L447" s="60"/>
    </row>
    <row r="448" spans="1:12">
      <c r="A448" s="68"/>
      <c r="B448" s="69"/>
      <c r="C448" s="69"/>
      <c r="D448" s="69"/>
      <c r="E448" s="69"/>
      <c r="F448" s="69"/>
      <c r="G448" s="69"/>
      <c r="H448" s="69"/>
      <c r="I448" s="69"/>
      <c r="J448" s="69"/>
      <c r="K448" s="69"/>
      <c r="L448" s="60"/>
    </row>
    <row r="449" spans="1:12">
      <c r="A449" s="68"/>
      <c r="B449" s="69"/>
      <c r="C449" s="69"/>
      <c r="D449" s="69"/>
      <c r="E449" s="69"/>
      <c r="F449" s="69"/>
      <c r="G449" s="69"/>
      <c r="H449" s="69"/>
      <c r="I449" s="69"/>
      <c r="J449" s="69"/>
      <c r="K449" s="69"/>
      <c r="L449" s="60"/>
    </row>
    <row r="450" spans="1:12">
      <c r="A450" s="68"/>
      <c r="B450" s="69"/>
      <c r="C450" s="69"/>
      <c r="D450" s="69"/>
      <c r="E450" s="69"/>
      <c r="F450" s="69"/>
      <c r="G450" s="69"/>
      <c r="H450" s="69"/>
      <c r="I450" s="69"/>
      <c r="J450" s="69"/>
      <c r="K450" s="69"/>
      <c r="L450" s="60"/>
    </row>
    <row r="451" spans="1:12">
      <c r="A451" s="68"/>
      <c r="B451" s="69"/>
      <c r="C451" s="69"/>
      <c r="D451" s="69"/>
      <c r="E451" s="69"/>
      <c r="F451" s="69"/>
      <c r="G451" s="69"/>
      <c r="H451" s="69"/>
      <c r="I451" s="69"/>
      <c r="J451" s="69"/>
      <c r="K451" s="69"/>
      <c r="L451" s="60"/>
    </row>
    <row r="452" spans="1:12">
      <c r="A452" s="68"/>
      <c r="B452" s="69"/>
      <c r="C452" s="69"/>
      <c r="D452" s="69"/>
      <c r="E452" s="69"/>
      <c r="F452" s="69"/>
      <c r="G452" s="69"/>
      <c r="H452" s="69"/>
      <c r="I452" s="69"/>
      <c r="J452" s="69"/>
      <c r="K452" s="69"/>
      <c r="L452" s="60"/>
    </row>
    <row r="453" spans="1:12">
      <c r="A453" s="68"/>
      <c r="B453" s="69"/>
      <c r="C453" s="69"/>
      <c r="D453" s="69"/>
      <c r="E453" s="69"/>
      <c r="F453" s="69"/>
      <c r="G453" s="69"/>
      <c r="H453" s="69"/>
      <c r="I453" s="69"/>
      <c r="J453" s="69"/>
      <c r="K453" s="69"/>
      <c r="L453" s="60"/>
    </row>
    <row r="454" spans="1:12">
      <c r="A454" s="68"/>
      <c r="B454" s="69"/>
      <c r="C454" s="69"/>
      <c r="D454" s="69"/>
      <c r="E454" s="69"/>
      <c r="F454" s="69"/>
      <c r="G454" s="69"/>
      <c r="H454" s="69"/>
      <c r="I454" s="69"/>
      <c r="J454" s="69"/>
      <c r="K454" s="69"/>
      <c r="L454" s="60"/>
    </row>
    <row r="455" spans="1:12">
      <c r="A455" s="68"/>
      <c r="B455" s="69"/>
      <c r="C455" s="69"/>
      <c r="D455" s="69"/>
      <c r="E455" s="69"/>
      <c r="F455" s="69"/>
      <c r="G455" s="69"/>
      <c r="H455" s="69"/>
      <c r="I455" s="69"/>
      <c r="J455" s="69"/>
      <c r="K455" s="69"/>
      <c r="L455" s="60"/>
    </row>
    <row r="456" spans="1:12">
      <c r="A456" s="68"/>
      <c r="B456" s="69"/>
      <c r="C456" s="69"/>
      <c r="D456" s="69"/>
      <c r="E456" s="69"/>
      <c r="F456" s="69"/>
      <c r="G456" s="69"/>
      <c r="H456" s="69"/>
      <c r="I456" s="69"/>
      <c r="J456" s="69"/>
      <c r="K456" s="69"/>
      <c r="L456" s="60"/>
    </row>
    <row r="457" spans="1:12">
      <c r="A457" s="68"/>
      <c r="B457" s="69"/>
      <c r="C457" s="69"/>
      <c r="D457" s="69"/>
      <c r="E457" s="69"/>
      <c r="F457" s="69"/>
      <c r="G457" s="69"/>
      <c r="H457" s="69"/>
      <c r="I457" s="69"/>
      <c r="J457" s="69"/>
      <c r="K457" s="69"/>
      <c r="L457" s="60"/>
    </row>
    <row r="458" spans="1:12">
      <c r="A458" s="68"/>
      <c r="B458" s="69"/>
      <c r="C458" s="69"/>
      <c r="D458" s="69"/>
      <c r="E458" s="69"/>
      <c r="F458" s="69"/>
      <c r="G458" s="69"/>
      <c r="H458" s="69"/>
      <c r="I458" s="69"/>
      <c r="J458" s="69"/>
      <c r="K458" s="69"/>
      <c r="L458" s="60"/>
    </row>
    <row r="459" spans="1:12">
      <c r="A459" s="68"/>
      <c r="B459" s="69"/>
      <c r="C459" s="69"/>
      <c r="D459" s="69"/>
      <c r="E459" s="69"/>
      <c r="F459" s="69"/>
      <c r="G459" s="69"/>
      <c r="H459" s="69"/>
      <c r="I459" s="69"/>
      <c r="J459" s="69"/>
      <c r="K459" s="69"/>
      <c r="L459" s="60"/>
    </row>
    <row r="460" spans="1:12">
      <c r="A460" s="68"/>
      <c r="B460" s="69"/>
      <c r="C460" s="69"/>
      <c r="D460" s="69"/>
      <c r="E460" s="69"/>
      <c r="F460" s="69"/>
      <c r="G460" s="69"/>
      <c r="H460" s="69"/>
      <c r="I460" s="69"/>
      <c r="J460" s="69"/>
      <c r="K460" s="69"/>
      <c r="L460" s="60"/>
    </row>
    <row r="461" spans="1:12">
      <c r="A461" s="68"/>
      <c r="B461" s="69"/>
      <c r="C461" s="69"/>
      <c r="D461" s="69"/>
      <c r="E461" s="69"/>
      <c r="F461" s="69"/>
      <c r="G461" s="69"/>
      <c r="H461" s="69"/>
      <c r="I461" s="69"/>
      <c r="J461" s="69"/>
      <c r="K461" s="69"/>
      <c r="L461" s="60"/>
    </row>
    <row r="462" spans="1:12">
      <c r="A462" s="68"/>
      <c r="B462" s="69"/>
      <c r="C462" s="69"/>
      <c r="D462" s="69"/>
      <c r="E462" s="69"/>
      <c r="F462" s="69"/>
      <c r="G462" s="69"/>
      <c r="H462" s="69"/>
      <c r="I462" s="69"/>
      <c r="J462" s="69"/>
      <c r="K462" s="69"/>
      <c r="L462" s="60"/>
    </row>
    <row r="463" spans="1:12">
      <c r="A463" s="68"/>
      <c r="B463" s="69"/>
      <c r="C463" s="69"/>
      <c r="D463" s="69"/>
      <c r="E463" s="69"/>
      <c r="F463" s="69"/>
      <c r="G463" s="69"/>
      <c r="H463" s="69"/>
      <c r="I463" s="69"/>
      <c r="J463" s="69"/>
      <c r="K463" s="69"/>
      <c r="L463" s="60"/>
    </row>
    <row r="464" spans="1:12">
      <c r="A464" s="68"/>
      <c r="B464" s="69"/>
      <c r="C464" s="69"/>
      <c r="D464" s="69"/>
      <c r="E464" s="69"/>
      <c r="F464" s="69"/>
      <c r="G464" s="69"/>
      <c r="H464" s="69"/>
      <c r="I464" s="69"/>
      <c r="J464" s="69"/>
      <c r="K464" s="69"/>
      <c r="L464" s="60"/>
    </row>
    <row r="465" spans="1:12">
      <c r="A465" s="68"/>
      <c r="B465" s="69"/>
      <c r="C465" s="69"/>
      <c r="D465" s="69"/>
      <c r="E465" s="69"/>
      <c r="F465" s="69"/>
      <c r="G465" s="69"/>
      <c r="H465" s="69"/>
      <c r="I465" s="69"/>
      <c r="J465" s="69"/>
      <c r="K465" s="69"/>
      <c r="L465" s="60"/>
    </row>
    <row r="466" spans="1:12">
      <c r="A466" s="68"/>
      <c r="B466" s="69"/>
      <c r="C466" s="69"/>
      <c r="D466" s="69"/>
      <c r="E466" s="69"/>
      <c r="F466" s="69"/>
      <c r="G466" s="69"/>
      <c r="H466" s="69"/>
      <c r="I466" s="69"/>
      <c r="J466" s="69"/>
      <c r="K466" s="69"/>
      <c r="L466" s="60"/>
    </row>
    <row r="467" spans="1:12">
      <c r="A467" s="68"/>
      <c r="B467" s="69"/>
      <c r="C467" s="69"/>
      <c r="D467" s="69"/>
      <c r="E467" s="69"/>
      <c r="F467" s="69"/>
      <c r="G467" s="69"/>
      <c r="H467" s="69"/>
      <c r="I467" s="69"/>
      <c r="J467" s="69"/>
      <c r="K467" s="69"/>
      <c r="L467" s="60"/>
    </row>
    <row r="468" spans="1:12">
      <c r="A468" s="68"/>
      <c r="B468" s="69"/>
      <c r="C468" s="69"/>
      <c r="D468" s="69"/>
      <c r="E468" s="69"/>
      <c r="F468" s="69"/>
      <c r="G468" s="69"/>
      <c r="H468" s="69"/>
      <c r="I468" s="69"/>
      <c r="J468" s="69"/>
      <c r="K468" s="69"/>
      <c r="L468" s="60"/>
    </row>
    <row r="469" spans="1:12">
      <c r="A469" s="68"/>
      <c r="B469" s="69"/>
      <c r="C469" s="69"/>
      <c r="D469" s="69"/>
      <c r="E469" s="69"/>
      <c r="F469" s="69"/>
      <c r="G469" s="69"/>
      <c r="H469" s="69"/>
      <c r="I469" s="69"/>
      <c r="J469" s="69"/>
      <c r="K469" s="69"/>
      <c r="L469" s="60"/>
    </row>
    <row r="470" spans="1:12">
      <c r="A470" s="68"/>
      <c r="B470" s="69"/>
      <c r="C470" s="69"/>
      <c r="D470" s="69"/>
      <c r="E470" s="69"/>
      <c r="F470" s="69"/>
      <c r="G470" s="69"/>
      <c r="H470" s="69"/>
      <c r="I470" s="69"/>
      <c r="J470" s="69"/>
      <c r="K470" s="69"/>
      <c r="L470" s="60"/>
    </row>
    <row r="471" spans="1:12">
      <c r="A471" s="68"/>
      <c r="B471" s="69"/>
      <c r="C471" s="69"/>
      <c r="D471" s="69"/>
      <c r="E471" s="69"/>
      <c r="F471" s="69"/>
      <c r="G471" s="69"/>
      <c r="H471" s="69"/>
      <c r="I471" s="69"/>
      <c r="J471" s="69"/>
      <c r="K471" s="69"/>
      <c r="L471" s="60"/>
    </row>
    <row r="472" spans="1:12">
      <c r="A472" s="68"/>
      <c r="B472" s="69"/>
      <c r="C472" s="69"/>
      <c r="D472" s="69"/>
      <c r="E472" s="69"/>
      <c r="F472" s="69"/>
      <c r="G472" s="69"/>
      <c r="H472" s="69"/>
      <c r="I472" s="69"/>
      <c r="J472" s="69"/>
      <c r="K472" s="69"/>
      <c r="L472" s="60"/>
    </row>
    <row r="473" spans="1:12">
      <c r="A473" s="68"/>
      <c r="B473" s="69"/>
      <c r="C473" s="69"/>
      <c r="D473" s="69"/>
      <c r="E473" s="69"/>
      <c r="F473" s="69"/>
      <c r="G473" s="69"/>
      <c r="H473" s="69"/>
      <c r="I473" s="69"/>
      <c r="J473" s="69"/>
      <c r="K473" s="69"/>
      <c r="L473" s="60"/>
    </row>
    <row r="474" spans="1:12">
      <c r="A474" s="68"/>
      <c r="B474" s="69"/>
      <c r="C474" s="69"/>
      <c r="D474" s="69"/>
      <c r="E474" s="69"/>
      <c r="F474" s="69"/>
      <c r="G474" s="69"/>
      <c r="H474" s="69"/>
      <c r="I474" s="69"/>
      <c r="J474" s="69"/>
      <c r="K474" s="69"/>
      <c r="L474" s="60"/>
    </row>
    <row r="475" spans="1:12">
      <c r="A475" s="68"/>
      <c r="B475" s="69"/>
      <c r="C475" s="69"/>
      <c r="D475" s="69"/>
      <c r="E475" s="69"/>
      <c r="F475" s="69"/>
      <c r="G475" s="69"/>
      <c r="H475" s="69"/>
      <c r="I475" s="69"/>
      <c r="J475" s="69"/>
      <c r="K475" s="69"/>
      <c r="L475" s="60"/>
    </row>
    <row r="476" spans="1:12">
      <c r="A476" s="68"/>
      <c r="B476" s="69"/>
      <c r="C476" s="69"/>
      <c r="D476" s="69"/>
      <c r="E476" s="69"/>
      <c r="F476" s="69"/>
      <c r="G476" s="69"/>
      <c r="H476" s="69"/>
      <c r="I476" s="69"/>
      <c r="J476" s="69"/>
      <c r="K476" s="69"/>
      <c r="L476" s="60"/>
    </row>
    <row r="477" spans="1:12">
      <c r="A477" s="68"/>
      <c r="B477" s="69"/>
      <c r="C477" s="69"/>
      <c r="D477" s="69"/>
      <c r="E477" s="69"/>
      <c r="F477" s="69"/>
      <c r="G477" s="69"/>
      <c r="H477" s="69"/>
      <c r="I477" s="69"/>
      <c r="J477" s="69"/>
      <c r="K477" s="69"/>
      <c r="L477" s="60"/>
    </row>
    <row r="478" spans="1:12">
      <c r="A478" s="68"/>
      <c r="B478" s="69"/>
      <c r="C478" s="69"/>
      <c r="D478" s="69"/>
      <c r="E478" s="69"/>
      <c r="F478" s="69"/>
      <c r="G478" s="69"/>
      <c r="H478" s="69"/>
      <c r="I478" s="69"/>
      <c r="J478" s="69"/>
      <c r="K478" s="69"/>
      <c r="L478" s="60"/>
    </row>
    <row r="479" spans="1:12">
      <c r="A479" s="68"/>
      <c r="B479" s="69"/>
      <c r="C479" s="69"/>
      <c r="D479" s="69"/>
      <c r="E479" s="69"/>
      <c r="F479" s="69"/>
      <c r="G479" s="69"/>
      <c r="H479" s="69"/>
      <c r="I479" s="69"/>
      <c r="J479" s="69"/>
      <c r="K479" s="69"/>
      <c r="L479" s="60"/>
    </row>
    <row r="480" spans="1:12">
      <c r="A480" s="68"/>
      <c r="B480" s="69"/>
      <c r="C480" s="69"/>
      <c r="D480" s="69"/>
      <c r="E480" s="69"/>
      <c r="F480" s="69"/>
      <c r="G480" s="69"/>
      <c r="H480" s="69"/>
      <c r="I480" s="69"/>
      <c r="J480" s="69"/>
      <c r="K480" s="69"/>
      <c r="L480" s="60"/>
    </row>
    <row r="481" spans="1:12">
      <c r="A481" s="68"/>
      <c r="B481" s="69"/>
      <c r="C481" s="69"/>
      <c r="D481" s="69"/>
      <c r="E481" s="69"/>
      <c r="F481" s="69"/>
      <c r="G481" s="69"/>
      <c r="H481" s="69"/>
      <c r="I481" s="69"/>
      <c r="J481" s="69"/>
      <c r="K481" s="69"/>
      <c r="L481" s="60"/>
    </row>
    <row r="482" spans="1:12">
      <c r="A482" s="68"/>
      <c r="B482" s="69"/>
      <c r="C482" s="69"/>
      <c r="D482" s="69"/>
      <c r="E482" s="69"/>
      <c r="F482" s="69"/>
      <c r="G482" s="69"/>
      <c r="H482" s="69"/>
      <c r="I482" s="69"/>
      <c r="J482" s="69"/>
      <c r="K482" s="69"/>
      <c r="L482" s="60"/>
    </row>
    <row r="483" spans="1:12">
      <c r="A483" s="68"/>
      <c r="B483" s="69"/>
      <c r="C483" s="69"/>
      <c r="D483" s="69"/>
      <c r="E483" s="69"/>
      <c r="F483" s="69"/>
      <c r="G483" s="69"/>
      <c r="H483" s="69"/>
      <c r="I483" s="69"/>
      <c r="J483" s="69"/>
      <c r="K483" s="69"/>
      <c r="L483" s="60"/>
    </row>
    <row r="484" spans="1:12">
      <c r="A484" s="68"/>
      <c r="B484" s="69"/>
      <c r="C484" s="69"/>
      <c r="D484" s="69"/>
      <c r="E484" s="69"/>
      <c r="F484" s="69"/>
      <c r="G484" s="69"/>
      <c r="H484" s="69"/>
      <c r="I484" s="69"/>
      <c r="J484" s="69"/>
      <c r="K484" s="69"/>
      <c r="L484" s="60"/>
    </row>
    <row r="485" spans="1:12">
      <c r="A485" s="68"/>
      <c r="B485" s="69"/>
      <c r="C485" s="69"/>
      <c r="D485" s="69"/>
      <c r="E485" s="69"/>
      <c r="F485" s="69"/>
      <c r="G485" s="69"/>
      <c r="H485" s="69"/>
      <c r="I485" s="69"/>
      <c r="J485" s="69"/>
      <c r="K485" s="69"/>
      <c r="L485" s="60"/>
    </row>
    <row r="486" spans="1:12">
      <c r="A486" s="68"/>
      <c r="B486" s="69"/>
      <c r="C486" s="69"/>
      <c r="D486" s="69"/>
      <c r="E486" s="69"/>
      <c r="F486" s="69"/>
      <c r="G486" s="69"/>
      <c r="H486" s="69"/>
      <c r="I486" s="69"/>
      <c r="J486" s="69"/>
      <c r="K486" s="69"/>
      <c r="L486" s="60"/>
    </row>
    <row r="487" spans="1:12">
      <c r="A487" s="68"/>
      <c r="B487" s="69"/>
      <c r="C487" s="69"/>
      <c r="D487" s="69"/>
      <c r="E487" s="69"/>
      <c r="F487" s="69"/>
      <c r="G487" s="69"/>
      <c r="H487" s="69"/>
      <c r="I487" s="69"/>
      <c r="J487" s="69"/>
      <c r="K487" s="69"/>
      <c r="L487" s="60"/>
    </row>
    <row r="488" spans="1:12">
      <c r="A488" s="68"/>
      <c r="B488" s="69"/>
      <c r="C488" s="69"/>
      <c r="D488" s="69"/>
      <c r="E488" s="69"/>
      <c r="F488" s="69"/>
      <c r="G488" s="69"/>
      <c r="H488" s="69"/>
      <c r="I488" s="69"/>
      <c r="J488" s="69"/>
      <c r="K488" s="69"/>
      <c r="L488" s="60"/>
    </row>
    <row r="489" spans="1:12">
      <c r="A489" s="68"/>
      <c r="B489" s="69"/>
      <c r="C489" s="69"/>
      <c r="D489" s="69"/>
      <c r="E489" s="69"/>
      <c r="F489" s="69"/>
      <c r="G489" s="69"/>
      <c r="H489" s="69"/>
      <c r="I489" s="69"/>
      <c r="J489" s="69"/>
      <c r="K489" s="69"/>
      <c r="L489" s="60"/>
    </row>
    <row r="490" spans="1:12">
      <c r="A490" s="68"/>
      <c r="B490" s="69"/>
      <c r="C490" s="69"/>
      <c r="D490" s="69"/>
      <c r="E490" s="69"/>
      <c r="F490" s="69"/>
      <c r="G490" s="69"/>
      <c r="H490" s="69"/>
      <c r="I490" s="69"/>
      <c r="J490" s="69"/>
      <c r="K490" s="69"/>
      <c r="L490" s="60"/>
    </row>
    <row r="491" spans="1:12">
      <c r="A491" s="68"/>
      <c r="B491" s="69"/>
      <c r="C491" s="69"/>
      <c r="D491" s="69"/>
      <c r="E491" s="69"/>
      <c r="F491" s="69"/>
      <c r="G491" s="69"/>
      <c r="H491" s="69"/>
      <c r="I491" s="69"/>
      <c r="J491" s="69"/>
      <c r="K491" s="69"/>
      <c r="L491" s="60"/>
    </row>
    <row r="492" spans="1:12">
      <c r="A492" s="68"/>
      <c r="B492" s="69"/>
      <c r="C492" s="69"/>
      <c r="D492" s="69"/>
      <c r="E492" s="69"/>
      <c r="F492" s="69"/>
      <c r="G492" s="69"/>
      <c r="H492" s="69"/>
      <c r="I492" s="69"/>
      <c r="J492" s="69"/>
      <c r="K492" s="69"/>
      <c r="L492" s="60"/>
    </row>
    <row r="493" spans="1:12">
      <c r="A493" s="68"/>
      <c r="B493" s="69"/>
      <c r="C493" s="69"/>
      <c r="D493" s="69"/>
      <c r="E493" s="69"/>
      <c r="F493" s="69"/>
      <c r="G493" s="69"/>
      <c r="H493" s="69"/>
      <c r="I493" s="69"/>
      <c r="J493" s="69"/>
      <c r="K493" s="69"/>
      <c r="L493" s="60"/>
    </row>
    <row r="494" spans="1:12">
      <c r="A494" s="68"/>
      <c r="B494" s="69"/>
      <c r="C494" s="69"/>
      <c r="D494" s="69"/>
      <c r="E494" s="69"/>
      <c r="F494" s="69"/>
      <c r="G494" s="69"/>
      <c r="H494" s="69"/>
      <c r="I494" s="69"/>
      <c r="J494" s="69"/>
      <c r="K494" s="69"/>
      <c r="L494" s="60"/>
    </row>
    <row r="495" spans="1:12">
      <c r="A495" s="68"/>
      <c r="B495" s="69"/>
      <c r="C495" s="69"/>
      <c r="D495" s="69"/>
      <c r="E495" s="69"/>
      <c r="F495" s="69"/>
      <c r="G495" s="69"/>
      <c r="H495" s="69"/>
      <c r="I495" s="69"/>
      <c r="J495" s="69"/>
      <c r="K495" s="69"/>
      <c r="L495" s="60"/>
    </row>
    <row r="496" spans="1:12">
      <c r="A496" s="68"/>
      <c r="B496" s="69"/>
      <c r="C496" s="69"/>
      <c r="D496" s="69"/>
      <c r="E496" s="69"/>
      <c r="F496" s="69"/>
      <c r="G496" s="69"/>
      <c r="H496" s="69"/>
      <c r="I496" s="69"/>
      <c r="J496" s="69"/>
      <c r="K496" s="69"/>
      <c r="L496" s="60"/>
    </row>
    <row r="497" spans="1:12">
      <c r="A497" s="68"/>
      <c r="B497" s="69"/>
      <c r="C497" s="69"/>
      <c r="D497" s="69"/>
      <c r="E497" s="69"/>
      <c r="F497" s="69"/>
      <c r="G497" s="69"/>
      <c r="H497" s="69"/>
      <c r="I497" s="69"/>
      <c r="J497" s="69"/>
      <c r="K497" s="69"/>
      <c r="L497" s="60"/>
    </row>
    <row r="498" spans="1:12">
      <c r="A498" s="68"/>
      <c r="B498" s="69"/>
      <c r="C498" s="69"/>
      <c r="D498" s="69"/>
      <c r="E498" s="69"/>
      <c r="F498" s="69"/>
      <c r="G498" s="69"/>
      <c r="H498" s="69"/>
      <c r="I498" s="69"/>
      <c r="J498" s="69"/>
      <c r="K498" s="69"/>
      <c r="L498" s="60"/>
    </row>
    <row r="499" spans="1:12">
      <c r="A499" s="68"/>
      <c r="B499" s="69"/>
      <c r="C499" s="69"/>
      <c r="D499" s="69"/>
      <c r="E499" s="69"/>
      <c r="F499" s="69"/>
      <c r="G499" s="69"/>
      <c r="H499" s="69"/>
      <c r="I499" s="69"/>
      <c r="J499" s="69"/>
      <c r="K499" s="69"/>
      <c r="L499" s="60"/>
    </row>
    <row r="500" spans="1:12">
      <c r="A500" s="68"/>
      <c r="B500" s="69"/>
      <c r="C500" s="69"/>
      <c r="D500" s="69"/>
      <c r="E500" s="69"/>
      <c r="F500" s="69"/>
      <c r="G500" s="69"/>
      <c r="H500" s="69"/>
      <c r="I500" s="69"/>
      <c r="J500" s="69"/>
      <c r="K500" s="69"/>
      <c r="L500" s="60"/>
    </row>
    <row r="501" spans="1:12">
      <c r="A501" s="68"/>
      <c r="B501" s="69"/>
      <c r="C501" s="69"/>
      <c r="D501" s="69"/>
      <c r="E501" s="69"/>
      <c r="F501" s="69"/>
      <c r="G501" s="69"/>
      <c r="H501" s="69"/>
      <c r="I501" s="69"/>
      <c r="J501" s="69"/>
      <c r="K501" s="69"/>
      <c r="L501" s="60"/>
    </row>
    <row r="502" spans="1:12">
      <c r="A502" s="68"/>
      <c r="B502" s="69"/>
      <c r="C502" s="69"/>
      <c r="D502" s="69"/>
      <c r="E502" s="69"/>
      <c r="F502" s="69"/>
      <c r="G502" s="69"/>
      <c r="H502" s="69"/>
      <c r="I502" s="69"/>
      <c r="J502" s="69"/>
      <c r="K502" s="69"/>
      <c r="L502" s="60"/>
    </row>
    <row r="503" spans="1:12">
      <c r="A503" s="68"/>
      <c r="B503" s="69"/>
      <c r="C503" s="69"/>
      <c r="D503" s="69"/>
      <c r="E503" s="69"/>
      <c r="F503" s="69"/>
      <c r="G503" s="69"/>
      <c r="H503" s="69"/>
      <c r="I503" s="69"/>
      <c r="J503" s="69"/>
      <c r="K503" s="69"/>
      <c r="L503" s="60"/>
    </row>
    <row r="504" spans="1:12">
      <c r="A504" s="68"/>
      <c r="B504" s="69"/>
      <c r="C504" s="69"/>
      <c r="D504" s="69"/>
      <c r="E504" s="69"/>
      <c r="F504" s="69"/>
      <c r="G504" s="69"/>
      <c r="H504" s="69"/>
      <c r="I504" s="69"/>
      <c r="J504" s="69"/>
      <c r="K504" s="69"/>
      <c r="L504" s="60"/>
    </row>
    <row r="505" spans="1:12">
      <c r="A505" s="68"/>
      <c r="B505" s="69"/>
      <c r="C505" s="69"/>
      <c r="D505" s="69"/>
      <c r="E505" s="69"/>
      <c r="F505" s="69"/>
      <c r="G505" s="69"/>
      <c r="H505" s="69"/>
      <c r="I505" s="69"/>
      <c r="J505" s="69"/>
      <c r="K505" s="69"/>
      <c r="L505" s="60"/>
    </row>
    <row r="506" spans="1:12">
      <c r="A506" s="68"/>
      <c r="B506" s="69"/>
      <c r="C506" s="69"/>
      <c r="D506" s="69"/>
      <c r="E506" s="69"/>
      <c r="F506" s="69"/>
      <c r="G506" s="69"/>
      <c r="H506" s="69"/>
      <c r="I506" s="69"/>
      <c r="J506" s="69"/>
      <c r="K506" s="69"/>
      <c r="L506" s="60"/>
    </row>
    <row r="507" spans="1:12">
      <c r="A507" s="68"/>
      <c r="B507" s="69"/>
      <c r="C507" s="69"/>
      <c r="D507" s="69"/>
      <c r="E507" s="69"/>
      <c r="F507" s="69"/>
      <c r="G507" s="69"/>
      <c r="H507" s="69"/>
      <c r="I507" s="69"/>
      <c r="J507" s="69"/>
      <c r="K507" s="69"/>
      <c r="L507" s="60"/>
    </row>
    <row r="508" spans="1:12">
      <c r="A508" s="68"/>
      <c r="B508" s="69"/>
      <c r="C508" s="69"/>
      <c r="D508" s="69"/>
      <c r="E508" s="69"/>
      <c r="F508" s="69"/>
      <c r="G508" s="69"/>
      <c r="H508" s="69"/>
      <c r="I508" s="69"/>
      <c r="J508" s="69"/>
      <c r="K508" s="69"/>
      <c r="L508" s="60"/>
    </row>
    <row r="509" spans="1:12">
      <c r="A509" s="68"/>
      <c r="B509" s="69"/>
      <c r="C509" s="69"/>
      <c r="D509" s="69"/>
      <c r="E509" s="69"/>
      <c r="F509" s="69"/>
      <c r="G509" s="69"/>
      <c r="H509" s="69"/>
      <c r="I509" s="69"/>
      <c r="J509" s="69"/>
      <c r="K509" s="69"/>
      <c r="L509" s="60"/>
    </row>
    <row r="510" spans="1:12">
      <c r="A510" s="68"/>
      <c r="B510" s="69"/>
      <c r="C510" s="69"/>
      <c r="D510" s="69"/>
      <c r="E510" s="69"/>
      <c r="F510" s="69"/>
      <c r="G510" s="69"/>
      <c r="H510" s="69"/>
      <c r="I510" s="69"/>
      <c r="J510" s="69"/>
      <c r="K510" s="69"/>
      <c r="L510" s="60"/>
    </row>
    <row r="511" spans="1:12">
      <c r="A511" s="68"/>
      <c r="B511" s="69"/>
      <c r="C511" s="69"/>
      <c r="D511" s="69"/>
      <c r="E511" s="69"/>
      <c r="F511" s="69"/>
      <c r="G511" s="69"/>
      <c r="H511" s="69"/>
      <c r="I511" s="69"/>
      <c r="J511" s="69"/>
      <c r="K511" s="69"/>
      <c r="L511" s="60"/>
    </row>
    <row r="512" spans="1:12">
      <c r="A512" s="68"/>
      <c r="B512" s="69"/>
      <c r="C512" s="69"/>
      <c r="D512" s="69"/>
      <c r="E512" s="69"/>
      <c r="F512" s="69"/>
      <c r="G512" s="69"/>
      <c r="H512" s="69"/>
      <c r="I512" s="69"/>
      <c r="J512" s="69"/>
      <c r="K512" s="69"/>
      <c r="L512" s="60"/>
    </row>
    <row r="513" spans="1:12">
      <c r="A513" s="68"/>
      <c r="B513" s="69"/>
      <c r="C513" s="69"/>
      <c r="D513" s="69"/>
      <c r="E513" s="69"/>
      <c r="F513" s="69"/>
      <c r="G513" s="69"/>
      <c r="H513" s="69"/>
      <c r="I513" s="69"/>
      <c r="J513" s="69"/>
      <c r="K513" s="69"/>
      <c r="L513" s="60"/>
    </row>
    <row r="514" spans="1:12">
      <c r="A514" s="68"/>
      <c r="B514" s="69"/>
      <c r="C514" s="69"/>
      <c r="D514" s="69"/>
      <c r="E514" s="69"/>
      <c r="F514" s="69"/>
      <c r="G514" s="69"/>
      <c r="H514" s="69"/>
      <c r="I514" s="69"/>
      <c r="J514" s="69"/>
      <c r="K514" s="69"/>
      <c r="L514" s="60"/>
    </row>
    <row r="515" spans="1:12">
      <c r="A515" s="68"/>
      <c r="B515" s="69"/>
      <c r="C515" s="69"/>
      <c r="D515" s="69"/>
      <c r="E515" s="69"/>
      <c r="F515" s="69"/>
      <c r="G515" s="69"/>
      <c r="H515" s="69"/>
      <c r="I515" s="69"/>
      <c r="J515" s="69"/>
      <c r="K515" s="69"/>
      <c r="L515" s="60"/>
    </row>
    <row r="516" spans="1:12">
      <c r="A516" s="68"/>
      <c r="B516" s="69"/>
      <c r="C516" s="69"/>
      <c r="D516" s="69"/>
      <c r="E516" s="69"/>
      <c r="F516" s="69"/>
      <c r="G516" s="69"/>
      <c r="H516" s="69"/>
      <c r="I516" s="69"/>
      <c r="J516" s="69"/>
      <c r="K516" s="69"/>
      <c r="L516" s="60"/>
    </row>
    <row r="517" spans="1:12">
      <c r="A517" s="68"/>
      <c r="B517" s="69"/>
      <c r="C517" s="69"/>
      <c r="D517" s="69"/>
      <c r="E517" s="69"/>
      <c r="F517" s="69"/>
      <c r="G517" s="69"/>
      <c r="H517" s="69"/>
      <c r="I517" s="69"/>
      <c r="J517" s="69"/>
      <c r="K517" s="69"/>
      <c r="L517" s="60"/>
    </row>
    <row r="518" spans="1:12">
      <c r="A518" s="68"/>
      <c r="B518" s="69"/>
      <c r="C518" s="69"/>
      <c r="D518" s="69"/>
      <c r="E518" s="69"/>
      <c r="F518" s="69"/>
      <c r="G518" s="69"/>
      <c r="H518" s="69"/>
      <c r="I518" s="69"/>
      <c r="J518" s="69"/>
      <c r="K518" s="69"/>
      <c r="L518" s="60"/>
    </row>
    <row r="519" spans="1:12">
      <c r="A519" s="68"/>
      <c r="B519" s="69"/>
      <c r="C519" s="69"/>
      <c r="D519" s="69"/>
      <c r="E519" s="69"/>
      <c r="F519" s="69"/>
      <c r="G519" s="69"/>
      <c r="H519" s="69"/>
      <c r="I519" s="69"/>
      <c r="J519" s="69"/>
      <c r="K519" s="69"/>
      <c r="L519" s="60"/>
    </row>
    <row r="520" spans="1:12">
      <c r="A520" s="68"/>
      <c r="B520" s="69"/>
      <c r="C520" s="69"/>
      <c r="D520" s="69"/>
      <c r="E520" s="69"/>
      <c r="F520" s="69"/>
      <c r="G520" s="69"/>
      <c r="H520" s="69"/>
      <c r="I520" s="69"/>
      <c r="J520" s="69"/>
      <c r="K520" s="69"/>
      <c r="L520" s="60"/>
    </row>
    <row r="521" spans="1:12">
      <c r="A521" s="68"/>
      <c r="B521" s="69"/>
      <c r="C521" s="69"/>
      <c r="D521" s="69"/>
      <c r="E521" s="69"/>
      <c r="F521" s="69"/>
      <c r="G521" s="69"/>
      <c r="H521" s="69"/>
      <c r="I521" s="69"/>
      <c r="J521" s="69"/>
      <c r="K521" s="69"/>
      <c r="L521" s="60"/>
    </row>
    <row r="522" spans="1:12">
      <c r="A522" s="68"/>
      <c r="B522" s="69"/>
      <c r="C522" s="69"/>
      <c r="D522" s="69"/>
      <c r="E522" s="69"/>
      <c r="F522" s="69"/>
      <c r="G522" s="69"/>
      <c r="H522" s="69"/>
      <c r="I522" s="69"/>
      <c r="J522" s="69"/>
      <c r="K522" s="69"/>
      <c r="L522" s="60"/>
    </row>
    <row r="523" spans="1:12">
      <c r="A523" s="68"/>
      <c r="B523" s="69"/>
      <c r="C523" s="69"/>
      <c r="D523" s="69"/>
      <c r="E523" s="69"/>
      <c r="F523" s="69"/>
      <c r="G523" s="69"/>
      <c r="H523" s="69"/>
      <c r="I523" s="69"/>
      <c r="J523" s="69"/>
      <c r="K523" s="69"/>
      <c r="L523" s="60"/>
    </row>
    <row r="524" spans="1:12">
      <c r="A524" s="68"/>
      <c r="B524" s="69"/>
      <c r="C524" s="69"/>
      <c r="D524" s="69"/>
      <c r="E524" s="69"/>
      <c r="F524" s="69"/>
      <c r="G524" s="69"/>
      <c r="H524" s="69"/>
      <c r="I524" s="69"/>
      <c r="J524" s="69"/>
      <c r="K524" s="69"/>
      <c r="L524" s="60"/>
    </row>
    <row r="525" spans="1:12">
      <c r="A525" s="68"/>
      <c r="B525" s="69"/>
      <c r="C525" s="69"/>
      <c r="D525" s="69"/>
      <c r="E525" s="69"/>
      <c r="F525" s="69"/>
      <c r="G525" s="69"/>
      <c r="H525" s="69"/>
      <c r="I525" s="69"/>
      <c r="J525" s="69"/>
      <c r="K525" s="69"/>
      <c r="L525" s="60"/>
    </row>
    <row r="526" spans="1:12">
      <c r="A526" s="68"/>
      <c r="B526" s="69"/>
      <c r="C526" s="69"/>
      <c r="D526" s="69"/>
      <c r="E526" s="69"/>
      <c r="F526" s="69"/>
      <c r="G526" s="69"/>
      <c r="H526" s="69"/>
      <c r="I526" s="69"/>
      <c r="J526" s="69"/>
      <c r="K526" s="69"/>
      <c r="L526" s="60"/>
    </row>
    <row r="527" spans="1:12">
      <c r="A527" s="68"/>
      <c r="B527" s="69"/>
      <c r="C527" s="69"/>
      <c r="D527" s="69"/>
      <c r="E527" s="69"/>
      <c r="F527" s="69"/>
      <c r="G527" s="69"/>
      <c r="H527" s="69"/>
      <c r="I527" s="69"/>
      <c r="J527" s="69"/>
      <c r="K527" s="69"/>
      <c r="L527" s="60"/>
    </row>
    <row r="528" spans="1:12">
      <c r="A528" s="68"/>
      <c r="B528" s="69"/>
      <c r="C528" s="69"/>
      <c r="D528" s="69"/>
      <c r="E528" s="69"/>
      <c r="F528" s="69"/>
      <c r="G528" s="69"/>
      <c r="H528" s="69"/>
      <c r="I528" s="69"/>
      <c r="J528" s="69"/>
      <c r="K528" s="69"/>
      <c r="L528" s="60"/>
    </row>
    <row r="529" spans="1:12">
      <c r="A529" s="68"/>
      <c r="B529" s="69"/>
      <c r="C529" s="69"/>
      <c r="D529" s="69"/>
      <c r="E529" s="69"/>
      <c r="F529" s="69"/>
      <c r="G529" s="69"/>
      <c r="H529" s="69"/>
      <c r="I529" s="69"/>
      <c r="J529" s="69"/>
      <c r="K529" s="69"/>
      <c r="L529" s="60"/>
    </row>
    <row r="530" spans="1:12">
      <c r="A530" s="68"/>
      <c r="B530" s="69"/>
      <c r="C530" s="69"/>
      <c r="D530" s="69"/>
      <c r="E530" s="69"/>
      <c r="F530" s="69"/>
      <c r="G530" s="69"/>
      <c r="H530" s="69"/>
      <c r="I530" s="69"/>
      <c r="J530" s="69"/>
      <c r="K530" s="69"/>
      <c r="L530" s="60"/>
    </row>
    <row r="531" spans="1:12">
      <c r="A531" s="68"/>
      <c r="B531" s="69"/>
      <c r="C531" s="69"/>
      <c r="D531" s="69"/>
      <c r="E531" s="69"/>
      <c r="F531" s="69"/>
      <c r="G531" s="69"/>
      <c r="H531" s="69"/>
      <c r="I531" s="69"/>
      <c r="J531" s="69"/>
      <c r="K531" s="69"/>
      <c r="L531" s="60"/>
    </row>
    <row r="532" spans="1:12">
      <c r="A532" s="68"/>
      <c r="B532" s="69"/>
      <c r="C532" s="69"/>
      <c r="D532" s="69"/>
      <c r="E532" s="69"/>
      <c r="F532" s="69"/>
      <c r="G532" s="69"/>
      <c r="H532" s="69"/>
      <c r="I532" s="69"/>
      <c r="J532" s="69"/>
      <c r="K532" s="69"/>
      <c r="L532" s="60"/>
    </row>
    <row r="533" spans="1:12">
      <c r="A533" s="68"/>
      <c r="B533" s="69"/>
      <c r="C533" s="69"/>
      <c r="D533" s="69"/>
      <c r="E533" s="69"/>
      <c r="F533" s="69"/>
      <c r="G533" s="69"/>
      <c r="H533" s="69"/>
      <c r="I533" s="69"/>
      <c r="J533" s="69"/>
      <c r="K533" s="69"/>
      <c r="L533" s="60"/>
    </row>
    <row r="534" spans="1:12">
      <c r="A534" s="68"/>
      <c r="B534" s="69"/>
      <c r="C534" s="69"/>
      <c r="D534" s="69"/>
      <c r="E534" s="69"/>
      <c r="F534" s="69"/>
      <c r="G534" s="69"/>
      <c r="H534" s="69"/>
      <c r="I534" s="69"/>
      <c r="J534" s="69"/>
      <c r="K534" s="69"/>
      <c r="L534" s="60"/>
    </row>
    <row r="535" spans="1:12">
      <c r="A535" s="68"/>
      <c r="B535" s="69"/>
      <c r="C535" s="69"/>
      <c r="D535" s="69"/>
      <c r="E535" s="69"/>
      <c r="F535" s="69"/>
      <c r="G535" s="69"/>
      <c r="H535" s="69"/>
      <c r="I535" s="69"/>
      <c r="J535" s="69"/>
      <c r="K535" s="69"/>
      <c r="L535" s="60"/>
    </row>
    <row r="536" spans="1:12">
      <c r="A536" s="68"/>
      <c r="B536" s="69"/>
      <c r="C536" s="69"/>
      <c r="D536" s="69"/>
      <c r="E536" s="69"/>
      <c r="F536" s="69"/>
      <c r="G536" s="69"/>
      <c r="H536" s="69"/>
      <c r="I536" s="69"/>
      <c r="J536" s="69"/>
      <c r="K536" s="69"/>
      <c r="L536" s="60"/>
    </row>
    <row r="537" spans="1:12">
      <c r="A537" s="68"/>
      <c r="B537" s="69"/>
      <c r="C537" s="69"/>
      <c r="D537" s="69"/>
      <c r="E537" s="69"/>
      <c r="F537" s="69"/>
      <c r="G537" s="69"/>
      <c r="H537" s="69"/>
      <c r="I537" s="69"/>
      <c r="J537" s="69"/>
      <c r="K537" s="69"/>
      <c r="L537" s="60"/>
    </row>
    <row r="538" spans="1:12">
      <c r="A538" s="68"/>
      <c r="B538" s="69"/>
      <c r="C538" s="69"/>
      <c r="D538" s="69"/>
      <c r="E538" s="69"/>
      <c r="F538" s="69"/>
      <c r="G538" s="69"/>
      <c r="H538" s="69"/>
      <c r="I538" s="69"/>
      <c r="J538" s="69"/>
      <c r="K538" s="69"/>
      <c r="L538" s="60"/>
    </row>
    <row r="539" spans="1:12">
      <c r="A539" s="68"/>
      <c r="B539" s="69"/>
      <c r="C539" s="69"/>
      <c r="D539" s="69"/>
      <c r="E539" s="69"/>
      <c r="F539" s="69"/>
      <c r="G539" s="69"/>
      <c r="H539" s="69"/>
      <c r="I539" s="69"/>
      <c r="J539" s="69"/>
      <c r="K539" s="69"/>
      <c r="L539" s="60"/>
    </row>
    <row r="540" spans="1:12">
      <c r="A540" s="68"/>
      <c r="B540" s="69"/>
      <c r="C540" s="69"/>
      <c r="D540" s="69"/>
      <c r="E540" s="69"/>
      <c r="F540" s="69"/>
      <c r="G540" s="69"/>
      <c r="H540" s="69"/>
      <c r="I540" s="69"/>
      <c r="J540" s="69"/>
      <c r="K540" s="69"/>
      <c r="L540" s="60"/>
    </row>
    <row r="541" spans="1:12">
      <c r="A541" s="68"/>
      <c r="B541" s="69"/>
      <c r="C541" s="69"/>
      <c r="D541" s="69"/>
      <c r="E541" s="69"/>
      <c r="F541" s="69"/>
      <c r="G541" s="69"/>
      <c r="H541" s="69"/>
      <c r="I541" s="69"/>
      <c r="J541" s="69"/>
      <c r="K541" s="69"/>
      <c r="L541" s="60"/>
    </row>
    <row r="542" spans="1:12">
      <c r="A542" s="68"/>
      <c r="B542" s="69"/>
      <c r="C542" s="69"/>
      <c r="D542" s="69"/>
      <c r="E542" s="69"/>
      <c r="F542" s="69"/>
      <c r="G542" s="69"/>
      <c r="H542" s="69"/>
      <c r="I542" s="69"/>
      <c r="J542" s="69"/>
      <c r="K542" s="69"/>
      <c r="L542" s="60"/>
    </row>
    <row r="543" spans="1:12">
      <c r="A543" s="68"/>
      <c r="B543" s="69"/>
      <c r="C543" s="69"/>
      <c r="D543" s="69"/>
      <c r="E543" s="69"/>
      <c r="F543" s="69"/>
      <c r="G543" s="69"/>
      <c r="H543" s="69"/>
      <c r="I543" s="69"/>
      <c r="J543" s="69"/>
      <c r="K543" s="69"/>
      <c r="L543" s="60"/>
    </row>
    <row r="544" spans="1:12">
      <c r="A544" s="68"/>
      <c r="B544" s="69"/>
      <c r="C544" s="69"/>
      <c r="D544" s="69"/>
      <c r="E544" s="69"/>
      <c r="F544" s="69"/>
      <c r="G544" s="69"/>
      <c r="H544" s="69"/>
      <c r="I544" s="69"/>
      <c r="J544" s="69"/>
      <c r="K544" s="69"/>
      <c r="L544" s="60"/>
    </row>
    <row r="545" spans="1:12">
      <c r="A545" s="68"/>
      <c r="B545" s="69"/>
      <c r="C545" s="69"/>
      <c r="D545" s="69"/>
      <c r="E545" s="69"/>
      <c r="F545" s="69"/>
      <c r="G545" s="69"/>
      <c r="H545" s="69"/>
      <c r="I545" s="69"/>
      <c r="J545" s="69"/>
      <c r="K545" s="69"/>
      <c r="L545" s="60"/>
    </row>
    <row r="546" spans="1:12">
      <c r="A546" s="68"/>
      <c r="B546" s="69"/>
      <c r="C546" s="69"/>
      <c r="D546" s="69"/>
      <c r="E546" s="69"/>
      <c r="F546" s="69"/>
      <c r="G546" s="69"/>
      <c r="H546" s="69"/>
      <c r="I546" s="69"/>
      <c r="J546" s="69"/>
      <c r="K546" s="69"/>
      <c r="L546" s="60"/>
    </row>
    <row r="547" spans="1:12">
      <c r="A547" s="68"/>
      <c r="B547" s="69"/>
      <c r="C547" s="69"/>
      <c r="D547" s="69"/>
      <c r="E547" s="69"/>
      <c r="F547" s="69"/>
      <c r="G547" s="69"/>
      <c r="H547" s="69"/>
      <c r="I547" s="69"/>
      <c r="J547" s="69"/>
      <c r="K547" s="69"/>
      <c r="L547" s="60"/>
    </row>
    <row r="548" spans="1:12">
      <c r="A548" s="68"/>
      <c r="B548" s="69"/>
      <c r="C548" s="69"/>
      <c r="D548" s="69"/>
      <c r="E548" s="69"/>
      <c r="F548" s="69"/>
      <c r="G548" s="69"/>
      <c r="H548" s="69"/>
      <c r="I548" s="69"/>
      <c r="J548" s="69"/>
      <c r="K548" s="69"/>
      <c r="L548" s="60"/>
    </row>
    <row r="549" spans="1:12">
      <c r="A549" s="68"/>
      <c r="B549" s="69"/>
      <c r="C549" s="69"/>
      <c r="D549" s="69"/>
      <c r="E549" s="69"/>
      <c r="F549" s="69"/>
      <c r="G549" s="69"/>
      <c r="H549" s="69"/>
      <c r="I549" s="69"/>
      <c r="J549" s="69"/>
      <c r="K549" s="69"/>
      <c r="L549" s="60"/>
    </row>
    <row r="550" spans="1:12">
      <c r="A550" s="68"/>
      <c r="B550" s="69"/>
      <c r="C550" s="69"/>
      <c r="D550" s="69"/>
      <c r="E550" s="69"/>
      <c r="F550" s="69"/>
      <c r="G550" s="69"/>
      <c r="H550" s="69"/>
      <c r="I550" s="69"/>
      <c r="J550" s="69"/>
      <c r="K550" s="69"/>
      <c r="L550" s="60"/>
    </row>
    <row r="551" spans="1:12">
      <c r="A551" s="68"/>
      <c r="B551" s="69"/>
      <c r="C551" s="69"/>
      <c r="D551" s="69"/>
      <c r="E551" s="69"/>
      <c r="F551" s="69"/>
      <c r="G551" s="69"/>
      <c r="H551" s="69"/>
      <c r="I551" s="69"/>
      <c r="J551" s="69"/>
      <c r="K551" s="69"/>
      <c r="L551" s="60"/>
    </row>
    <row r="552" spans="1:12">
      <c r="A552" s="68"/>
      <c r="B552" s="69"/>
      <c r="C552" s="69"/>
      <c r="D552" s="69"/>
      <c r="E552" s="69"/>
      <c r="F552" s="69"/>
      <c r="G552" s="69"/>
      <c r="H552" s="69"/>
      <c r="I552" s="69"/>
      <c r="J552" s="69"/>
      <c r="K552" s="69"/>
      <c r="L552" s="60"/>
    </row>
    <row r="553" spans="1:12">
      <c r="A553" s="68"/>
      <c r="B553" s="69"/>
      <c r="C553" s="69"/>
      <c r="D553" s="69"/>
      <c r="E553" s="69"/>
      <c r="F553" s="69"/>
      <c r="G553" s="69"/>
      <c r="H553" s="69"/>
      <c r="I553" s="69"/>
      <c r="J553" s="69"/>
      <c r="K553" s="69"/>
      <c r="L553" s="60"/>
    </row>
    <row r="554" spans="1:12">
      <c r="A554" s="68"/>
      <c r="B554" s="69"/>
      <c r="C554" s="69"/>
      <c r="D554" s="69"/>
      <c r="E554" s="69"/>
      <c r="F554" s="69"/>
      <c r="G554" s="69"/>
      <c r="H554" s="69"/>
      <c r="I554" s="69"/>
      <c r="J554" s="69"/>
      <c r="K554" s="69"/>
      <c r="L554" s="60"/>
    </row>
    <row r="555" spans="1:12">
      <c r="A555" s="68"/>
      <c r="B555" s="69"/>
      <c r="C555" s="69"/>
      <c r="D555" s="69"/>
      <c r="E555" s="69"/>
      <c r="F555" s="69"/>
      <c r="G555" s="69"/>
      <c r="H555" s="69"/>
      <c r="I555" s="69"/>
      <c r="J555" s="69"/>
      <c r="K555" s="69"/>
      <c r="L555" s="60"/>
    </row>
    <row r="556" spans="1:12">
      <c r="A556" s="68"/>
      <c r="B556" s="69"/>
      <c r="C556" s="69"/>
      <c r="D556" s="69"/>
      <c r="E556" s="69"/>
      <c r="F556" s="69"/>
      <c r="G556" s="69"/>
      <c r="H556" s="69"/>
      <c r="I556" s="69"/>
      <c r="J556" s="69"/>
      <c r="K556" s="69"/>
      <c r="L556" s="60"/>
    </row>
    <row r="557" spans="1:12">
      <c r="A557" s="68"/>
      <c r="B557" s="69"/>
      <c r="C557" s="69"/>
      <c r="D557" s="69"/>
      <c r="E557" s="69"/>
      <c r="F557" s="69"/>
      <c r="G557" s="69"/>
      <c r="H557" s="69"/>
      <c r="I557" s="69"/>
      <c r="J557" s="69"/>
      <c r="K557" s="69"/>
      <c r="L557" s="60"/>
    </row>
    <row r="558" spans="1:12">
      <c r="A558" s="68"/>
      <c r="B558" s="69"/>
      <c r="C558" s="69"/>
      <c r="D558" s="69"/>
      <c r="E558" s="69"/>
      <c r="F558" s="69"/>
      <c r="G558" s="69"/>
      <c r="H558" s="69"/>
      <c r="I558" s="69"/>
      <c r="J558" s="69"/>
      <c r="K558" s="69"/>
      <c r="L558" s="60"/>
    </row>
    <row r="559" spans="1:12">
      <c r="A559" s="68"/>
      <c r="B559" s="69"/>
      <c r="C559" s="69"/>
      <c r="D559" s="69"/>
      <c r="E559" s="69"/>
      <c r="F559" s="69"/>
      <c r="G559" s="69"/>
      <c r="H559" s="69"/>
      <c r="I559" s="69"/>
      <c r="J559" s="69"/>
      <c r="K559" s="69"/>
      <c r="L559" s="60"/>
    </row>
    <row r="560" spans="1:12">
      <c r="A560" s="68"/>
      <c r="B560" s="69"/>
      <c r="C560" s="69"/>
      <c r="D560" s="69"/>
      <c r="E560" s="69"/>
      <c r="F560" s="69"/>
      <c r="G560" s="69"/>
      <c r="H560" s="69"/>
      <c r="I560" s="69"/>
      <c r="J560" s="69"/>
      <c r="K560" s="69"/>
      <c r="L560" s="60"/>
    </row>
    <row r="561" spans="1:12">
      <c r="A561" s="68"/>
      <c r="B561" s="69"/>
      <c r="C561" s="69"/>
      <c r="D561" s="69"/>
      <c r="E561" s="69"/>
      <c r="F561" s="69"/>
      <c r="G561" s="69"/>
      <c r="H561" s="69"/>
      <c r="I561" s="69"/>
      <c r="J561" s="69"/>
      <c r="K561" s="69"/>
      <c r="L561" s="60"/>
    </row>
    <row r="562" spans="1:12">
      <c r="A562" s="68"/>
      <c r="B562" s="69"/>
      <c r="C562" s="69"/>
      <c r="D562" s="69"/>
      <c r="E562" s="69"/>
      <c r="F562" s="69"/>
      <c r="G562" s="69"/>
      <c r="H562" s="69"/>
      <c r="I562" s="69"/>
      <c r="J562" s="69"/>
      <c r="K562" s="69"/>
      <c r="L562" s="60"/>
    </row>
    <row r="563" spans="1:12">
      <c r="A563" s="68"/>
      <c r="B563" s="69"/>
      <c r="C563" s="69"/>
      <c r="D563" s="69"/>
      <c r="E563" s="69"/>
      <c r="F563" s="69"/>
      <c r="G563" s="69"/>
      <c r="H563" s="69"/>
      <c r="I563" s="69"/>
      <c r="J563" s="69"/>
      <c r="K563" s="69"/>
      <c r="L563" s="60"/>
    </row>
    <row r="564" spans="1:12">
      <c r="A564" s="68"/>
      <c r="B564" s="69"/>
      <c r="C564" s="69"/>
      <c r="D564" s="69"/>
      <c r="E564" s="69"/>
      <c r="F564" s="69"/>
      <c r="G564" s="69"/>
      <c r="H564" s="69"/>
      <c r="I564" s="69"/>
      <c r="J564" s="69"/>
      <c r="K564" s="69"/>
      <c r="L564" s="60"/>
    </row>
    <row r="565" spans="1:12">
      <c r="A565" s="68"/>
      <c r="B565" s="69"/>
      <c r="C565" s="69"/>
      <c r="D565" s="69"/>
      <c r="E565" s="69"/>
      <c r="F565" s="69"/>
      <c r="G565" s="69"/>
      <c r="H565" s="69"/>
      <c r="I565" s="69"/>
      <c r="J565" s="69"/>
      <c r="K565" s="69"/>
      <c r="L565" s="60"/>
    </row>
    <row r="566" spans="1:12">
      <c r="A566" s="68"/>
      <c r="B566" s="69"/>
      <c r="C566" s="69"/>
      <c r="D566" s="69"/>
      <c r="E566" s="69"/>
      <c r="F566" s="69"/>
      <c r="G566" s="69"/>
      <c r="H566" s="69"/>
      <c r="I566" s="69"/>
      <c r="J566" s="69"/>
      <c r="K566" s="69"/>
      <c r="L566" s="60"/>
    </row>
    <row r="567" spans="1:12">
      <c r="A567" s="68"/>
      <c r="B567" s="69"/>
      <c r="C567" s="69"/>
      <c r="D567" s="69"/>
      <c r="E567" s="69"/>
      <c r="F567" s="69"/>
      <c r="G567" s="69"/>
      <c r="H567" s="69"/>
      <c r="I567" s="69"/>
      <c r="J567" s="69"/>
      <c r="K567" s="69"/>
      <c r="L567" s="60"/>
    </row>
    <row r="568" spans="1:12">
      <c r="A568" s="68"/>
      <c r="B568" s="69"/>
      <c r="C568" s="69"/>
      <c r="D568" s="69"/>
      <c r="E568" s="69"/>
      <c r="F568" s="69"/>
      <c r="G568" s="69"/>
      <c r="H568" s="69"/>
      <c r="I568" s="69"/>
      <c r="J568" s="69"/>
      <c r="K568" s="69"/>
      <c r="L568" s="60"/>
    </row>
    <row r="569" spans="1:12">
      <c r="A569" s="68"/>
      <c r="B569" s="69"/>
      <c r="C569" s="69"/>
      <c r="D569" s="69"/>
      <c r="E569" s="69"/>
      <c r="F569" s="69"/>
      <c r="G569" s="69"/>
      <c r="H569" s="69"/>
      <c r="I569" s="69"/>
      <c r="J569" s="69"/>
      <c r="K569" s="69"/>
      <c r="L569" s="60"/>
    </row>
    <row r="570" spans="1:12">
      <c r="A570" s="68"/>
      <c r="B570" s="69"/>
      <c r="C570" s="69"/>
      <c r="D570" s="69"/>
      <c r="E570" s="69"/>
      <c r="F570" s="69"/>
      <c r="G570" s="69"/>
      <c r="H570" s="69"/>
      <c r="I570" s="69"/>
      <c r="J570" s="69"/>
      <c r="K570" s="69"/>
      <c r="L570" s="60"/>
    </row>
    <row r="571" spans="1:12">
      <c r="A571" s="68"/>
      <c r="B571" s="69"/>
      <c r="C571" s="69"/>
      <c r="D571" s="69"/>
      <c r="E571" s="69"/>
      <c r="F571" s="69"/>
      <c r="G571" s="69"/>
      <c r="H571" s="69"/>
      <c r="I571" s="69"/>
      <c r="J571" s="69"/>
      <c r="K571" s="69"/>
      <c r="L571" s="60"/>
    </row>
    <row r="572" spans="1:12">
      <c r="A572" s="68"/>
      <c r="B572" s="69"/>
      <c r="C572" s="69"/>
      <c r="D572" s="69"/>
      <c r="E572" s="69"/>
      <c r="F572" s="69"/>
      <c r="G572" s="69"/>
      <c r="H572" s="69"/>
      <c r="I572" s="69"/>
      <c r="J572" s="69"/>
      <c r="K572" s="69"/>
      <c r="L572" s="60"/>
    </row>
    <row r="573" spans="1:12">
      <c r="A573" s="68"/>
      <c r="B573" s="69"/>
      <c r="C573" s="69"/>
      <c r="D573" s="69"/>
      <c r="E573" s="69"/>
      <c r="F573" s="69"/>
      <c r="G573" s="69"/>
      <c r="H573" s="69"/>
      <c r="I573" s="69"/>
      <c r="J573" s="69"/>
      <c r="K573" s="69"/>
      <c r="L573" s="60"/>
    </row>
    <row r="574" spans="1:12">
      <c r="A574" s="68"/>
      <c r="B574" s="69"/>
      <c r="C574" s="69"/>
      <c r="D574" s="69"/>
      <c r="E574" s="69"/>
      <c r="F574" s="69"/>
      <c r="G574" s="69"/>
      <c r="H574" s="69"/>
      <c r="I574" s="69"/>
      <c r="J574" s="69"/>
      <c r="K574" s="69"/>
      <c r="L574" s="60"/>
    </row>
    <row r="575" spans="1:12">
      <c r="A575" s="68"/>
      <c r="B575" s="69"/>
      <c r="C575" s="69"/>
      <c r="D575" s="69"/>
      <c r="E575" s="69"/>
      <c r="F575" s="69"/>
      <c r="G575" s="69"/>
      <c r="H575" s="69"/>
      <c r="I575" s="69"/>
      <c r="J575" s="69"/>
      <c r="K575" s="69"/>
      <c r="L575" s="60"/>
    </row>
    <row r="576" spans="1:12">
      <c r="A576" s="68"/>
      <c r="B576" s="69"/>
      <c r="C576" s="69"/>
      <c r="D576" s="69"/>
      <c r="E576" s="69"/>
      <c r="F576" s="69"/>
      <c r="G576" s="69"/>
      <c r="H576" s="69"/>
      <c r="I576" s="69"/>
      <c r="J576" s="69"/>
      <c r="K576" s="69"/>
      <c r="L576" s="60"/>
    </row>
    <row r="577" spans="1:12">
      <c r="A577" s="68"/>
      <c r="B577" s="69"/>
      <c r="C577" s="69"/>
      <c r="D577" s="69"/>
      <c r="E577" s="69"/>
      <c r="F577" s="69"/>
      <c r="G577" s="69"/>
      <c r="H577" s="69"/>
      <c r="I577" s="69"/>
      <c r="J577" s="69"/>
      <c r="K577" s="69"/>
      <c r="L577" s="60"/>
    </row>
    <row r="578" spans="1:12">
      <c r="A578" s="68"/>
      <c r="B578" s="69"/>
      <c r="C578" s="69"/>
      <c r="D578" s="69"/>
      <c r="E578" s="69"/>
      <c r="F578" s="69"/>
      <c r="G578" s="69"/>
      <c r="H578" s="69"/>
      <c r="I578" s="69"/>
      <c r="J578" s="69"/>
      <c r="K578" s="69"/>
      <c r="L578" s="60"/>
    </row>
    <row r="579" spans="1:12">
      <c r="A579" s="68"/>
      <c r="B579" s="69"/>
      <c r="C579" s="69"/>
      <c r="D579" s="69"/>
      <c r="E579" s="69"/>
      <c r="F579" s="69"/>
      <c r="G579" s="69"/>
      <c r="H579" s="69"/>
      <c r="I579" s="69"/>
      <c r="J579" s="69"/>
      <c r="K579" s="69"/>
      <c r="L579" s="60"/>
    </row>
    <row r="580" spans="1:12">
      <c r="A580" s="68"/>
      <c r="B580" s="69"/>
      <c r="C580" s="69"/>
      <c r="D580" s="69"/>
      <c r="E580" s="69"/>
      <c r="F580" s="69"/>
      <c r="G580" s="69"/>
      <c r="H580" s="69"/>
      <c r="I580" s="69"/>
      <c r="J580" s="69"/>
      <c r="K580" s="69"/>
      <c r="L580" s="60"/>
    </row>
    <row r="581" spans="1:12">
      <c r="A581" s="68"/>
      <c r="B581" s="69"/>
      <c r="C581" s="69"/>
      <c r="D581" s="69"/>
      <c r="E581" s="69"/>
      <c r="F581" s="69"/>
      <c r="G581" s="69"/>
      <c r="H581" s="69"/>
      <c r="I581" s="69"/>
      <c r="J581" s="69"/>
      <c r="K581" s="69"/>
      <c r="L581" s="60"/>
    </row>
    <row r="582" spans="1:12">
      <c r="A582" s="68"/>
      <c r="B582" s="69"/>
      <c r="C582" s="69"/>
      <c r="D582" s="69"/>
      <c r="E582" s="69"/>
      <c r="F582" s="69"/>
      <c r="G582" s="69"/>
      <c r="H582" s="69"/>
      <c r="I582" s="69"/>
      <c r="J582" s="69"/>
      <c r="K582" s="69"/>
      <c r="L582" s="60"/>
    </row>
    <row r="583" spans="1:12">
      <c r="A583" s="68"/>
      <c r="B583" s="69"/>
      <c r="C583" s="69"/>
      <c r="D583" s="69"/>
      <c r="E583" s="69"/>
      <c r="F583" s="69"/>
      <c r="G583" s="69"/>
      <c r="H583" s="69"/>
      <c r="I583" s="69"/>
      <c r="J583" s="69"/>
      <c r="K583" s="69"/>
      <c r="L583" s="60"/>
    </row>
    <row r="584" spans="1:12">
      <c r="A584" s="68"/>
      <c r="B584" s="69"/>
      <c r="C584" s="69"/>
      <c r="D584" s="69"/>
      <c r="E584" s="69"/>
      <c r="F584" s="69"/>
      <c r="G584" s="69"/>
      <c r="H584" s="69"/>
      <c r="I584" s="69"/>
      <c r="J584" s="69"/>
      <c r="K584" s="69"/>
      <c r="L584" s="60"/>
    </row>
    <row r="585" spans="1:12">
      <c r="A585" s="68"/>
      <c r="B585" s="69"/>
      <c r="C585" s="69"/>
      <c r="D585" s="69"/>
      <c r="E585" s="69"/>
      <c r="F585" s="69"/>
      <c r="G585" s="69"/>
      <c r="H585" s="69"/>
      <c r="I585" s="69"/>
      <c r="J585" s="69"/>
      <c r="K585" s="69"/>
      <c r="L585" s="60"/>
    </row>
    <row r="586" spans="1:12">
      <c r="A586" s="68"/>
      <c r="B586" s="69"/>
      <c r="C586" s="69"/>
      <c r="D586" s="69"/>
      <c r="E586" s="69"/>
      <c r="F586" s="69"/>
      <c r="G586" s="69"/>
      <c r="H586" s="69"/>
      <c r="I586" s="69"/>
      <c r="J586" s="69"/>
      <c r="K586" s="69"/>
      <c r="L586" s="60"/>
    </row>
    <row r="587" spans="1:12">
      <c r="A587" s="68"/>
      <c r="B587" s="69"/>
      <c r="C587" s="69"/>
      <c r="D587" s="69"/>
      <c r="E587" s="69"/>
      <c r="F587" s="69"/>
      <c r="G587" s="69"/>
      <c r="H587" s="69"/>
      <c r="I587" s="69"/>
      <c r="J587" s="69"/>
      <c r="K587" s="69"/>
      <c r="L587" s="60"/>
    </row>
    <row r="588" spans="1:12">
      <c r="A588" s="68"/>
      <c r="B588" s="69"/>
      <c r="C588" s="69"/>
      <c r="D588" s="69"/>
      <c r="E588" s="69"/>
      <c r="F588" s="69"/>
      <c r="G588" s="69"/>
      <c r="H588" s="69"/>
      <c r="I588" s="69"/>
      <c r="J588" s="69"/>
      <c r="K588" s="69"/>
      <c r="L588" s="60"/>
    </row>
    <row r="589" spans="1:12">
      <c r="A589" s="68"/>
      <c r="B589" s="69"/>
      <c r="C589" s="69"/>
      <c r="D589" s="69"/>
      <c r="E589" s="69"/>
      <c r="F589" s="69"/>
      <c r="G589" s="69"/>
      <c r="H589" s="69"/>
      <c r="I589" s="69"/>
      <c r="J589" s="69"/>
      <c r="K589" s="69"/>
      <c r="L589" s="60"/>
    </row>
    <row r="590" spans="1:12">
      <c r="A590" s="68"/>
      <c r="B590" s="69"/>
      <c r="C590" s="69"/>
      <c r="D590" s="69"/>
      <c r="E590" s="69"/>
      <c r="F590" s="69"/>
      <c r="G590" s="69"/>
      <c r="H590" s="69"/>
      <c r="I590" s="69"/>
      <c r="J590" s="69"/>
      <c r="K590" s="69"/>
      <c r="L590" s="60"/>
    </row>
    <row r="591" spans="1:12">
      <c r="A591" s="68"/>
      <c r="B591" s="69"/>
      <c r="C591" s="69"/>
      <c r="D591" s="69"/>
      <c r="E591" s="69"/>
      <c r="F591" s="69"/>
      <c r="G591" s="69"/>
      <c r="H591" s="69"/>
      <c r="I591" s="69"/>
      <c r="J591" s="69"/>
      <c r="K591" s="69"/>
      <c r="L591" s="60"/>
    </row>
    <row r="592" spans="1:12">
      <c r="A592" s="68"/>
      <c r="B592" s="69"/>
      <c r="C592" s="69"/>
      <c r="D592" s="69"/>
      <c r="E592" s="69"/>
      <c r="F592" s="69"/>
      <c r="G592" s="69"/>
      <c r="H592" s="69"/>
      <c r="I592" s="69"/>
      <c r="J592" s="69"/>
      <c r="K592" s="69"/>
      <c r="L592" s="60"/>
    </row>
    <row r="593" spans="1:12">
      <c r="A593" s="68"/>
      <c r="B593" s="69"/>
      <c r="C593" s="69"/>
      <c r="D593" s="69"/>
      <c r="E593" s="69"/>
      <c r="F593" s="69"/>
      <c r="G593" s="69"/>
      <c r="H593" s="69"/>
      <c r="I593" s="69"/>
      <c r="J593" s="69"/>
      <c r="K593" s="69"/>
      <c r="L593" s="60"/>
    </row>
    <row r="594" spans="1:12">
      <c r="A594" s="68"/>
      <c r="B594" s="69"/>
      <c r="C594" s="69"/>
      <c r="D594" s="69"/>
      <c r="E594" s="69"/>
      <c r="F594" s="69"/>
      <c r="G594" s="69"/>
      <c r="H594" s="69"/>
      <c r="I594" s="69"/>
      <c r="J594" s="69"/>
      <c r="K594" s="69"/>
      <c r="L594" s="60"/>
    </row>
    <row r="595" spans="1:12">
      <c r="A595" s="68"/>
      <c r="B595" s="69"/>
      <c r="C595" s="69"/>
      <c r="D595" s="69"/>
      <c r="E595" s="69"/>
      <c r="F595" s="69"/>
      <c r="G595" s="69"/>
      <c r="H595" s="69"/>
      <c r="I595" s="69"/>
      <c r="J595" s="69"/>
      <c r="K595" s="69"/>
      <c r="L595" s="60"/>
    </row>
    <row r="596" spans="1:12">
      <c r="A596" s="68"/>
      <c r="B596" s="69"/>
      <c r="C596" s="69"/>
      <c r="D596" s="69"/>
      <c r="E596" s="69"/>
      <c r="F596" s="69"/>
      <c r="G596" s="69"/>
      <c r="H596" s="69"/>
      <c r="I596" s="69"/>
      <c r="J596" s="69"/>
      <c r="K596" s="69"/>
      <c r="L596" s="60"/>
    </row>
    <row r="597" spans="1:12">
      <c r="A597" s="68"/>
      <c r="B597" s="69"/>
      <c r="C597" s="69"/>
      <c r="D597" s="69"/>
      <c r="E597" s="69"/>
      <c r="F597" s="69"/>
      <c r="G597" s="69"/>
      <c r="H597" s="69"/>
      <c r="I597" s="69"/>
      <c r="J597" s="69"/>
      <c r="K597" s="69"/>
      <c r="L597" s="60"/>
    </row>
    <row r="598" spans="1:12">
      <c r="A598" s="68"/>
      <c r="B598" s="69"/>
      <c r="C598" s="69"/>
      <c r="D598" s="69"/>
      <c r="E598" s="69"/>
      <c r="F598" s="69"/>
      <c r="G598" s="69"/>
      <c r="H598" s="69"/>
      <c r="I598" s="69"/>
      <c r="J598" s="69"/>
      <c r="K598" s="69"/>
      <c r="L598" s="60"/>
    </row>
    <row r="599" spans="1:12">
      <c r="A599" s="68"/>
      <c r="B599" s="69"/>
      <c r="C599" s="69"/>
      <c r="D599" s="69"/>
      <c r="E599" s="69"/>
      <c r="F599" s="69"/>
      <c r="G599" s="69"/>
      <c r="H599" s="69"/>
      <c r="I599" s="69"/>
      <c r="J599" s="69"/>
      <c r="K599" s="69"/>
      <c r="L599" s="60"/>
    </row>
    <row r="600" spans="1:12">
      <c r="A600" s="68"/>
      <c r="B600" s="69"/>
      <c r="C600" s="69"/>
      <c r="D600" s="69"/>
      <c r="E600" s="69"/>
      <c r="F600" s="69"/>
      <c r="G600" s="69"/>
      <c r="H600" s="69"/>
      <c r="I600" s="69"/>
      <c r="J600" s="69"/>
      <c r="K600" s="69"/>
      <c r="L600" s="60"/>
    </row>
    <row r="601" spans="1:12">
      <c r="A601" s="68"/>
      <c r="B601" s="69"/>
      <c r="C601" s="69"/>
      <c r="D601" s="69"/>
      <c r="E601" s="69"/>
      <c r="F601" s="69"/>
      <c r="G601" s="69"/>
      <c r="H601" s="69"/>
      <c r="I601" s="69"/>
      <c r="J601" s="69"/>
      <c r="K601" s="69"/>
      <c r="L601" s="60"/>
    </row>
    <row r="602" spans="1:12">
      <c r="A602" s="68"/>
      <c r="B602" s="69"/>
      <c r="C602" s="69"/>
      <c r="D602" s="69"/>
      <c r="E602" s="69"/>
      <c r="F602" s="69"/>
      <c r="G602" s="69"/>
      <c r="H602" s="69"/>
      <c r="I602" s="69"/>
      <c r="J602" s="69"/>
      <c r="K602" s="69"/>
      <c r="L602" s="60"/>
    </row>
    <row r="603" spans="1:12">
      <c r="A603" s="68"/>
      <c r="B603" s="69"/>
      <c r="C603" s="69"/>
      <c r="D603" s="69"/>
      <c r="E603" s="69"/>
      <c r="F603" s="69"/>
      <c r="G603" s="69"/>
      <c r="H603" s="69"/>
      <c r="I603" s="69"/>
      <c r="J603" s="69"/>
      <c r="K603" s="69"/>
      <c r="L603" s="60"/>
    </row>
    <row r="604" spans="1:12">
      <c r="A604" s="68"/>
      <c r="B604" s="69"/>
      <c r="C604" s="69"/>
      <c r="D604" s="69"/>
      <c r="E604" s="69"/>
      <c r="F604" s="69"/>
      <c r="G604" s="69"/>
      <c r="H604" s="69"/>
      <c r="I604" s="69"/>
      <c r="J604" s="69"/>
      <c r="K604" s="69"/>
      <c r="L604" s="60"/>
    </row>
    <row r="605" spans="1:12">
      <c r="A605" s="68"/>
      <c r="B605" s="69"/>
      <c r="C605" s="69"/>
      <c r="D605" s="69"/>
      <c r="E605" s="69"/>
      <c r="F605" s="69"/>
      <c r="G605" s="69"/>
      <c r="H605" s="69"/>
      <c r="I605" s="69"/>
      <c r="J605" s="69"/>
      <c r="K605" s="69"/>
      <c r="L605" s="60"/>
    </row>
    <row r="606" spans="1:12">
      <c r="A606" s="68"/>
      <c r="B606" s="69"/>
      <c r="C606" s="69"/>
      <c r="D606" s="69"/>
      <c r="E606" s="69"/>
      <c r="F606" s="69"/>
      <c r="G606" s="69"/>
      <c r="H606" s="69"/>
      <c r="I606" s="69"/>
      <c r="J606" s="69"/>
      <c r="K606" s="69"/>
      <c r="L606" s="60"/>
    </row>
    <row r="607" spans="1:12">
      <c r="A607" s="68"/>
      <c r="B607" s="69"/>
      <c r="C607" s="69"/>
      <c r="D607" s="69"/>
      <c r="E607" s="69"/>
      <c r="F607" s="69"/>
      <c r="G607" s="69"/>
      <c r="H607" s="69"/>
      <c r="I607" s="69"/>
      <c r="J607" s="69"/>
      <c r="K607" s="69"/>
      <c r="L607" s="60"/>
    </row>
    <row r="608" spans="1:12">
      <c r="A608" s="68"/>
      <c r="B608" s="69"/>
      <c r="C608" s="69"/>
      <c r="D608" s="69"/>
      <c r="E608" s="69"/>
      <c r="F608" s="69"/>
      <c r="G608" s="69"/>
      <c r="H608" s="69"/>
      <c r="I608" s="69"/>
      <c r="J608" s="69"/>
      <c r="K608" s="69"/>
      <c r="L608" s="60"/>
    </row>
    <row r="609" spans="1:12">
      <c r="A609" s="68"/>
      <c r="B609" s="69"/>
      <c r="C609" s="69"/>
      <c r="D609" s="69"/>
      <c r="E609" s="69"/>
      <c r="F609" s="69"/>
      <c r="G609" s="69"/>
      <c r="H609" s="69"/>
      <c r="I609" s="69"/>
      <c r="J609" s="69"/>
      <c r="K609" s="69"/>
      <c r="L609" s="60"/>
    </row>
    <row r="610" spans="1:12">
      <c r="A610" s="68"/>
      <c r="B610" s="69"/>
      <c r="C610" s="69"/>
      <c r="D610" s="69"/>
      <c r="E610" s="69"/>
      <c r="F610" s="69"/>
      <c r="G610" s="69"/>
      <c r="H610" s="69"/>
      <c r="I610" s="69"/>
      <c r="J610" s="69"/>
      <c r="K610" s="69"/>
      <c r="L610" s="60"/>
    </row>
    <row r="611" spans="1:12">
      <c r="A611" s="68"/>
      <c r="B611" s="69"/>
      <c r="C611" s="69"/>
      <c r="D611" s="69"/>
      <c r="E611" s="69"/>
      <c r="F611" s="69"/>
      <c r="G611" s="69"/>
      <c r="H611" s="69"/>
      <c r="I611" s="69"/>
      <c r="J611" s="69"/>
      <c r="K611" s="69"/>
      <c r="L611" s="60"/>
    </row>
    <row r="612" spans="1:12">
      <c r="A612" s="68"/>
      <c r="B612" s="69"/>
      <c r="C612" s="69"/>
      <c r="D612" s="69"/>
      <c r="E612" s="69"/>
      <c r="F612" s="69"/>
      <c r="G612" s="69"/>
      <c r="H612" s="69"/>
      <c r="I612" s="69"/>
      <c r="J612" s="69"/>
      <c r="K612" s="69"/>
      <c r="L612" s="60"/>
    </row>
    <row r="613" spans="1:12">
      <c r="A613" s="68"/>
      <c r="B613" s="69"/>
      <c r="C613" s="69"/>
      <c r="D613" s="69"/>
      <c r="E613" s="69"/>
      <c r="F613" s="69"/>
      <c r="G613" s="69"/>
      <c r="H613" s="69"/>
      <c r="I613" s="69"/>
      <c r="J613" s="69"/>
      <c r="K613" s="69"/>
      <c r="L613" s="60"/>
    </row>
    <row r="614" spans="1:12">
      <c r="A614" s="68"/>
      <c r="B614" s="69"/>
      <c r="C614" s="69"/>
      <c r="D614" s="69"/>
      <c r="E614" s="69"/>
      <c r="F614" s="69"/>
      <c r="G614" s="69"/>
      <c r="H614" s="69"/>
      <c r="I614" s="69"/>
      <c r="J614" s="69"/>
      <c r="K614" s="69"/>
      <c r="L614" s="60"/>
    </row>
    <row r="615" spans="1:12">
      <c r="A615" s="68"/>
      <c r="B615" s="69"/>
      <c r="C615" s="69"/>
      <c r="D615" s="69"/>
      <c r="E615" s="69"/>
      <c r="F615" s="69"/>
      <c r="G615" s="69"/>
      <c r="H615" s="69"/>
      <c r="I615" s="69"/>
      <c r="J615" s="69"/>
      <c r="K615" s="69"/>
      <c r="L615" s="60"/>
    </row>
    <row r="616" spans="1:12">
      <c r="A616" s="68"/>
      <c r="B616" s="69"/>
      <c r="C616" s="69"/>
      <c r="D616" s="69"/>
      <c r="E616" s="69"/>
      <c r="F616" s="69"/>
      <c r="G616" s="69"/>
      <c r="H616" s="69"/>
      <c r="I616" s="69"/>
      <c r="J616" s="69"/>
      <c r="K616" s="69"/>
      <c r="L616" s="60"/>
    </row>
    <row r="617" spans="1:12">
      <c r="A617" s="68"/>
      <c r="B617" s="69"/>
      <c r="C617" s="69"/>
      <c r="D617" s="69"/>
      <c r="E617" s="69"/>
      <c r="F617" s="69"/>
      <c r="G617" s="69"/>
      <c r="H617" s="69"/>
      <c r="I617" s="69"/>
      <c r="J617" s="69"/>
      <c r="K617" s="69"/>
      <c r="L617" s="60"/>
    </row>
    <row r="618" spans="1:12">
      <c r="A618" s="68"/>
      <c r="B618" s="69"/>
      <c r="C618" s="69"/>
      <c r="D618" s="69"/>
      <c r="E618" s="69"/>
      <c r="F618" s="69"/>
      <c r="G618" s="69"/>
      <c r="H618" s="69"/>
      <c r="I618" s="69"/>
      <c r="J618" s="69"/>
      <c r="K618" s="69"/>
      <c r="L618" s="60"/>
    </row>
    <row r="619" spans="1:12">
      <c r="A619" s="68"/>
      <c r="B619" s="69"/>
      <c r="C619" s="69"/>
      <c r="D619" s="69"/>
      <c r="E619" s="69"/>
      <c r="F619" s="69"/>
      <c r="G619" s="69"/>
      <c r="H619" s="69"/>
      <c r="I619" s="69"/>
      <c r="J619" s="69"/>
      <c r="K619" s="69"/>
      <c r="L619" s="60"/>
    </row>
    <row r="620" spans="1:12">
      <c r="A620" s="68"/>
      <c r="B620" s="69"/>
      <c r="C620" s="69"/>
      <c r="D620" s="69"/>
      <c r="E620" s="69"/>
      <c r="F620" s="69"/>
      <c r="G620" s="69"/>
      <c r="H620" s="69"/>
      <c r="I620" s="69"/>
      <c r="J620" s="69"/>
      <c r="K620" s="69"/>
      <c r="L620" s="60"/>
    </row>
    <row r="621" spans="1:12">
      <c r="A621" s="68"/>
      <c r="B621" s="69"/>
      <c r="C621" s="69"/>
      <c r="D621" s="69"/>
      <c r="E621" s="69"/>
      <c r="F621" s="69"/>
      <c r="G621" s="69"/>
      <c r="H621" s="69"/>
      <c r="I621" s="69"/>
      <c r="J621" s="69"/>
      <c r="K621" s="69"/>
      <c r="L621" s="60"/>
    </row>
    <row r="622" spans="1:12">
      <c r="A622" s="68"/>
      <c r="B622" s="69"/>
      <c r="C622" s="69"/>
      <c r="D622" s="69"/>
      <c r="E622" s="69"/>
      <c r="F622" s="69"/>
      <c r="G622" s="69"/>
      <c r="H622" s="69"/>
      <c r="I622" s="69"/>
      <c r="J622" s="69"/>
      <c r="K622" s="69"/>
      <c r="L622" s="60"/>
    </row>
    <row r="623" spans="1:12">
      <c r="A623" s="68"/>
      <c r="B623" s="69"/>
      <c r="C623" s="69"/>
      <c r="D623" s="69"/>
      <c r="E623" s="69"/>
      <c r="F623" s="69"/>
      <c r="G623" s="69"/>
      <c r="H623" s="69"/>
      <c r="I623" s="69"/>
      <c r="J623" s="69"/>
      <c r="K623" s="69"/>
      <c r="L623" s="60"/>
    </row>
    <row r="624" spans="1:12">
      <c r="A624" s="68"/>
      <c r="B624" s="69"/>
      <c r="C624" s="69"/>
      <c r="D624" s="69"/>
      <c r="E624" s="69"/>
      <c r="F624" s="69"/>
      <c r="G624" s="69"/>
      <c r="H624" s="69"/>
      <c r="I624" s="69"/>
      <c r="J624" s="69"/>
      <c r="K624" s="69"/>
      <c r="L624" s="60"/>
    </row>
    <row r="625" spans="1:12">
      <c r="A625" s="68"/>
      <c r="B625" s="69"/>
      <c r="C625" s="69"/>
      <c r="D625" s="69"/>
      <c r="E625" s="69"/>
      <c r="F625" s="69"/>
      <c r="G625" s="69"/>
      <c r="H625" s="69"/>
      <c r="I625" s="69"/>
      <c r="J625" s="69"/>
      <c r="K625" s="69"/>
      <c r="L625" s="60"/>
    </row>
    <row r="626" spans="1:12">
      <c r="A626" s="68"/>
      <c r="B626" s="69"/>
      <c r="C626" s="69"/>
      <c r="D626" s="69"/>
      <c r="E626" s="69"/>
      <c r="F626" s="69"/>
      <c r="G626" s="69"/>
      <c r="H626" s="69"/>
      <c r="I626" s="69"/>
      <c r="J626" s="69"/>
      <c r="K626" s="69"/>
      <c r="L626" s="60"/>
    </row>
    <row r="627" spans="1:12">
      <c r="A627" s="68"/>
      <c r="B627" s="69"/>
      <c r="C627" s="69"/>
      <c r="D627" s="69"/>
      <c r="E627" s="69"/>
      <c r="F627" s="69"/>
      <c r="G627" s="69"/>
      <c r="H627" s="69"/>
      <c r="I627" s="69"/>
      <c r="J627" s="69"/>
      <c r="K627" s="69"/>
      <c r="L627" s="60"/>
    </row>
    <row r="628" spans="1:12">
      <c r="A628" s="68"/>
      <c r="B628" s="69"/>
      <c r="C628" s="69"/>
      <c r="D628" s="69"/>
      <c r="E628" s="69"/>
      <c r="F628" s="69"/>
      <c r="G628" s="69"/>
      <c r="H628" s="69"/>
      <c r="I628" s="69"/>
      <c r="J628" s="69"/>
      <c r="K628" s="69"/>
      <c r="L628" s="60"/>
    </row>
    <row r="629" spans="1:12">
      <c r="A629" s="68"/>
      <c r="B629" s="69"/>
      <c r="C629" s="69"/>
      <c r="D629" s="69"/>
      <c r="E629" s="69"/>
      <c r="F629" s="69"/>
      <c r="G629" s="69"/>
      <c r="H629" s="69"/>
      <c r="I629" s="69"/>
      <c r="J629" s="69"/>
      <c r="K629" s="69"/>
      <c r="L629" s="60"/>
    </row>
    <row r="630" spans="1:12">
      <c r="A630" s="68"/>
      <c r="B630" s="69"/>
      <c r="C630" s="69"/>
      <c r="D630" s="69"/>
      <c r="E630" s="69"/>
      <c r="F630" s="69"/>
      <c r="G630" s="69"/>
      <c r="H630" s="69"/>
      <c r="I630" s="69"/>
      <c r="J630" s="69"/>
      <c r="K630" s="69"/>
      <c r="L630" s="60"/>
    </row>
    <row r="631" spans="1:12">
      <c r="A631" s="68"/>
      <c r="B631" s="69"/>
      <c r="C631" s="69"/>
      <c r="D631" s="69"/>
      <c r="E631" s="69"/>
      <c r="F631" s="69"/>
      <c r="G631" s="69"/>
      <c r="H631" s="69"/>
      <c r="I631" s="69"/>
      <c r="J631" s="69"/>
      <c r="K631" s="69"/>
      <c r="L631" s="60"/>
    </row>
    <row r="632" spans="1:12">
      <c r="A632" s="68"/>
      <c r="B632" s="69"/>
      <c r="C632" s="69"/>
      <c r="D632" s="69"/>
      <c r="E632" s="69"/>
      <c r="F632" s="69"/>
      <c r="G632" s="69"/>
      <c r="H632" s="69"/>
      <c r="I632" s="69"/>
      <c r="J632" s="69"/>
      <c r="K632" s="69"/>
      <c r="L632" s="60"/>
    </row>
    <row r="633" spans="1:12">
      <c r="A633" s="68"/>
      <c r="B633" s="69"/>
      <c r="C633" s="69"/>
      <c r="D633" s="69"/>
      <c r="E633" s="69"/>
      <c r="F633" s="69"/>
      <c r="G633" s="69"/>
      <c r="H633" s="69"/>
      <c r="I633" s="69"/>
      <c r="J633" s="69"/>
      <c r="K633" s="69"/>
      <c r="L633" s="60"/>
    </row>
    <row r="634" spans="1:12">
      <c r="A634" s="68"/>
      <c r="B634" s="69"/>
      <c r="C634" s="69"/>
      <c r="D634" s="69"/>
      <c r="E634" s="69"/>
      <c r="F634" s="69"/>
      <c r="G634" s="69"/>
      <c r="H634" s="69"/>
      <c r="I634" s="69"/>
      <c r="J634" s="69"/>
      <c r="K634" s="69"/>
      <c r="L634" s="60"/>
    </row>
    <row r="635" spans="1:12">
      <c r="A635" s="68"/>
      <c r="B635" s="69"/>
      <c r="C635" s="69"/>
      <c r="D635" s="69"/>
      <c r="E635" s="69"/>
      <c r="F635" s="69"/>
      <c r="G635" s="69"/>
      <c r="H635" s="69"/>
      <c r="I635" s="69"/>
      <c r="J635" s="69"/>
      <c r="K635" s="69"/>
      <c r="L635" s="60"/>
    </row>
    <row r="636" spans="1:12">
      <c r="A636" s="68"/>
      <c r="B636" s="69"/>
      <c r="C636" s="69"/>
      <c r="D636" s="69"/>
      <c r="E636" s="69"/>
      <c r="F636" s="69"/>
      <c r="G636" s="69"/>
      <c r="H636" s="69"/>
      <c r="I636" s="69"/>
      <c r="J636" s="69"/>
      <c r="K636" s="69"/>
      <c r="L636" s="60"/>
    </row>
    <row r="637" spans="1:12">
      <c r="A637" s="68"/>
      <c r="B637" s="69"/>
      <c r="C637" s="69"/>
      <c r="D637" s="69"/>
      <c r="E637" s="69"/>
      <c r="F637" s="69"/>
      <c r="G637" s="69"/>
      <c r="H637" s="69"/>
      <c r="I637" s="69"/>
      <c r="J637" s="69"/>
      <c r="K637" s="69"/>
      <c r="L637" s="60"/>
    </row>
    <row r="638" spans="1:12">
      <c r="A638" s="68"/>
      <c r="B638" s="69"/>
      <c r="C638" s="69"/>
      <c r="D638" s="69"/>
      <c r="E638" s="69"/>
      <c r="F638" s="69"/>
      <c r="G638" s="69"/>
      <c r="H638" s="69"/>
      <c r="I638" s="69"/>
      <c r="J638" s="69"/>
      <c r="K638" s="69"/>
      <c r="L638" s="60"/>
    </row>
    <row r="639" spans="1:12">
      <c r="A639" s="68"/>
      <c r="B639" s="69"/>
      <c r="C639" s="69"/>
      <c r="D639" s="69"/>
      <c r="E639" s="69"/>
      <c r="F639" s="69"/>
      <c r="G639" s="69"/>
      <c r="H639" s="69"/>
      <c r="I639" s="69"/>
      <c r="J639" s="69"/>
      <c r="K639" s="69"/>
      <c r="L639" s="60"/>
    </row>
    <row r="640" spans="1:12">
      <c r="A640" s="68"/>
      <c r="B640" s="69"/>
      <c r="C640" s="69"/>
      <c r="D640" s="69"/>
      <c r="E640" s="69"/>
      <c r="F640" s="69"/>
      <c r="G640" s="69"/>
      <c r="H640" s="69"/>
      <c r="I640" s="69"/>
      <c r="J640" s="69"/>
      <c r="K640" s="69"/>
      <c r="L640" s="60"/>
    </row>
    <row r="641" spans="1:12">
      <c r="A641" s="68"/>
      <c r="B641" s="69"/>
      <c r="C641" s="69"/>
      <c r="D641" s="69"/>
      <c r="E641" s="69"/>
      <c r="F641" s="69"/>
      <c r="G641" s="69"/>
      <c r="H641" s="69"/>
      <c r="I641" s="69"/>
      <c r="J641" s="69"/>
      <c r="K641" s="69"/>
      <c r="L641" s="60"/>
    </row>
    <row r="642" spans="1:12">
      <c r="A642" s="68"/>
      <c r="B642" s="69"/>
      <c r="C642" s="69"/>
      <c r="D642" s="69"/>
      <c r="E642" s="69"/>
      <c r="F642" s="69"/>
      <c r="G642" s="69"/>
      <c r="H642" s="69"/>
      <c r="I642" s="69"/>
      <c r="J642" s="69"/>
      <c r="K642" s="69"/>
      <c r="L642" s="60"/>
    </row>
    <row r="643" spans="1:12">
      <c r="A643" s="68"/>
      <c r="B643" s="69"/>
      <c r="C643" s="69"/>
      <c r="D643" s="69"/>
      <c r="E643" s="69"/>
      <c r="F643" s="69"/>
      <c r="G643" s="69"/>
      <c r="H643" s="69"/>
      <c r="I643" s="69"/>
      <c r="J643" s="69"/>
      <c r="K643" s="69"/>
      <c r="L643" s="60"/>
    </row>
    <row r="644" spans="1:12">
      <c r="A644" s="68"/>
      <c r="B644" s="69"/>
      <c r="C644" s="69"/>
      <c r="D644" s="69"/>
      <c r="E644" s="69"/>
      <c r="F644" s="69"/>
      <c r="G644" s="69"/>
      <c r="H644" s="69"/>
      <c r="I644" s="69"/>
      <c r="J644" s="69"/>
      <c r="K644" s="69"/>
      <c r="L644" s="60"/>
    </row>
    <row r="645" spans="1:12">
      <c r="A645" s="68"/>
      <c r="B645" s="69"/>
      <c r="C645" s="69"/>
      <c r="D645" s="69"/>
      <c r="E645" s="69"/>
      <c r="F645" s="69"/>
      <c r="G645" s="69"/>
      <c r="H645" s="69"/>
      <c r="I645" s="69"/>
      <c r="J645" s="69"/>
      <c r="K645" s="69"/>
      <c r="L645" s="60"/>
    </row>
    <row r="646" spans="1:12">
      <c r="A646" s="68"/>
      <c r="B646" s="69"/>
      <c r="C646" s="69"/>
      <c r="D646" s="69"/>
      <c r="E646" s="69"/>
      <c r="F646" s="69"/>
      <c r="G646" s="69"/>
      <c r="H646" s="69"/>
      <c r="I646" s="69"/>
      <c r="J646" s="69"/>
      <c r="K646" s="69"/>
      <c r="L646" s="60"/>
    </row>
    <row r="647" spans="1:12">
      <c r="A647" s="68"/>
      <c r="B647" s="69"/>
      <c r="C647" s="69"/>
      <c r="D647" s="69"/>
      <c r="E647" s="69"/>
      <c r="F647" s="69"/>
      <c r="G647" s="69"/>
      <c r="H647" s="69"/>
      <c r="I647" s="69"/>
      <c r="J647" s="69"/>
      <c r="K647" s="69"/>
      <c r="L647" s="60"/>
    </row>
    <row r="648" spans="1:12">
      <c r="A648" s="68"/>
      <c r="B648" s="69"/>
      <c r="C648" s="69"/>
      <c r="D648" s="69"/>
      <c r="E648" s="69"/>
      <c r="F648" s="69"/>
      <c r="G648" s="69"/>
      <c r="H648" s="69"/>
      <c r="I648" s="69"/>
      <c r="J648" s="69"/>
      <c r="K648" s="69"/>
      <c r="L648" s="60"/>
    </row>
    <row r="649" spans="1:12">
      <c r="A649" s="68"/>
      <c r="B649" s="69"/>
      <c r="C649" s="69"/>
      <c r="D649" s="69"/>
      <c r="E649" s="69"/>
      <c r="F649" s="69"/>
      <c r="G649" s="69"/>
      <c r="H649" s="69"/>
      <c r="I649" s="69"/>
      <c r="J649" s="69"/>
      <c r="K649" s="69"/>
      <c r="L649" s="60"/>
    </row>
    <row r="650" spans="1:12">
      <c r="A650" s="68"/>
      <c r="B650" s="69"/>
      <c r="C650" s="69"/>
      <c r="D650" s="69"/>
      <c r="E650" s="69"/>
      <c r="F650" s="69"/>
      <c r="G650" s="69"/>
      <c r="H650" s="69"/>
      <c r="I650" s="69"/>
      <c r="J650" s="69"/>
      <c r="K650" s="69"/>
      <c r="L650" s="60"/>
    </row>
    <row r="651" spans="1:12">
      <c r="A651" s="68"/>
      <c r="B651" s="69"/>
      <c r="C651" s="69"/>
      <c r="D651" s="69"/>
      <c r="E651" s="69"/>
      <c r="F651" s="69"/>
      <c r="G651" s="69"/>
      <c r="H651" s="69"/>
      <c r="I651" s="69"/>
      <c r="J651" s="69"/>
      <c r="K651" s="69"/>
      <c r="L651" s="60"/>
    </row>
    <row r="652" spans="1:12">
      <c r="A652" s="68"/>
      <c r="B652" s="69"/>
      <c r="C652" s="69"/>
      <c r="D652" s="69"/>
      <c r="E652" s="69"/>
      <c r="F652" s="69"/>
      <c r="G652" s="69"/>
      <c r="H652" s="69"/>
      <c r="I652" s="69"/>
      <c r="J652" s="69"/>
      <c r="K652" s="69"/>
      <c r="L652" s="60"/>
    </row>
    <row r="653" spans="1:12">
      <c r="A653" s="68"/>
      <c r="B653" s="69"/>
      <c r="C653" s="69"/>
      <c r="D653" s="69"/>
      <c r="E653" s="69"/>
      <c r="F653" s="69"/>
      <c r="G653" s="69"/>
      <c r="H653" s="69"/>
      <c r="I653" s="69"/>
      <c r="J653" s="69"/>
      <c r="K653" s="69"/>
      <c r="L653" s="60"/>
    </row>
    <row r="654" spans="1:12">
      <c r="A654" s="68"/>
      <c r="B654" s="69"/>
      <c r="C654" s="69"/>
      <c r="D654" s="69"/>
      <c r="E654" s="69"/>
      <c r="F654" s="69"/>
      <c r="G654" s="69"/>
      <c r="H654" s="69"/>
      <c r="I654" s="69"/>
      <c r="J654" s="69"/>
      <c r="K654" s="69"/>
      <c r="L654" s="60"/>
    </row>
    <row r="655" spans="1:12">
      <c r="A655" s="68"/>
      <c r="B655" s="69"/>
      <c r="C655" s="69"/>
      <c r="D655" s="69"/>
      <c r="E655" s="69"/>
      <c r="F655" s="69"/>
      <c r="G655" s="69"/>
      <c r="H655" s="69"/>
      <c r="I655" s="69"/>
      <c r="J655" s="69"/>
      <c r="K655" s="69"/>
      <c r="L655" s="60"/>
    </row>
    <row r="656" spans="1:12">
      <c r="A656" s="68"/>
      <c r="B656" s="69"/>
      <c r="C656" s="69"/>
      <c r="D656" s="69"/>
      <c r="E656" s="69"/>
      <c r="F656" s="69"/>
      <c r="G656" s="69"/>
      <c r="H656" s="69"/>
      <c r="I656" s="69"/>
      <c r="J656" s="69"/>
      <c r="K656" s="69"/>
      <c r="L656" s="60"/>
    </row>
    <row r="657" spans="1:12">
      <c r="A657" s="68"/>
      <c r="B657" s="69"/>
      <c r="C657" s="69"/>
      <c r="D657" s="69"/>
      <c r="E657" s="69"/>
      <c r="F657" s="69"/>
      <c r="G657" s="69"/>
      <c r="H657" s="69"/>
      <c r="I657" s="69"/>
      <c r="J657" s="69"/>
      <c r="K657" s="69"/>
      <c r="L657" s="60"/>
    </row>
    <row r="658" spans="1:12">
      <c r="A658" s="68"/>
      <c r="B658" s="69"/>
      <c r="C658" s="69"/>
      <c r="D658" s="69"/>
      <c r="E658" s="69"/>
      <c r="F658" s="69"/>
      <c r="G658" s="69"/>
      <c r="H658" s="69"/>
      <c r="I658" s="69"/>
      <c r="J658" s="69"/>
      <c r="K658" s="69"/>
      <c r="L658" s="60"/>
    </row>
    <row r="659" spans="1:12">
      <c r="A659" s="68"/>
      <c r="B659" s="69"/>
      <c r="C659" s="69"/>
      <c r="D659" s="69"/>
      <c r="E659" s="69"/>
      <c r="F659" s="69"/>
      <c r="G659" s="69"/>
      <c r="H659" s="69"/>
      <c r="I659" s="69"/>
      <c r="J659" s="69"/>
      <c r="K659" s="69"/>
      <c r="L659" s="60"/>
    </row>
    <row r="660" spans="1:12">
      <c r="A660" s="68"/>
      <c r="B660" s="69"/>
      <c r="C660" s="69"/>
      <c r="D660" s="69"/>
      <c r="E660" s="69"/>
      <c r="F660" s="69"/>
      <c r="G660" s="69"/>
      <c r="H660" s="69"/>
      <c r="I660" s="69"/>
      <c r="J660" s="69"/>
      <c r="K660" s="69"/>
      <c r="L660" s="60"/>
    </row>
    <row r="661" spans="1:12">
      <c r="A661" s="68"/>
      <c r="B661" s="69"/>
      <c r="C661" s="69"/>
      <c r="D661" s="69"/>
      <c r="E661" s="69"/>
      <c r="F661" s="69"/>
      <c r="G661" s="69"/>
      <c r="H661" s="69"/>
      <c r="I661" s="69"/>
      <c r="J661" s="69"/>
      <c r="K661" s="69"/>
      <c r="L661" s="60"/>
    </row>
    <row r="662" spans="1:12">
      <c r="A662" s="68"/>
      <c r="B662" s="69"/>
      <c r="C662" s="69"/>
      <c r="D662" s="69"/>
      <c r="E662" s="69"/>
      <c r="F662" s="69"/>
      <c r="G662" s="69"/>
      <c r="H662" s="69"/>
      <c r="I662" s="69"/>
      <c r="J662" s="69"/>
      <c r="K662" s="69"/>
      <c r="L662" s="60"/>
    </row>
    <row r="663" spans="1:12">
      <c r="A663" s="68"/>
      <c r="B663" s="69"/>
      <c r="C663" s="69"/>
      <c r="D663" s="69"/>
      <c r="E663" s="69"/>
      <c r="F663" s="69"/>
      <c r="G663" s="69"/>
      <c r="H663" s="69"/>
      <c r="I663" s="69"/>
      <c r="J663" s="69"/>
      <c r="K663" s="69"/>
      <c r="L663" s="60"/>
    </row>
    <row r="664" spans="1:12">
      <c r="A664" s="68"/>
      <c r="B664" s="69"/>
      <c r="C664" s="69"/>
      <c r="D664" s="69"/>
      <c r="E664" s="69"/>
      <c r="F664" s="69"/>
      <c r="G664" s="69"/>
      <c r="H664" s="69"/>
      <c r="I664" s="69"/>
      <c r="J664" s="69"/>
      <c r="K664" s="69"/>
      <c r="L664" s="60"/>
    </row>
    <row r="665" spans="1:12">
      <c r="A665" s="68"/>
      <c r="B665" s="69"/>
      <c r="C665" s="69"/>
      <c r="D665" s="69"/>
      <c r="E665" s="69"/>
      <c r="F665" s="69"/>
      <c r="G665" s="69"/>
      <c r="H665" s="69"/>
      <c r="I665" s="69"/>
      <c r="J665" s="69"/>
      <c r="K665" s="69"/>
      <c r="L665" s="60"/>
    </row>
    <row r="666" spans="1:12">
      <c r="A666" s="68"/>
      <c r="B666" s="69"/>
      <c r="C666" s="69"/>
      <c r="D666" s="69"/>
      <c r="E666" s="69"/>
      <c r="F666" s="69"/>
      <c r="G666" s="69"/>
      <c r="H666" s="69"/>
      <c r="I666" s="69"/>
      <c r="J666" s="69"/>
      <c r="K666" s="69"/>
      <c r="L666" s="60"/>
    </row>
    <row r="667" spans="1:12">
      <c r="A667" s="68"/>
      <c r="B667" s="69"/>
      <c r="C667" s="69"/>
      <c r="D667" s="69"/>
      <c r="E667" s="69"/>
      <c r="F667" s="69"/>
      <c r="G667" s="69"/>
      <c r="H667" s="69"/>
      <c r="I667" s="69"/>
      <c r="J667" s="69"/>
      <c r="K667" s="69"/>
      <c r="L667" s="60"/>
    </row>
    <row r="668" spans="1:12">
      <c r="A668" s="68"/>
      <c r="B668" s="69"/>
      <c r="C668" s="69"/>
      <c r="D668" s="69"/>
      <c r="E668" s="69"/>
      <c r="F668" s="69"/>
      <c r="G668" s="69"/>
      <c r="H668" s="69"/>
      <c r="I668" s="69"/>
      <c r="J668" s="69"/>
      <c r="K668" s="69"/>
      <c r="L668" s="60"/>
    </row>
    <row r="669" spans="1:12">
      <c r="A669" s="68"/>
      <c r="B669" s="69"/>
      <c r="C669" s="69"/>
      <c r="D669" s="69"/>
      <c r="E669" s="69"/>
      <c r="F669" s="69"/>
      <c r="G669" s="69"/>
      <c r="H669" s="69"/>
      <c r="I669" s="69"/>
      <c r="J669" s="69"/>
      <c r="K669" s="69"/>
      <c r="L669" s="60"/>
    </row>
    <row r="670" spans="1:12">
      <c r="A670" s="68"/>
      <c r="B670" s="69"/>
      <c r="C670" s="69"/>
      <c r="D670" s="69"/>
      <c r="E670" s="69"/>
      <c r="F670" s="69"/>
      <c r="G670" s="69"/>
      <c r="H670" s="69"/>
      <c r="I670" s="69"/>
      <c r="J670" s="69"/>
      <c r="K670" s="69"/>
      <c r="L670" s="60"/>
    </row>
    <row r="671" spans="1:12">
      <c r="A671" s="68"/>
      <c r="B671" s="69"/>
      <c r="C671" s="69"/>
      <c r="D671" s="69"/>
      <c r="E671" s="69"/>
      <c r="F671" s="69"/>
      <c r="G671" s="69"/>
      <c r="H671" s="69"/>
      <c r="I671" s="69"/>
      <c r="J671" s="69"/>
      <c r="K671" s="69"/>
      <c r="L671" s="60"/>
    </row>
    <row r="672" spans="1:12">
      <c r="A672" s="68"/>
      <c r="B672" s="69"/>
      <c r="C672" s="69"/>
      <c r="D672" s="69"/>
      <c r="E672" s="69"/>
      <c r="F672" s="69"/>
      <c r="G672" s="69"/>
      <c r="H672" s="69"/>
      <c r="I672" s="69"/>
      <c r="J672" s="69"/>
      <c r="K672" s="69"/>
      <c r="L672" s="60"/>
    </row>
    <row r="673" spans="1:12">
      <c r="A673" s="68"/>
      <c r="B673" s="69"/>
      <c r="C673" s="69"/>
      <c r="D673" s="69"/>
      <c r="E673" s="69"/>
      <c r="F673" s="69"/>
      <c r="G673" s="69"/>
      <c r="H673" s="69"/>
      <c r="I673" s="69"/>
      <c r="J673" s="69"/>
      <c r="K673" s="69"/>
      <c r="L673" s="60"/>
    </row>
    <row r="674" spans="1:12">
      <c r="A674" s="68"/>
      <c r="B674" s="69"/>
      <c r="C674" s="69"/>
      <c r="D674" s="69"/>
      <c r="E674" s="69"/>
      <c r="F674" s="69"/>
      <c r="G674" s="69"/>
      <c r="H674" s="69"/>
      <c r="I674" s="69"/>
      <c r="J674" s="69"/>
      <c r="K674" s="69"/>
      <c r="L674" s="60"/>
    </row>
    <row r="675" spans="1:12">
      <c r="A675" s="68"/>
      <c r="B675" s="69"/>
      <c r="C675" s="69"/>
      <c r="D675" s="69"/>
      <c r="E675" s="69"/>
      <c r="F675" s="69"/>
      <c r="G675" s="69"/>
      <c r="H675" s="69"/>
      <c r="I675" s="69"/>
      <c r="J675" s="69"/>
      <c r="K675" s="69"/>
      <c r="L675" s="60"/>
    </row>
    <row r="676" spans="1:12">
      <c r="A676" s="68"/>
      <c r="B676" s="69"/>
      <c r="C676" s="69"/>
      <c r="D676" s="69"/>
      <c r="E676" s="69"/>
      <c r="F676" s="69"/>
      <c r="G676" s="69"/>
      <c r="H676" s="69"/>
      <c r="I676" s="69"/>
      <c r="J676" s="69"/>
      <c r="K676" s="69"/>
      <c r="L676" s="60"/>
    </row>
    <row r="677" spans="1:12">
      <c r="A677" s="68"/>
      <c r="B677" s="69"/>
      <c r="C677" s="69"/>
      <c r="D677" s="69"/>
      <c r="E677" s="69"/>
      <c r="F677" s="69"/>
      <c r="G677" s="69"/>
      <c r="H677" s="69"/>
      <c r="I677" s="69"/>
      <c r="J677" s="69"/>
      <c r="K677" s="69"/>
      <c r="L677" s="60"/>
    </row>
    <row r="678" spans="1:12">
      <c r="A678" s="68"/>
      <c r="B678" s="69"/>
      <c r="C678" s="69"/>
      <c r="D678" s="69"/>
      <c r="E678" s="69"/>
      <c r="F678" s="69"/>
      <c r="G678" s="69"/>
      <c r="H678" s="69"/>
      <c r="I678" s="69"/>
      <c r="J678" s="69"/>
      <c r="K678" s="69"/>
      <c r="L678" s="60"/>
    </row>
    <row r="679" spans="1:12">
      <c r="A679" s="68"/>
      <c r="B679" s="69"/>
      <c r="C679" s="69"/>
      <c r="D679" s="69"/>
      <c r="E679" s="69"/>
      <c r="F679" s="69"/>
      <c r="G679" s="69"/>
      <c r="H679" s="69"/>
      <c r="I679" s="69"/>
      <c r="J679" s="69"/>
      <c r="K679" s="69"/>
      <c r="L679" s="60"/>
    </row>
    <row r="680" spans="1:12">
      <c r="A680" s="68"/>
      <c r="B680" s="69"/>
      <c r="C680" s="69"/>
      <c r="D680" s="69"/>
      <c r="E680" s="69"/>
      <c r="F680" s="69"/>
      <c r="G680" s="69"/>
      <c r="H680" s="69"/>
      <c r="I680" s="69"/>
      <c r="J680" s="69"/>
      <c r="K680" s="69"/>
      <c r="L680" s="60"/>
    </row>
    <row r="681" spans="1:12">
      <c r="A681" s="68"/>
      <c r="B681" s="69"/>
      <c r="C681" s="69"/>
      <c r="D681" s="69"/>
      <c r="E681" s="69"/>
      <c r="F681" s="69"/>
      <c r="G681" s="69"/>
      <c r="H681" s="69"/>
      <c r="I681" s="69"/>
      <c r="J681" s="69"/>
      <c r="K681" s="69"/>
      <c r="L681" s="60"/>
    </row>
    <row r="682" spans="1:12">
      <c r="A682" s="68"/>
      <c r="B682" s="69"/>
      <c r="C682" s="69"/>
      <c r="D682" s="69"/>
      <c r="E682" s="69"/>
      <c r="F682" s="69"/>
      <c r="G682" s="69"/>
      <c r="H682" s="69"/>
      <c r="I682" s="69"/>
      <c r="J682" s="69"/>
      <c r="K682" s="69"/>
      <c r="L682" s="60"/>
    </row>
    <row r="683" spans="1:12">
      <c r="A683" s="68"/>
      <c r="B683" s="69"/>
      <c r="C683" s="69"/>
      <c r="D683" s="69"/>
      <c r="E683" s="69"/>
      <c r="F683" s="69"/>
      <c r="G683" s="69"/>
      <c r="H683" s="69"/>
      <c r="I683" s="69"/>
      <c r="J683" s="69"/>
      <c r="K683" s="69"/>
      <c r="L683" s="60"/>
    </row>
    <row r="684" spans="1:12">
      <c r="A684" s="68"/>
      <c r="B684" s="69"/>
      <c r="C684" s="69"/>
      <c r="D684" s="69"/>
      <c r="E684" s="69"/>
      <c r="F684" s="69"/>
      <c r="G684" s="69"/>
      <c r="H684" s="69"/>
      <c r="I684" s="69"/>
      <c r="J684" s="69"/>
      <c r="K684" s="69"/>
      <c r="L684" s="60"/>
    </row>
    <row r="685" spans="1:12">
      <c r="A685" s="68"/>
      <c r="B685" s="69"/>
      <c r="C685" s="69"/>
      <c r="D685" s="69"/>
      <c r="E685" s="69"/>
      <c r="F685" s="69"/>
      <c r="G685" s="69"/>
      <c r="H685" s="69"/>
      <c r="I685" s="69"/>
      <c r="J685" s="69"/>
      <c r="K685" s="69"/>
      <c r="L685" s="60"/>
    </row>
    <row r="686" spans="1:12">
      <c r="A686" s="68"/>
      <c r="B686" s="69"/>
      <c r="C686" s="69"/>
      <c r="D686" s="69"/>
      <c r="E686" s="69"/>
      <c r="F686" s="69"/>
      <c r="G686" s="69"/>
      <c r="H686" s="69"/>
      <c r="I686" s="69"/>
      <c r="J686" s="69"/>
      <c r="K686" s="69"/>
      <c r="L686" s="60"/>
    </row>
    <row r="687" spans="1:12">
      <c r="A687" s="68"/>
      <c r="B687" s="69"/>
      <c r="C687" s="69"/>
      <c r="D687" s="69"/>
      <c r="E687" s="69"/>
      <c r="F687" s="69"/>
      <c r="G687" s="69"/>
      <c r="H687" s="69"/>
      <c r="I687" s="69"/>
      <c r="J687" s="69"/>
      <c r="K687" s="69"/>
      <c r="L687" s="60"/>
    </row>
    <row r="688" spans="1:12">
      <c r="A688" s="68"/>
      <c r="B688" s="69"/>
      <c r="C688" s="69"/>
      <c r="D688" s="69"/>
      <c r="E688" s="69"/>
      <c r="F688" s="69"/>
      <c r="G688" s="69"/>
      <c r="H688" s="69"/>
      <c r="I688" s="69"/>
      <c r="J688" s="69"/>
      <c r="K688" s="69"/>
      <c r="L688" s="60"/>
    </row>
    <row r="689" spans="1:12">
      <c r="A689" s="68"/>
      <c r="B689" s="69"/>
      <c r="C689" s="69"/>
      <c r="D689" s="69"/>
      <c r="E689" s="69"/>
      <c r="F689" s="69"/>
      <c r="G689" s="69"/>
      <c r="H689" s="69"/>
      <c r="I689" s="69"/>
      <c r="J689" s="69"/>
      <c r="K689" s="69"/>
      <c r="L689" s="60"/>
    </row>
    <row r="690" spans="1:12">
      <c r="A690" s="68"/>
      <c r="B690" s="69"/>
      <c r="C690" s="69"/>
      <c r="D690" s="69"/>
      <c r="E690" s="69"/>
      <c r="F690" s="69"/>
      <c r="G690" s="69"/>
      <c r="H690" s="69"/>
      <c r="I690" s="69"/>
      <c r="J690" s="69"/>
      <c r="K690" s="69"/>
      <c r="L690" s="60"/>
    </row>
    <row r="691" spans="1:12">
      <c r="A691" s="68"/>
      <c r="B691" s="69"/>
      <c r="C691" s="69"/>
      <c r="D691" s="69"/>
      <c r="E691" s="69"/>
      <c r="F691" s="69"/>
      <c r="G691" s="69"/>
      <c r="H691" s="69"/>
      <c r="I691" s="69"/>
      <c r="J691" s="69"/>
      <c r="K691" s="69"/>
      <c r="L691" s="60"/>
    </row>
    <row r="692" spans="1:12">
      <c r="A692" s="68"/>
      <c r="B692" s="69"/>
      <c r="C692" s="69"/>
      <c r="D692" s="69"/>
      <c r="E692" s="69"/>
      <c r="F692" s="69"/>
      <c r="G692" s="69"/>
      <c r="H692" s="69"/>
      <c r="I692" s="69"/>
      <c r="J692" s="69"/>
      <c r="K692" s="69"/>
      <c r="L692" s="60"/>
    </row>
    <row r="693" spans="1:12">
      <c r="A693" s="68"/>
      <c r="B693" s="69"/>
      <c r="C693" s="69"/>
      <c r="D693" s="69"/>
      <c r="E693" s="69"/>
      <c r="F693" s="69"/>
      <c r="G693" s="69"/>
      <c r="H693" s="69"/>
      <c r="I693" s="69"/>
      <c r="J693" s="69"/>
      <c r="K693" s="69"/>
      <c r="L693" s="60"/>
    </row>
    <row r="694" spans="1:12">
      <c r="A694" s="68"/>
      <c r="B694" s="69"/>
      <c r="C694" s="69"/>
      <c r="D694" s="69"/>
      <c r="E694" s="69"/>
      <c r="F694" s="69"/>
      <c r="G694" s="69"/>
      <c r="H694" s="69"/>
      <c r="I694" s="69"/>
      <c r="J694" s="69"/>
      <c r="K694" s="69"/>
      <c r="L694" s="60"/>
    </row>
    <row r="695" spans="1:12">
      <c r="A695" s="68"/>
      <c r="B695" s="69"/>
      <c r="C695" s="69"/>
      <c r="D695" s="69"/>
      <c r="E695" s="69"/>
      <c r="F695" s="69"/>
      <c r="G695" s="69"/>
      <c r="H695" s="69"/>
      <c r="I695" s="69"/>
      <c r="J695" s="69"/>
      <c r="K695" s="69"/>
      <c r="L695" s="60"/>
    </row>
    <row r="696" spans="1:12">
      <c r="A696" s="68"/>
      <c r="B696" s="69"/>
      <c r="C696" s="69"/>
      <c r="D696" s="69"/>
      <c r="E696" s="69"/>
      <c r="F696" s="69"/>
      <c r="G696" s="69"/>
      <c r="H696" s="69"/>
      <c r="I696" s="69"/>
      <c r="J696" s="69"/>
      <c r="K696" s="69"/>
      <c r="L696" s="60"/>
    </row>
    <row r="697" spans="1:12">
      <c r="A697" s="68"/>
      <c r="B697" s="69"/>
      <c r="C697" s="69"/>
      <c r="D697" s="69"/>
      <c r="E697" s="69"/>
      <c r="F697" s="69"/>
      <c r="G697" s="69"/>
      <c r="H697" s="69"/>
      <c r="I697" s="69"/>
      <c r="J697" s="69"/>
      <c r="K697" s="69"/>
      <c r="L697" s="60"/>
    </row>
    <row r="698" spans="1:12">
      <c r="A698" s="68"/>
      <c r="B698" s="69"/>
      <c r="C698" s="69"/>
      <c r="D698" s="69"/>
      <c r="E698" s="69"/>
      <c r="F698" s="69"/>
      <c r="G698" s="69"/>
      <c r="H698" s="69"/>
      <c r="I698" s="69"/>
      <c r="J698" s="69"/>
      <c r="K698" s="69"/>
      <c r="L698" s="60"/>
    </row>
    <row r="699" spans="1:12">
      <c r="A699" s="68"/>
      <c r="B699" s="69"/>
      <c r="C699" s="69"/>
      <c r="D699" s="69"/>
      <c r="E699" s="69"/>
      <c r="F699" s="69"/>
      <c r="G699" s="69"/>
      <c r="H699" s="69"/>
      <c r="I699" s="69"/>
      <c r="J699" s="69"/>
      <c r="K699" s="69"/>
      <c r="L699" s="60"/>
    </row>
    <row r="700" spans="1:12">
      <c r="A700" s="68"/>
      <c r="B700" s="69"/>
      <c r="C700" s="69"/>
      <c r="D700" s="69"/>
      <c r="E700" s="69"/>
      <c r="F700" s="69"/>
      <c r="G700" s="69"/>
      <c r="H700" s="69"/>
      <c r="I700" s="69"/>
      <c r="J700" s="69"/>
      <c r="K700" s="69"/>
      <c r="L700" s="60"/>
    </row>
    <row r="701" spans="1:12">
      <c r="A701" s="68"/>
      <c r="B701" s="69"/>
      <c r="C701" s="69"/>
      <c r="D701" s="69"/>
      <c r="E701" s="69"/>
      <c r="F701" s="69"/>
      <c r="G701" s="69"/>
      <c r="H701" s="69"/>
      <c r="I701" s="69"/>
      <c r="J701" s="69"/>
      <c r="K701" s="69"/>
      <c r="L701" s="60"/>
    </row>
    <row r="702" spans="1:12">
      <c r="A702" s="68"/>
      <c r="B702" s="69"/>
      <c r="C702" s="69"/>
      <c r="D702" s="69"/>
      <c r="E702" s="69"/>
      <c r="F702" s="69"/>
      <c r="G702" s="69"/>
      <c r="H702" s="69"/>
      <c r="I702" s="69"/>
      <c r="J702" s="69"/>
      <c r="K702" s="69"/>
      <c r="L702" s="60"/>
    </row>
    <row r="703" spans="1:12">
      <c r="A703" s="68"/>
      <c r="B703" s="69"/>
      <c r="C703" s="69"/>
      <c r="D703" s="69"/>
      <c r="E703" s="69"/>
      <c r="F703" s="69"/>
      <c r="G703" s="69"/>
      <c r="H703" s="69"/>
      <c r="I703" s="69"/>
      <c r="J703" s="69"/>
      <c r="K703" s="69"/>
      <c r="L703" s="60"/>
    </row>
    <row r="704" spans="1:12">
      <c r="A704" s="68"/>
      <c r="B704" s="69"/>
      <c r="C704" s="69"/>
      <c r="D704" s="69"/>
      <c r="E704" s="69"/>
      <c r="F704" s="69"/>
      <c r="G704" s="69"/>
      <c r="H704" s="69"/>
      <c r="I704" s="69"/>
      <c r="J704" s="69"/>
      <c r="K704" s="69"/>
      <c r="L704" s="60"/>
    </row>
    <row r="705" spans="1:12">
      <c r="A705" s="68"/>
      <c r="B705" s="69"/>
      <c r="C705" s="69"/>
      <c r="D705" s="69"/>
      <c r="E705" s="69"/>
      <c r="F705" s="69"/>
      <c r="G705" s="69"/>
      <c r="H705" s="69"/>
      <c r="I705" s="69"/>
      <c r="J705" s="69"/>
      <c r="K705" s="69"/>
      <c r="L705" s="60"/>
    </row>
    <row r="706" spans="1:12">
      <c r="A706" s="68"/>
      <c r="B706" s="69"/>
      <c r="C706" s="69"/>
      <c r="D706" s="69"/>
      <c r="E706" s="69"/>
      <c r="F706" s="69"/>
      <c r="G706" s="69"/>
      <c r="H706" s="69"/>
      <c r="I706" s="69"/>
      <c r="J706" s="69"/>
      <c r="K706" s="69"/>
      <c r="L706" s="60"/>
    </row>
    <row r="707" spans="1:12">
      <c r="A707" s="68"/>
      <c r="B707" s="69"/>
      <c r="C707" s="69"/>
      <c r="D707" s="69"/>
      <c r="E707" s="69"/>
      <c r="F707" s="69"/>
      <c r="G707" s="69"/>
      <c r="H707" s="69"/>
      <c r="I707" s="69"/>
      <c r="J707" s="69"/>
      <c r="K707" s="69"/>
      <c r="L707" s="60"/>
    </row>
    <row r="708" spans="1:12">
      <c r="A708" s="68"/>
      <c r="B708" s="69"/>
      <c r="C708" s="69"/>
      <c r="D708" s="69"/>
      <c r="E708" s="69"/>
      <c r="F708" s="69"/>
      <c r="G708" s="69"/>
      <c r="H708" s="69"/>
      <c r="I708" s="69"/>
      <c r="J708" s="69"/>
      <c r="K708" s="69"/>
      <c r="L708" s="60"/>
    </row>
    <row r="709" spans="1:12">
      <c r="A709" s="68"/>
      <c r="B709" s="69"/>
      <c r="C709" s="69"/>
      <c r="D709" s="69"/>
      <c r="E709" s="69"/>
      <c r="F709" s="69"/>
      <c r="G709" s="69"/>
      <c r="H709" s="69"/>
      <c r="I709" s="69"/>
      <c r="J709" s="69"/>
      <c r="K709" s="69"/>
      <c r="L709" s="60"/>
    </row>
    <row r="710" spans="1:12">
      <c r="A710" s="68"/>
      <c r="B710" s="69"/>
      <c r="C710" s="69"/>
      <c r="D710" s="69"/>
      <c r="E710" s="69"/>
      <c r="F710" s="69"/>
      <c r="G710" s="69"/>
      <c r="H710" s="69"/>
      <c r="I710" s="69"/>
      <c r="J710" s="69"/>
      <c r="K710" s="69"/>
      <c r="L710" s="60"/>
    </row>
    <row r="711" spans="1:12">
      <c r="A711" s="68"/>
      <c r="B711" s="69"/>
      <c r="C711" s="69"/>
      <c r="D711" s="69"/>
      <c r="E711" s="69"/>
      <c r="F711" s="69"/>
      <c r="G711" s="69"/>
      <c r="H711" s="69"/>
      <c r="I711" s="69"/>
      <c r="J711" s="69"/>
      <c r="K711" s="69"/>
      <c r="L711" s="60"/>
    </row>
    <row r="712" spans="1:12">
      <c r="A712" s="68"/>
      <c r="B712" s="69"/>
      <c r="C712" s="69"/>
      <c r="D712" s="69"/>
      <c r="E712" s="69"/>
      <c r="F712" s="69"/>
      <c r="G712" s="69"/>
      <c r="H712" s="69"/>
      <c r="I712" s="69"/>
      <c r="J712" s="69"/>
      <c r="K712" s="69"/>
      <c r="L712" s="60"/>
    </row>
    <row r="713" spans="1:12">
      <c r="A713" s="68"/>
      <c r="B713" s="69"/>
      <c r="C713" s="69"/>
      <c r="D713" s="69"/>
      <c r="E713" s="69"/>
      <c r="F713" s="69"/>
      <c r="G713" s="69"/>
      <c r="H713" s="69"/>
      <c r="I713" s="69"/>
      <c r="J713" s="69"/>
      <c r="K713" s="69"/>
      <c r="L713" s="60"/>
    </row>
    <row r="714" spans="1:12">
      <c r="A714" s="68"/>
      <c r="B714" s="69"/>
      <c r="C714" s="69"/>
      <c r="D714" s="69"/>
      <c r="E714" s="69"/>
      <c r="F714" s="69"/>
      <c r="G714" s="69"/>
      <c r="H714" s="69"/>
      <c r="I714" s="69"/>
      <c r="J714" s="69"/>
      <c r="K714" s="69"/>
      <c r="L714" s="60"/>
    </row>
    <row r="715" spans="1:12">
      <c r="A715" s="68"/>
      <c r="B715" s="69"/>
      <c r="C715" s="69"/>
      <c r="D715" s="69"/>
      <c r="E715" s="69"/>
      <c r="F715" s="69"/>
      <c r="G715" s="69"/>
      <c r="H715" s="69"/>
      <c r="I715" s="69"/>
      <c r="J715" s="69"/>
      <c r="K715" s="69"/>
      <c r="L715" s="60"/>
    </row>
    <row r="716" spans="1:12">
      <c r="A716" s="68"/>
      <c r="B716" s="69"/>
      <c r="C716" s="69"/>
      <c r="D716" s="69"/>
      <c r="E716" s="69"/>
      <c r="F716" s="69"/>
      <c r="G716" s="69"/>
      <c r="H716" s="69"/>
      <c r="I716" s="69"/>
      <c r="J716" s="69"/>
      <c r="K716" s="69"/>
      <c r="L716" s="60"/>
    </row>
    <row r="717" spans="1:12">
      <c r="A717" s="68"/>
      <c r="B717" s="69"/>
      <c r="C717" s="69"/>
      <c r="D717" s="69"/>
      <c r="E717" s="69"/>
      <c r="F717" s="69"/>
      <c r="G717" s="69"/>
      <c r="H717" s="69"/>
      <c r="I717" s="69"/>
      <c r="J717" s="69"/>
      <c r="K717" s="69"/>
      <c r="L717" s="60"/>
    </row>
    <row r="718" spans="1:12">
      <c r="A718" s="68"/>
      <c r="B718" s="69"/>
      <c r="C718" s="69"/>
      <c r="D718" s="69"/>
      <c r="E718" s="69"/>
      <c r="F718" s="69"/>
      <c r="G718" s="69"/>
      <c r="H718" s="69"/>
      <c r="I718" s="69"/>
      <c r="J718" s="69"/>
      <c r="K718" s="69"/>
      <c r="L718" s="60"/>
    </row>
    <row r="719" spans="1:12">
      <c r="A719" s="68"/>
      <c r="B719" s="69"/>
      <c r="C719" s="69"/>
      <c r="D719" s="69"/>
      <c r="E719" s="69"/>
      <c r="F719" s="69"/>
      <c r="G719" s="69"/>
      <c r="H719" s="69"/>
      <c r="I719" s="69"/>
      <c r="J719" s="69"/>
      <c r="K719" s="69"/>
      <c r="L719" s="60"/>
    </row>
    <row r="720" spans="1:12">
      <c r="A720" s="68"/>
      <c r="B720" s="69"/>
      <c r="C720" s="69"/>
      <c r="D720" s="69"/>
      <c r="E720" s="69"/>
      <c r="F720" s="69"/>
      <c r="G720" s="69"/>
      <c r="H720" s="69"/>
      <c r="I720" s="69"/>
      <c r="J720" s="69"/>
      <c r="K720" s="69"/>
      <c r="L720" s="60"/>
    </row>
    <row r="721" spans="1:12">
      <c r="A721" s="68"/>
      <c r="B721" s="69"/>
      <c r="C721" s="69"/>
      <c r="D721" s="69"/>
      <c r="E721" s="69"/>
      <c r="F721" s="69"/>
      <c r="G721" s="69"/>
      <c r="H721" s="69"/>
      <c r="I721" s="69"/>
      <c r="J721" s="69"/>
      <c r="K721" s="69"/>
      <c r="L721" s="60"/>
    </row>
    <row r="722" spans="1:12">
      <c r="A722" s="68"/>
      <c r="B722" s="69"/>
      <c r="C722" s="69"/>
      <c r="D722" s="69"/>
      <c r="E722" s="69"/>
      <c r="F722" s="69"/>
      <c r="G722" s="69"/>
      <c r="H722" s="69"/>
      <c r="I722" s="69"/>
      <c r="J722" s="69"/>
      <c r="K722" s="69"/>
      <c r="L722" s="60"/>
    </row>
    <row r="723" spans="1:12">
      <c r="A723" s="68"/>
      <c r="B723" s="69"/>
      <c r="C723" s="69"/>
      <c r="D723" s="69"/>
      <c r="E723" s="69"/>
      <c r="F723" s="69"/>
      <c r="G723" s="69"/>
      <c r="H723" s="69"/>
      <c r="I723" s="69"/>
      <c r="J723" s="69"/>
      <c r="K723" s="69"/>
      <c r="L723" s="60"/>
    </row>
    <row r="724" spans="1:12">
      <c r="A724" s="68"/>
      <c r="B724" s="69"/>
      <c r="C724" s="69"/>
      <c r="D724" s="69"/>
      <c r="E724" s="69"/>
      <c r="F724" s="69"/>
      <c r="G724" s="69"/>
      <c r="H724" s="69"/>
      <c r="I724" s="69"/>
      <c r="J724" s="69"/>
      <c r="K724" s="69"/>
      <c r="L724" s="60"/>
    </row>
    <row r="725" spans="1:12">
      <c r="A725" s="68"/>
      <c r="B725" s="69"/>
      <c r="C725" s="69"/>
      <c r="D725" s="69"/>
      <c r="E725" s="69"/>
      <c r="F725" s="69"/>
      <c r="G725" s="69"/>
      <c r="H725" s="69"/>
      <c r="I725" s="69"/>
      <c r="J725" s="69"/>
      <c r="K725" s="69"/>
      <c r="L725" s="60"/>
    </row>
    <row r="726" spans="1:12">
      <c r="A726" s="68"/>
      <c r="B726" s="69"/>
      <c r="C726" s="69"/>
      <c r="D726" s="69"/>
      <c r="E726" s="69"/>
      <c r="F726" s="69"/>
      <c r="G726" s="69"/>
      <c r="H726" s="69"/>
      <c r="I726" s="69"/>
      <c r="J726" s="69"/>
      <c r="K726" s="69"/>
      <c r="L726" s="60"/>
    </row>
    <row r="727" spans="1:12">
      <c r="A727" s="68"/>
      <c r="B727" s="69"/>
      <c r="C727" s="69"/>
      <c r="D727" s="69"/>
      <c r="E727" s="69"/>
      <c r="F727" s="69"/>
      <c r="G727" s="69"/>
      <c r="H727" s="69"/>
      <c r="I727" s="69"/>
      <c r="J727" s="69"/>
      <c r="K727" s="69"/>
      <c r="L727" s="60"/>
    </row>
    <row r="728" spans="1:12">
      <c r="A728" s="68"/>
      <c r="B728" s="69"/>
      <c r="C728" s="69"/>
      <c r="D728" s="69"/>
      <c r="E728" s="69"/>
      <c r="F728" s="69"/>
      <c r="G728" s="69"/>
      <c r="H728" s="69"/>
      <c r="I728" s="69"/>
      <c r="J728" s="69"/>
      <c r="K728" s="69"/>
      <c r="L728" s="60"/>
    </row>
    <row r="729" spans="1:12">
      <c r="A729" s="68"/>
      <c r="B729" s="69"/>
      <c r="C729" s="69"/>
      <c r="D729" s="69"/>
      <c r="E729" s="69"/>
      <c r="F729" s="69"/>
      <c r="G729" s="69"/>
      <c r="H729" s="69"/>
      <c r="I729" s="69"/>
      <c r="J729" s="69"/>
      <c r="K729" s="69"/>
      <c r="L729" s="60"/>
    </row>
    <row r="730" spans="1:12">
      <c r="A730" s="68"/>
      <c r="B730" s="69"/>
      <c r="C730" s="69"/>
      <c r="D730" s="69"/>
      <c r="E730" s="69"/>
      <c r="F730" s="69"/>
      <c r="G730" s="69"/>
      <c r="H730" s="69"/>
      <c r="I730" s="69"/>
      <c r="J730" s="69"/>
      <c r="K730" s="69"/>
      <c r="L730" s="60"/>
    </row>
    <row r="731" spans="1:12">
      <c r="A731" s="68"/>
      <c r="B731" s="69"/>
      <c r="C731" s="69"/>
      <c r="D731" s="69"/>
      <c r="E731" s="69"/>
      <c r="F731" s="69"/>
      <c r="G731" s="69"/>
      <c r="H731" s="69"/>
      <c r="I731" s="69"/>
      <c r="J731" s="69"/>
      <c r="K731" s="69"/>
      <c r="L731" s="60"/>
    </row>
    <row r="732" spans="1:12">
      <c r="A732" s="68"/>
      <c r="B732" s="69"/>
      <c r="C732" s="69"/>
      <c r="D732" s="69"/>
      <c r="E732" s="69"/>
      <c r="F732" s="69"/>
      <c r="G732" s="69"/>
      <c r="H732" s="69"/>
      <c r="I732" s="69"/>
      <c r="J732" s="69"/>
      <c r="K732" s="69"/>
      <c r="L732" s="60"/>
    </row>
    <row r="733" spans="1:12">
      <c r="A733" s="68"/>
      <c r="B733" s="69"/>
      <c r="C733" s="69"/>
      <c r="D733" s="69"/>
      <c r="E733" s="69"/>
      <c r="F733" s="69"/>
      <c r="G733" s="69"/>
      <c r="H733" s="69"/>
      <c r="I733" s="69"/>
      <c r="J733" s="69"/>
      <c r="K733" s="69"/>
      <c r="L733" s="60"/>
    </row>
    <row r="734" spans="1:12">
      <c r="A734" s="68"/>
      <c r="B734" s="69"/>
      <c r="C734" s="69"/>
      <c r="D734" s="69"/>
      <c r="E734" s="69"/>
      <c r="F734" s="69"/>
      <c r="G734" s="69"/>
      <c r="H734" s="69"/>
      <c r="I734" s="69"/>
      <c r="J734" s="69"/>
      <c r="K734" s="69"/>
      <c r="L734" s="60"/>
    </row>
    <row r="735" spans="1:12">
      <c r="A735" s="68"/>
      <c r="B735" s="69"/>
      <c r="C735" s="69"/>
      <c r="D735" s="69"/>
      <c r="E735" s="69"/>
      <c r="F735" s="69"/>
      <c r="G735" s="69"/>
      <c r="H735" s="69"/>
      <c r="I735" s="69"/>
      <c r="J735" s="69"/>
      <c r="K735" s="69"/>
      <c r="L735" s="60"/>
    </row>
    <row r="736" spans="1:12">
      <c r="A736" s="68"/>
      <c r="B736" s="69"/>
      <c r="C736" s="69"/>
      <c r="D736" s="69"/>
      <c r="E736" s="69"/>
      <c r="F736" s="69"/>
      <c r="G736" s="69"/>
      <c r="H736" s="69"/>
      <c r="I736" s="69"/>
      <c r="J736" s="69"/>
      <c r="K736" s="69"/>
      <c r="L736" s="60"/>
    </row>
    <row r="737" spans="1:12">
      <c r="A737" s="68"/>
      <c r="B737" s="69"/>
      <c r="C737" s="69"/>
      <c r="D737" s="69"/>
      <c r="E737" s="69"/>
      <c r="F737" s="69"/>
      <c r="G737" s="69"/>
      <c r="H737" s="69"/>
      <c r="I737" s="69"/>
      <c r="J737" s="69"/>
      <c r="K737" s="69"/>
      <c r="L737" s="60"/>
    </row>
    <row r="738" spans="1:12">
      <c r="A738" s="68"/>
      <c r="B738" s="69"/>
      <c r="C738" s="69"/>
      <c r="D738" s="69"/>
      <c r="E738" s="69"/>
      <c r="F738" s="69"/>
      <c r="G738" s="69"/>
      <c r="H738" s="69"/>
      <c r="I738" s="69"/>
      <c r="J738" s="69"/>
      <c r="K738" s="69"/>
      <c r="L738" s="60"/>
    </row>
    <row r="739" spans="1:12">
      <c r="A739" s="68"/>
      <c r="B739" s="69"/>
      <c r="C739" s="69"/>
      <c r="D739" s="69"/>
      <c r="E739" s="69"/>
      <c r="F739" s="69"/>
      <c r="G739" s="69"/>
      <c r="H739" s="69"/>
      <c r="I739" s="69"/>
      <c r="J739" s="69"/>
      <c r="K739" s="69"/>
      <c r="L739" s="60"/>
    </row>
    <row r="740" spans="1:12">
      <c r="A740" s="68"/>
      <c r="B740" s="69"/>
      <c r="C740" s="69"/>
      <c r="D740" s="69"/>
      <c r="E740" s="69"/>
      <c r="F740" s="69"/>
      <c r="G740" s="69"/>
      <c r="H740" s="69"/>
      <c r="I740" s="69"/>
      <c r="J740" s="69"/>
      <c r="K740" s="69"/>
      <c r="L740" s="60"/>
    </row>
    <row r="741" spans="1:12">
      <c r="A741" s="68"/>
      <c r="B741" s="69"/>
      <c r="C741" s="69"/>
      <c r="D741" s="69"/>
      <c r="E741" s="69"/>
      <c r="F741" s="69"/>
      <c r="G741" s="69"/>
      <c r="H741" s="69"/>
      <c r="I741" s="69"/>
      <c r="J741" s="69"/>
      <c r="K741" s="69"/>
      <c r="L741" s="60"/>
    </row>
    <row r="742" spans="1:12">
      <c r="A742" s="68"/>
      <c r="B742" s="69"/>
      <c r="C742" s="69"/>
      <c r="D742" s="69"/>
      <c r="E742" s="69"/>
      <c r="F742" s="69"/>
      <c r="G742" s="69"/>
      <c r="H742" s="69"/>
      <c r="I742" s="69"/>
      <c r="J742" s="69"/>
      <c r="K742" s="69"/>
      <c r="L742" s="60"/>
    </row>
    <row r="743" spans="1:12">
      <c r="A743" s="68"/>
      <c r="B743" s="69"/>
      <c r="C743" s="69"/>
      <c r="D743" s="69"/>
      <c r="E743" s="69"/>
      <c r="F743" s="69"/>
      <c r="G743" s="69"/>
      <c r="H743" s="69"/>
      <c r="I743" s="69"/>
      <c r="J743" s="69"/>
      <c r="K743" s="69"/>
      <c r="L743" s="60"/>
    </row>
    <row r="744" spans="1:12">
      <c r="A744" s="68"/>
      <c r="B744" s="69"/>
      <c r="C744" s="69"/>
      <c r="D744" s="69"/>
      <c r="E744" s="69"/>
      <c r="F744" s="69"/>
      <c r="G744" s="69"/>
      <c r="H744" s="69"/>
      <c r="I744" s="69"/>
      <c r="J744" s="69"/>
      <c r="K744" s="69"/>
      <c r="L744" s="60"/>
    </row>
    <row r="745" spans="1:12">
      <c r="A745" s="68"/>
      <c r="B745" s="69"/>
      <c r="C745" s="69"/>
      <c r="D745" s="69"/>
      <c r="E745" s="69"/>
      <c r="F745" s="69"/>
      <c r="G745" s="69"/>
      <c r="H745" s="69"/>
      <c r="I745" s="69"/>
      <c r="J745" s="69"/>
      <c r="K745" s="69"/>
      <c r="L745" s="60"/>
    </row>
    <row r="746" spans="1:12">
      <c r="A746" s="68"/>
      <c r="B746" s="69"/>
      <c r="C746" s="69"/>
      <c r="D746" s="69"/>
      <c r="E746" s="69"/>
      <c r="F746" s="69"/>
      <c r="G746" s="69"/>
      <c r="H746" s="69"/>
      <c r="I746" s="69"/>
      <c r="J746" s="69"/>
      <c r="K746" s="69"/>
      <c r="L746" s="60"/>
    </row>
    <row r="747" spans="1:12">
      <c r="A747" s="68"/>
      <c r="B747" s="69"/>
      <c r="C747" s="69"/>
      <c r="D747" s="69"/>
      <c r="E747" s="69"/>
      <c r="F747" s="69"/>
      <c r="G747" s="69"/>
      <c r="H747" s="69"/>
      <c r="I747" s="69"/>
      <c r="J747" s="69"/>
      <c r="K747" s="69"/>
      <c r="L747" s="60"/>
    </row>
    <row r="748" spans="1:12">
      <c r="A748" s="68"/>
      <c r="B748" s="69"/>
      <c r="C748" s="69"/>
      <c r="D748" s="69"/>
      <c r="E748" s="69"/>
      <c r="F748" s="69"/>
      <c r="G748" s="69"/>
      <c r="H748" s="69"/>
      <c r="I748" s="69"/>
      <c r="J748" s="69"/>
      <c r="K748" s="69"/>
      <c r="L748" s="60"/>
    </row>
    <row r="749" spans="1:12">
      <c r="A749" s="68"/>
      <c r="B749" s="69"/>
      <c r="C749" s="69"/>
      <c r="D749" s="69"/>
      <c r="E749" s="69"/>
      <c r="F749" s="69"/>
      <c r="G749" s="69"/>
      <c r="H749" s="69"/>
      <c r="I749" s="69"/>
      <c r="J749" s="69"/>
      <c r="K749" s="69"/>
      <c r="L749" s="60"/>
    </row>
    <row r="750" spans="1:12">
      <c r="A750" s="68"/>
      <c r="B750" s="69"/>
      <c r="C750" s="69"/>
      <c r="D750" s="69"/>
      <c r="E750" s="69"/>
      <c r="F750" s="69"/>
      <c r="G750" s="69"/>
      <c r="H750" s="69"/>
      <c r="I750" s="69"/>
      <c r="J750" s="69"/>
      <c r="K750" s="69"/>
      <c r="L750" s="60"/>
    </row>
    <row r="751" spans="1:12">
      <c r="A751" s="68"/>
      <c r="B751" s="69"/>
      <c r="C751" s="69"/>
      <c r="D751" s="69"/>
      <c r="E751" s="69"/>
      <c r="F751" s="69"/>
      <c r="G751" s="69"/>
      <c r="H751" s="69"/>
      <c r="I751" s="69"/>
      <c r="J751" s="69"/>
      <c r="K751" s="69"/>
      <c r="L751" s="60"/>
    </row>
    <row r="752" spans="1:12">
      <c r="A752" s="68"/>
      <c r="B752" s="69"/>
      <c r="C752" s="69"/>
      <c r="D752" s="69"/>
      <c r="E752" s="69"/>
      <c r="F752" s="69"/>
      <c r="G752" s="69"/>
      <c r="H752" s="69"/>
      <c r="I752" s="69"/>
      <c r="J752" s="69"/>
      <c r="K752" s="69"/>
      <c r="L752" s="60"/>
    </row>
    <row r="753" spans="1:12">
      <c r="A753" s="68"/>
      <c r="B753" s="69"/>
      <c r="C753" s="69"/>
      <c r="D753" s="69"/>
      <c r="E753" s="69"/>
      <c r="F753" s="69"/>
      <c r="G753" s="69"/>
      <c r="H753" s="69"/>
      <c r="I753" s="69"/>
      <c r="J753" s="69"/>
      <c r="K753" s="69"/>
      <c r="L753" s="60"/>
    </row>
    <row r="754" spans="1:12">
      <c r="A754" s="68"/>
      <c r="B754" s="69"/>
      <c r="C754" s="69"/>
      <c r="D754" s="69"/>
      <c r="E754" s="69"/>
      <c r="F754" s="69"/>
      <c r="G754" s="69"/>
      <c r="H754" s="69"/>
      <c r="I754" s="69"/>
      <c r="J754" s="69"/>
      <c r="K754" s="69"/>
      <c r="L754" s="60"/>
    </row>
    <row r="755" spans="1:12">
      <c r="A755" s="68"/>
      <c r="B755" s="69"/>
      <c r="C755" s="69"/>
      <c r="D755" s="69"/>
      <c r="E755" s="69"/>
      <c r="F755" s="69"/>
      <c r="G755" s="69"/>
      <c r="H755" s="69"/>
      <c r="I755" s="69"/>
      <c r="J755" s="69"/>
      <c r="K755" s="69"/>
      <c r="L755" s="60"/>
    </row>
    <row r="756" spans="1:12">
      <c r="A756" s="68"/>
      <c r="B756" s="69"/>
      <c r="C756" s="69"/>
      <c r="D756" s="69"/>
      <c r="E756" s="69"/>
      <c r="F756" s="69"/>
      <c r="G756" s="69"/>
      <c r="H756" s="69"/>
      <c r="I756" s="69"/>
      <c r="J756" s="69"/>
      <c r="K756" s="69"/>
      <c r="L756" s="60"/>
    </row>
    <row r="757" spans="1:12">
      <c r="A757" s="68"/>
      <c r="B757" s="69"/>
      <c r="C757" s="69"/>
      <c r="D757" s="69"/>
      <c r="E757" s="69"/>
      <c r="F757" s="69"/>
      <c r="G757" s="69"/>
      <c r="H757" s="69"/>
      <c r="I757" s="69"/>
      <c r="J757" s="69"/>
      <c r="K757" s="69"/>
      <c r="L757" s="60"/>
    </row>
    <row r="758" spans="1:12">
      <c r="A758" s="68"/>
      <c r="B758" s="69"/>
      <c r="C758" s="69"/>
      <c r="D758" s="69"/>
      <c r="E758" s="69"/>
      <c r="F758" s="69"/>
      <c r="G758" s="69"/>
      <c r="H758" s="69"/>
      <c r="I758" s="69"/>
      <c r="J758" s="69"/>
      <c r="K758" s="69"/>
      <c r="L758" s="60"/>
    </row>
    <row r="759" spans="1:12">
      <c r="A759" s="68"/>
      <c r="B759" s="69"/>
      <c r="C759" s="69"/>
      <c r="D759" s="69"/>
      <c r="E759" s="69"/>
      <c r="F759" s="69"/>
      <c r="G759" s="69"/>
      <c r="H759" s="69"/>
      <c r="I759" s="69"/>
      <c r="J759" s="69"/>
      <c r="K759" s="69"/>
      <c r="L759" s="60"/>
    </row>
    <row r="760" spans="1:12">
      <c r="A760" s="68"/>
      <c r="B760" s="69"/>
      <c r="C760" s="69"/>
      <c r="D760" s="69"/>
      <c r="E760" s="69"/>
      <c r="F760" s="69"/>
      <c r="G760" s="69"/>
      <c r="H760" s="69"/>
      <c r="I760" s="69"/>
      <c r="J760" s="69"/>
      <c r="K760" s="69"/>
      <c r="L760" s="60"/>
    </row>
    <row r="761" spans="1:12">
      <c r="A761" s="68"/>
      <c r="B761" s="69"/>
      <c r="C761" s="69"/>
      <c r="D761" s="69"/>
      <c r="E761" s="69"/>
      <c r="F761" s="69"/>
      <c r="G761" s="69"/>
      <c r="H761" s="69"/>
      <c r="I761" s="69"/>
      <c r="J761" s="69"/>
      <c r="K761" s="69"/>
      <c r="L761" s="60"/>
    </row>
    <row r="762" spans="1:12">
      <c r="A762" s="68"/>
      <c r="B762" s="69"/>
      <c r="C762" s="69"/>
      <c r="D762" s="69"/>
      <c r="E762" s="69"/>
      <c r="F762" s="69"/>
      <c r="G762" s="69"/>
      <c r="H762" s="69"/>
      <c r="I762" s="69"/>
      <c r="J762" s="69"/>
      <c r="K762" s="69"/>
      <c r="L762" s="60"/>
    </row>
    <row r="763" spans="1:12">
      <c r="A763" s="68"/>
      <c r="B763" s="69"/>
      <c r="C763" s="69"/>
      <c r="D763" s="69"/>
      <c r="E763" s="69"/>
      <c r="F763" s="69"/>
      <c r="G763" s="69"/>
      <c r="H763" s="69"/>
      <c r="I763" s="69"/>
      <c r="J763" s="69"/>
      <c r="K763" s="69"/>
      <c r="L763" s="60"/>
    </row>
    <row r="764" spans="1:12">
      <c r="A764" s="68"/>
      <c r="B764" s="69"/>
      <c r="C764" s="69"/>
      <c r="D764" s="69"/>
      <c r="E764" s="69"/>
      <c r="F764" s="69"/>
      <c r="G764" s="69"/>
      <c r="H764" s="69"/>
      <c r="I764" s="69"/>
      <c r="J764" s="69"/>
      <c r="K764" s="69"/>
      <c r="L764" s="60"/>
    </row>
    <row r="765" spans="1:12">
      <c r="A765" s="68"/>
      <c r="B765" s="69"/>
      <c r="C765" s="69"/>
      <c r="D765" s="69"/>
      <c r="E765" s="69"/>
      <c r="F765" s="69"/>
      <c r="G765" s="69"/>
      <c r="H765" s="69"/>
      <c r="I765" s="69"/>
      <c r="J765" s="69"/>
      <c r="K765" s="69"/>
      <c r="L765" s="60"/>
    </row>
    <row r="766" spans="1:12">
      <c r="A766" s="68"/>
      <c r="B766" s="69"/>
      <c r="C766" s="69"/>
      <c r="D766" s="69"/>
      <c r="E766" s="69"/>
      <c r="F766" s="69"/>
      <c r="G766" s="69"/>
      <c r="H766" s="69"/>
      <c r="I766" s="69"/>
      <c r="J766" s="69"/>
      <c r="K766" s="69"/>
      <c r="L766" s="60"/>
    </row>
    <row r="767" spans="1:12">
      <c r="A767" s="68"/>
      <c r="B767" s="69"/>
      <c r="C767" s="69"/>
      <c r="D767" s="69"/>
      <c r="E767" s="69"/>
      <c r="F767" s="69"/>
      <c r="G767" s="69"/>
      <c r="H767" s="69"/>
      <c r="I767" s="69"/>
      <c r="J767" s="69"/>
      <c r="K767" s="69"/>
      <c r="L767" s="60"/>
    </row>
    <row r="768" spans="1:12">
      <c r="A768" s="68"/>
      <c r="B768" s="69"/>
      <c r="C768" s="69"/>
      <c r="D768" s="69"/>
      <c r="E768" s="69"/>
      <c r="F768" s="69"/>
      <c r="G768" s="69"/>
      <c r="H768" s="69"/>
      <c r="I768" s="69"/>
      <c r="J768" s="69"/>
      <c r="K768" s="69"/>
      <c r="L768" s="60"/>
    </row>
    <row r="769" spans="1:12">
      <c r="A769" s="68"/>
      <c r="B769" s="69"/>
      <c r="C769" s="69"/>
      <c r="D769" s="69"/>
      <c r="E769" s="69"/>
      <c r="F769" s="69"/>
      <c r="G769" s="69"/>
      <c r="H769" s="69"/>
      <c r="I769" s="69"/>
      <c r="J769" s="69"/>
      <c r="K769" s="69"/>
      <c r="L769" s="60"/>
    </row>
    <row r="770" spans="1:12">
      <c r="A770" s="68"/>
      <c r="B770" s="69"/>
      <c r="C770" s="69"/>
      <c r="D770" s="69"/>
      <c r="E770" s="69"/>
      <c r="F770" s="69"/>
      <c r="G770" s="69"/>
      <c r="H770" s="69"/>
      <c r="I770" s="69"/>
      <c r="J770" s="69"/>
      <c r="K770" s="69"/>
      <c r="L770" s="60"/>
    </row>
    <row r="771" spans="1:12">
      <c r="A771" s="68"/>
      <c r="B771" s="69"/>
      <c r="C771" s="69"/>
      <c r="D771" s="69"/>
      <c r="E771" s="69"/>
      <c r="F771" s="69"/>
      <c r="G771" s="69"/>
      <c r="H771" s="69"/>
      <c r="I771" s="69"/>
      <c r="J771" s="69"/>
      <c r="K771" s="69"/>
      <c r="L771" s="60"/>
    </row>
    <row r="772" spans="1:12">
      <c r="A772" s="68"/>
      <c r="B772" s="69"/>
      <c r="C772" s="69"/>
      <c r="D772" s="69"/>
      <c r="E772" s="69"/>
      <c r="F772" s="69"/>
      <c r="G772" s="69"/>
      <c r="H772" s="69"/>
      <c r="I772" s="69"/>
      <c r="J772" s="69"/>
      <c r="K772" s="69"/>
      <c r="L772" s="60"/>
    </row>
    <row r="773" spans="1:12">
      <c r="A773" s="68"/>
      <c r="B773" s="69"/>
      <c r="C773" s="69"/>
      <c r="D773" s="69"/>
      <c r="E773" s="69"/>
      <c r="F773" s="69"/>
      <c r="G773" s="69"/>
      <c r="H773" s="69"/>
      <c r="I773" s="69"/>
      <c r="J773" s="69"/>
      <c r="K773" s="69"/>
      <c r="L773" s="60"/>
    </row>
    <row r="774" spans="1:12">
      <c r="A774" s="68"/>
      <c r="B774" s="69"/>
      <c r="C774" s="69"/>
      <c r="D774" s="69"/>
      <c r="E774" s="69"/>
      <c r="F774" s="69"/>
      <c r="G774" s="69"/>
      <c r="H774" s="69"/>
      <c r="I774" s="69"/>
      <c r="J774" s="69"/>
      <c r="K774" s="69"/>
      <c r="L774" s="60"/>
    </row>
    <row r="775" spans="1:12">
      <c r="A775" s="68"/>
      <c r="B775" s="69"/>
      <c r="C775" s="69"/>
      <c r="D775" s="69"/>
      <c r="E775" s="69"/>
      <c r="F775" s="69"/>
      <c r="G775" s="69"/>
      <c r="H775" s="69"/>
      <c r="I775" s="69"/>
      <c r="J775" s="69"/>
      <c r="K775" s="69"/>
      <c r="L775" s="60"/>
    </row>
    <row r="776" spans="1:12">
      <c r="A776" s="68"/>
      <c r="B776" s="69"/>
      <c r="C776" s="69"/>
      <c r="D776" s="69"/>
      <c r="E776" s="69"/>
      <c r="F776" s="69"/>
      <c r="G776" s="69"/>
      <c r="H776" s="69"/>
      <c r="I776" s="69"/>
      <c r="J776" s="69"/>
      <c r="K776" s="69"/>
      <c r="L776" s="60"/>
    </row>
    <row r="777" spans="1:12">
      <c r="A777" s="68"/>
      <c r="B777" s="69"/>
      <c r="C777" s="69"/>
      <c r="D777" s="69"/>
      <c r="E777" s="69"/>
      <c r="F777" s="69"/>
      <c r="G777" s="69"/>
      <c r="H777" s="69"/>
      <c r="I777" s="69"/>
      <c r="J777" s="69"/>
      <c r="K777" s="69"/>
      <c r="L777" s="60"/>
    </row>
    <row r="778" spans="1:12">
      <c r="A778" s="68"/>
      <c r="B778" s="69"/>
      <c r="C778" s="69"/>
      <c r="D778" s="69"/>
      <c r="E778" s="69"/>
      <c r="F778" s="69"/>
      <c r="G778" s="69"/>
      <c r="H778" s="69"/>
      <c r="I778" s="69"/>
      <c r="J778" s="69"/>
      <c r="K778" s="69"/>
      <c r="L778" s="60"/>
    </row>
    <row r="779" spans="1:12">
      <c r="A779" s="68"/>
      <c r="B779" s="69"/>
      <c r="C779" s="69"/>
      <c r="D779" s="69"/>
      <c r="E779" s="69"/>
      <c r="F779" s="69"/>
      <c r="G779" s="69"/>
      <c r="H779" s="69"/>
      <c r="I779" s="69"/>
      <c r="J779" s="69"/>
      <c r="K779" s="69"/>
      <c r="L779" s="60"/>
    </row>
    <row r="780" spans="1:12">
      <c r="A780" s="68"/>
      <c r="B780" s="69"/>
      <c r="C780" s="69"/>
      <c r="D780" s="69"/>
      <c r="E780" s="69"/>
      <c r="F780" s="69"/>
      <c r="G780" s="69"/>
      <c r="H780" s="69"/>
      <c r="I780" s="69"/>
      <c r="J780" s="69"/>
      <c r="K780" s="69"/>
      <c r="L780" s="60"/>
    </row>
    <row r="781" spans="1:12">
      <c r="A781" s="68"/>
      <c r="B781" s="69"/>
      <c r="C781" s="69"/>
      <c r="D781" s="69"/>
      <c r="E781" s="69"/>
      <c r="F781" s="69"/>
      <c r="G781" s="69"/>
      <c r="H781" s="69"/>
      <c r="I781" s="69"/>
      <c r="J781" s="69"/>
      <c r="K781" s="69"/>
      <c r="L781" s="60"/>
    </row>
    <row r="782" spans="1:12">
      <c r="A782" s="68"/>
      <c r="B782" s="69"/>
      <c r="C782" s="69"/>
      <c r="D782" s="69"/>
      <c r="E782" s="69"/>
      <c r="F782" s="69"/>
      <c r="G782" s="69"/>
      <c r="H782" s="69"/>
      <c r="I782" s="69"/>
      <c r="J782" s="69"/>
      <c r="K782" s="69"/>
      <c r="L782" s="60"/>
    </row>
    <row r="783" spans="1:12">
      <c r="A783" s="68"/>
      <c r="B783" s="69"/>
      <c r="C783" s="69"/>
      <c r="D783" s="69"/>
      <c r="E783" s="69"/>
      <c r="F783" s="69"/>
      <c r="G783" s="69"/>
      <c r="H783" s="69"/>
      <c r="I783" s="69"/>
      <c r="J783" s="69"/>
      <c r="K783" s="69"/>
      <c r="L783" s="60"/>
    </row>
    <row r="784" spans="1:12">
      <c r="A784" s="68"/>
      <c r="B784" s="69"/>
      <c r="C784" s="69"/>
      <c r="D784" s="69"/>
      <c r="E784" s="69"/>
      <c r="F784" s="69"/>
      <c r="G784" s="69"/>
      <c r="H784" s="69"/>
      <c r="I784" s="69"/>
      <c r="J784" s="69"/>
      <c r="K784" s="69"/>
      <c r="L784" s="60"/>
    </row>
    <row r="785" spans="1:12">
      <c r="A785" s="68"/>
      <c r="B785" s="69"/>
      <c r="C785" s="69"/>
      <c r="D785" s="69"/>
      <c r="E785" s="69"/>
      <c r="F785" s="69"/>
      <c r="G785" s="69"/>
      <c r="H785" s="69"/>
      <c r="I785" s="69"/>
      <c r="J785" s="69"/>
      <c r="K785" s="69"/>
      <c r="L785" s="60"/>
    </row>
    <row r="786" spans="1:12">
      <c r="A786" s="68"/>
      <c r="B786" s="69"/>
      <c r="C786" s="69"/>
      <c r="D786" s="69"/>
      <c r="E786" s="69"/>
      <c r="F786" s="69"/>
      <c r="G786" s="69"/>
      <c r="H786" s="69"/>
      <c r="I786" s="69"/>
      <c r="J786" s="69"/>
      <c r="K786" s="69"/>
      <c r="L786" s="60"/>
    </row>
    <row r="787" spans="1:12">
      <c r="A787" s="68"/>
      <c r="B787" s="69"/>
      <c r="C787" s="69"/>
      <c r="D787" s="69"/>
      <c r="E787" s="69"/>
      <c r="F787" s="69"/>
      <c r="G787" s="69"/>
      <c r="H787" s="69"/>
      <c r="I787" s="69"/>
      <c r="J787" s="69"/>
      <c r="K787" s="69"/>
      <c r="L787" s="60"/>
    </row>
    <row r="788" spans="1:12">
      <c r="A788" s="68"/>
      <c r="B788" s="69"/>
      <c r="C788" s="69"/>
      <c r="D788" s="69"/>
      <c r="E788" s="69"/>
      <c r="F788" s="69"/>
      <c r="G788" s="69"/>
      <c r="H788" s="69"/>
      <c r="I788" s="69"/>
      <c r="J788" s="69"/>
      <c r="K788" s="69"/>
      <c r="L788" s="60"/>
    </row>
    <row r="789" spans="1:12">
      <c r="A789" s="68"/>
      <c r="B789" s="69"/>
      <c r="C789" s="69"/>
      <c r="D789" s="69"/>
      <c r="E789" s="69"/>
      <c r="F789" s="69"/>
      <c r="G789" s="69"/>
      <c r="H789" s="69"/>
      <c r="I789" s="69"/>
      <c r="J789" s="69"/>
      <c r="K789" s="69"/>
      <c r="L789" s="60"/>
    </row>
    <row r="790" spans="1:12">
      <c r="A790" s="68"/>
      <c r="B790" s="69"/>
      <c r="C790" s="69"/>
      <c r="D790" s="69"/>
      <c r="E790" s="69"/>
      <c r="F790" s="69"/>
      <c r="G790" s="69"/>
      <c r="H790" s="69"/>
      <c r="I790" s="69"/>
      <c r="J790" s="69"/>
      <c r="K790" s="69"/>
      <c r="L790" s="60"/>
    </row>
    <row r="791" spans="1:12">
      <c r="A791" s="68"/>
      <c r="B791" s="69"/>
      <c r="C791" s="69"/>
      <c r="D791" s="69"/>
      <c r="E791" s="69"/>
      <c r="F791" s="69"/>
      <c r="G791" s="69"/>
      <c r="H791" s="69"/>
      <c r="I791" s="69"/>
      <c r="J791" s="69"/>
      <c r="K791" s="69"/>
      <c r="L791" s="60"/>
    </row>
    <row r="792" spans="1:12">
      <c r="A792" s="68"/>
      <c r="B792" s="69"/>
      <c r="C792" s="69"/>
      <c r="D792" s="69"/>
      <c r="E792" s="69"/>
      <c r="F792" s="69"/>
      <c r="G792" s="69"/>
      <c r="H792" s="69"/>
      <c r="I792" s="69"/>
      <c r="J792" s="69"/>
      <c r="K792" s="69"/>
      <c r="L792" s="60"/>
    </row>
    <row r="793" spans="1:12">
      <c r="A793" s="68"/>
      <c r="B793" s="69"/>
      <c r="C793" s="69"/>
      <c r="D793" s="69"/>
      <c r="E793" s="69"/>
      <c r="F793" s="69"/>
      <c r="G793" s="69"/>
      <c r="H793" s="69"/>
      <c r="I793" s="69"/>
      <c r="J793" s="69"/>
      <c r="K793" s="69"/>
      <c r="L793" s="60"/>
    </row>
    <row r="794" spans="1:12">
      <c r="A794" s="68"/>
      <c r="B794" s="69"/>
      <c r="C794" s="69"/>
      <c r="D794" s="69"/>
      <c r="E794" s="69"/>
      <c r="F794" s="69"/>
      <c r="G794" s="69"/>
      <c r="H794" s="69"/>
      <c r="I794" s="69"/>
      <c r="J794" s="69"/>
      <c r="K794" s="69"/>
      <c r="L794" s="60"/>
    </row>
    <row r="795" spans="1:12">
      <c r="A795" s="68"/>
      <c r="B795" s="69"/>
      <c r="C795" s="69"/>
      <c r="D795" s="69"/>
      <c r="E795" s="69"/>
      <c r="F795" s="69"/>
      <c r="G795" s="69"/>
      <c r="H795" s="69"/>
      <c r="I795" s="69"/>
      <c r="J795" s="69"/>
      <c r="K795" s="69"/>
      <c r="L795" s="60"/>
    </row>
    <row r="796" spans="1:12">
      <c r="A796" s="68"/>
      <c r="B796" s="69"/>
      <c r="C796" s="69"/>
      <c r="D796" s="69"/>
      <c r="E796" s="69"/>
      <c r="F796" s="69"/>
      <c r="G796" s="69"/>
      <c r="H796" s="69"/>
      <c r="I796" s="69"/>
      <c r="J796" s="69"/>
      <c r="K796" s="69"/>
      <c r="L796" s="60"/>
    </row>
    <row r="797" spans="1:12">
      <c r="A797" s="68"/>
      <c r="B797" s="69"/>
      <c r="C797" s="69"/>
      <c r="D797" s="69"/>
      <c r="E797" s="69"/>
      <c r="F797" s="69"/>
      <c r="G797" s="69"/>
      <c r="H797" s="69"/>
      <c r="I797" s="69"/>
      <c r="J797" s="69"/>
      <c r="K797" s="69"/>
      <c r="L797" s="60"/>
    </row>
    <row r="798" spans="1:12">
      <c r="A798" s="68"/>
      <c r="B798" s="69"/>
      <c r="C798" s="69"/>
      <c r="D798" s="69"/>
      <c r="E798" s="69"/>
      <c r="F798" s="69"/>
      <c r="G798" s="69"/>
      <c r="H798" s="69"/>
      <c r="I798" s="69"/>
      <c r="J798" s="69"/>
      <c r="K798" s="69"/>
      <c r="L798" s="60"/>
    </row>
    <row r="799" spans="1:12">
      <c r="A799" s="68"/>
      <c r="B799" s="69"/>
      <c r="C799" s="69"/>
      <c r="D799" s="69"/>
      <c r="E799" s="69"/>
      <c r="F799" s="69"/>
      <c r="G799" s="69"/>
      <c r="H799" s="69"/>
      <c r="I799" s="69"/>
      <c r="J799" s="69"/>
      <c r="K799" s="69"/>
      <c r="L799" s="60"/>
    </row>
    <row r="800" spans="1:12">
      <c r="A800" s="68"/>
      <c r="B800" s="69"/>
      <c r="C800" s="69"/>
      <c r="D800" s="69"/>
      <c r="E800" s="69"/>
      <c r="F800" s="69"/>
      <c r="G800" s="69"/>
      <c r="H800" s="69"/>
      <c r="I800" s="69"/>
      <c r="J800" s="69"/>
      <c r="K800" s="69"/>
      <c r="L800" s="60"/>
    </row>
    <row r="801" spans="1:12">
      <c r="A801" s="68"/>
      <c r="B801" s="69"/>
      <c r="C801" s="69"/>
      <c r="D801" s="69"/>
      <c r="E801" s="69"/>
      <c r="F801" s="69"/>
      <c r="G801" s="69"/>
      <c r="H801" s="69"/>
      <c r="I801" s="69"/>
      <c r="J801" s="69"/>
      <c r="K801" s="69"/>
      <c r="L801" s="60"/>
    </row>
    <row r="802" spans="1:12">
      <c r="A802" s="68"/>
      <c r="B802" s="69"/>
      <c r="C802" s="69"/>
      <c r="D802" s="69"/>
      <c r="E802" s="69"/>
      <c r="F802" s="69"/>
      <c r="G802" s="69"/>
      <c r="H802" s="69"/>
      <c r="I802" s="69"/>
      <c r="J802" s="69"/>
      <c r="K802" s="69"/>
      <c r="L802" s="60"/>
    </row>
    <row r="803" spans="1:12">
      <c r="A803" s="68"/>
      <c r="B803" s="69"/>
      <c r="C803" s="69"/>
      <c r="D803" s="69"/>
      <c r="E803" s="69"/>
      <c r="F803" s="69"/>
      <c r="G803" s="69"/>
      <c r="H803" s="69"/>
      <c r="I803" s="69"/>
      <c r="J803" s="69"/>
      <c r="K803" s="69"/>
      <c r="L803" s="60"/>
    </row>
    <row r="804" spans="1:12">
      <c r="A804" s="68"/>
      <c r="B804" s="69"/>
      <c r="C804" s="69"/>
      <c r="D804" s="69"/>
      <c r="E804" s="69"/>
      <c r="F804" s="69"/>
      <c r="G804" s="69"/>
      <c r="H804" s="69"/>
      <c r="I804" s="69"/>
      <c r="J804" s="69"/>
      <c r="K804" s="69"/>
      <c r="L804" s="60"/>
    </row>
    <row r="805" spans="1:12">
      <c r="A805" s="68"/>
      <c r="B805" s="69"/>
      <c r="C805" s="69"/>
      <c r="D805" s="69"/>
      <c r="E805" s="69"/>
      <c r="F805" s="69"/>
      <c r="G805" s="69"/>
      <c r="H805" s="69"/>
      <c r="I805" s="69"/>
      <c r="J805" s="69"/>
      <c r="K805" s="69"/>
      <c r="L805" s="60"/>
    </row>
    <row r="806" spans="1:12">
      <c r="A806" s="68"/>
      <c r="B806" s="69"/>
      <c r="C806" s="69"/>
      <c r="D806" s="69"/>
      <c r="E806" s="69"/>
      <c r="F806" s="69"/>
      <c r="G806" s="69"/>
      <c r="H806" s="69"/>
      <c r="I806" s="69"/>
      <c r="J806" s="69"/>
      <c r="K806" s="69"/>
      <c r="L806" s="60"/>
    </row>
    <row r="807" spans="1:12">
      <c r="A807" s="68"/>
      <c r="B807" s="69"/>
      <c r="C807" s="69"/>
      <c r="D807" s="69"/>
      <c r="E807" s="69"/>
      <c r="F807" s="69"/>
      <c r="G807" s="69"/>
      <c r="H807" s="69"/>
      <c r="I807" s="69"/>
      <c r="J807" s="69"/>
      <c r="K807" s="69"/>
      <c r="L807" s="60"/>
    </row>
    <row r="808" spans="1:12">
      <c r="A808" s="68"/>
      <c r="B808" s="69"/>
      <c r="C808" s="69"/>
      <c r="D808" s="69"/>
      <c r="E808" s="69"/>
      <c r="F808" s="69"/>
      <c r="G808" s="69"/>
      <c r="H808" s="69"/>
      <c r="I808" s="69"/>
      <c r="J808" s="69"/>
      <c r="K808" s="69"/>
      <c r="L808" s="60"/>
    </row>
    <row r="809" spans="1:12">
      <c r="A809" s="68"/>
      <c r="B809" s="69"/>
      <c r="C809" s="69"/>
      <c r="D809" s="69"/>
      <c r="E809" s="69"/>
      <c r="F809" s="69"/>
      <c r="G809" s="69"/>
      <c r="H809" s="69"/>
      <c r="I809" s="69"/>
      <c r="J809" s="69"/>
      <c r="K809" s="69"/>
      <c r="L809" s="60"/>
    </row>
    <row r="810" spans="1:12">
      <c r="A810" s="68"/>
      <c r="B810" s="69"/>
      <c r="C810" s="69"/>
      <c r="D810" s="69"/>
      <c r="E810" s="69"/>
      <c r="F810" s="69"/>
      <c r="G810" s="69"/>
      <c r="H810" s="69"/>
      <c r="I810" s="69"/>
      <c r="J810" s="69"/>
      <c r="K810" s="69"/>
      <c r="L810" s="60"/>
    </row>
    <row r="811" spans="1:12">
      <c r="A811" s="68"/>
      <c r="B811" s="69"/>
      <c r="C811" s="69"/>
      <c r="D811" s="69"/>
      <c r="E811" s="69"/>
      <c r="F811" s="69"/>
      <c r="G811" s="69"/>
      <c r="H811" s="69"/>
      <c r="I811" s="69"/>
      <c r="J811" s="69"/>
      <c r="K811" s="69"/>
      <c r="L811" s="60"/>
    </row>
    <row r="812" spans="1:12">
      <c r="A812" s="68"/>
      <c r="B812" s="69"/>
      <c r="C812" s="69"/>
      <c r="D812" s="69"/>
      <c r="E812" s="69"/>
      <c r="F812" s="69"/>
      <c r="G812" s="69"/>
      <c r="H812" s="69"/>
      <c r="I812" s="69"/>
      <c r="J812" s="69"/>
      <c r="K812" s="69"/>
      <c r="L812" s="60"/>
    </row>
    <row r="813" spans="1:12">
      <c r="A813" s="68"/>
      <c r="B813" s="69"/>
      <c r="C813" s="69"/>
      <c r="D813" s="69"/>
      <c r="E813" s="69"/>
      <c r="F813" s="69"/>
      <c r="G813" s="69"/>
      <c r="H813" s="69"/>
      <c r="I813" s="69"/>
      <c r="J813" s="69"/>
      <c r="K813" s="69"/>
      <c r="L813" s="60"/>
    </row>
    <row r="814" spans="1:12">
      <c r="A814" s="68"/>
      <c r="B814" s="69"/>
      <c r="C814" s="69"/>
      <c r="D814" s="69"/>
      <c r="E814" s="69"/>
      <c r="F814" s="69"/>
      <c r="G814" s="69"/>
      <c r="H814" s="69"/>
      <c r="I814" s="69"/>
      <c r="J814" s="69"/>
      <c r="K814" s="69"/>
      <c r="L814" s="60"/>
    </row>
    <row r="815" spans="1:12">
      <c r="A815" s="68"/>
      <c r="B815" s="69"/>
      <c r="C815" s="69"/>
      <c r="D815" s="69"/>
      <c r="E815" s="69"/>
      <c r="F815" s="69"/>
      <c r="G815" s="69"/>
      <c r="H815" s="69"/>
      <c r="I815" s="69"/>
      <c r="J815" s="69"/>
      <c r="K815" s="69"/>
      <c r="L815" s="60"/>
    </row>
    <row r="816" spans="1:12">
      <c r="A816" s="68"/>
      <c r="B816" s="69"/>
      <c r="C816" s="69"/>
      <c r="D816" s="69"/>
      <c r="E816" s="69"/>
      <c r="F816" s="69"/>
      <c r="G816" s="69"/>
      <c r="H816" s="69"/>
      <c r="I816" s="69"/>
      <c r="J816" s="69"/>
      <c r="K816" s="69"/>
      <c r="L816" s="60"/>
    </row>
    <row r="817" spans="1:12">
      <c r="A817" s="68"/>
      <c r="B817" s="69"/>
      <c r="C817" s="69"/>
      <c r="D817" s="69"/>
      <c r="E817" s="69"/>
      <c r="F817" s="69"/>
      <c r="G817" s="69"/>
      <c r="H817" s="69"/>
      <c r="I817" s="69"/>
      <c r="J817" s="69"/>
      <c r="K817" s="69"/>
      <c r="L817" s="60"/>
    </row>
    <row r="818" spans="1:12">
      <c r="A818" s="68"/>
      <c r="B818" s="69"/>
      <c r="C818" s="69"/>
      <c r="D818" s="69"/>
      <c r="E818" s="69"/>
      <c r="F818" s="69"/>
      <c r="G818" s="69"/>
      <c r="H818" s="69"/>
      <c r="I818" s="69"/>
      <c r="J818" s="69"/>
      <c r="K818" s="69"/>
      <c r="L818" s="60"/>
    </row>
    <row r="819" spans="1:12">
      <c r="A819" s="68"/>
      <c r="B819" s="69"/>
      <c r="C819" s="69"/>
      <c r="D819" s="69"/>
      <c r="E819" s="69"/>
      <c r="F819" s="69"/>
      <c r="G819" s="69"/>
      <c r="H819" s="69"/>
      <c r="I819" s="69"/>
      <c r="J819" s="69"/>
      <c r="K819" s="69"/>
      <c r="L819" s="60"/>
    </row>
    <row r="820" spans="1:12">
      <c r="A820" s="68"/>
      <c r="B820" s="69"/>
      <c r="C820" s="69"/>
      <c r="D820" s="69"/>
      <c r="E820" s="69"/>
      <c r="F820" s="69"/>
      <c r="G820" s="69"/>
      <c r="H820" s="69"/>
      <c r="I820" s="69"/>
      <c r="J820" s="69"/>
      <c r="K820" s="69"/>
      <c r="L820" s="60"/>
    </row>
    <row r="821" spans="1:12">
      <c r="A821" s="68"/>
      <c r="B821" s="69"/>
      <c r="C821" s="69"/>
      <c r="D821" s="69"/>
      <c r="E821" s="69"/>
      <c r="F821" s="69"/>
      <c r="G821" s="69"/>
      <c r="H821" s="69"/>
      <c r="I821" s="69"/>
      <c r="J821" s="69"/>
      <c r="K821" s="69"/>
      <c r="L821" s="60"/>
    </row>
    <row r="822" spans="1:12">
      <c r="A822" s="68"/>
      <c r="B822" s="69"/>
      <c r="C822" s="69"/>
      <c r="D822" s="69"/>
      <c r="E822" s="69"/>
      <c r="F822" s="69"/>
      <c r="G822" s="69"/>
      <c r="H822" s="69"/>
      <c r="I822" s="69"/>
      <c r="J822" s="69"/>
      <c r="K822" s="69"/>
      <c r="L822" s="60"/>
    </row>
    <row r="823" spans="1:12">
      <c r="A823" s="68"/>
      <c r="B823" s="69"/>
      <c r="C823" s="69"/>
      <c r="D823" s="69"/>
      <c r="E823" s="69"/>
      <c r="F823" s="69"/>
      <c r="G823" s="69"/>
      <c r="H823" s="69"/>
      <c r="I823" s="69"/>
      <c r="J823" s="69"/>
      <c r="K823" s="69"/>
      <c r="L823" s="60"/>
    </row>
    <row r="824" spans="1:12">
      <c r="A824" s="68"/>
      <c r="B824" s="69"/>
      <c r="C824" s="69"/>
      <c r="D824" s="69"/>
      <c r="E824" s="69"/>
      <c r="F824" s="69"/>
      <c r="G824" s="69"/>
      <c r="H824" s="69"/>
      <c r="I824" s="69"/>
      <c r="J824" s="69"/>
      <c r="K824" s="69"/>
      <c r="L824" s="60"/>
    </row>
    <row r="825" spans="1:12">
      <c r="A825" s="68"/>
      <c r="B825" s="69"/>
      <c r="C825" s="69"/>
      <c r="D825" s="69"/>
      <c r="E825" s="69"/>
      <c r="F825" s="69"/>
      <c r="G825" s="69"/>
      <c r="H825" s="69"/>
      <c r="I825" s="69"/>
      <c r="J825" s="69"/>
      <c r="K825" s="69"/>
      <c r="L825" s="60"/>
    </row>
    <row r="826" spans="1:12">
      <c r="A826" s="68"/>
      <c r="B826" s="69"/>
      <c r="C826" s="69"/>
      <c r="D826" s="69"/>
      <c r="E826" s="69"/>
      <c r="F826" s="69"/>
      <c r="G826" s="69"/>
      <c r="H826" s="69"/>
      <c r="I826" s="69"/>
      <c r="J826" s="69"/>
      <c r="K826" s="69"/>
      <c r="L826" s="60"/>
    </row>
    <row r="827" spans="1:12">
      <c r="A827" s="68"/>
      <c r="B827" s="69"/>
      <c r="C827" s="69"/>
      <c r="D827" s="69"/>
      <c r="E827" s="69"/>
      <c r="F827" s="69"/>
      <c r="G827" s="69"/>
      <c r="H827" s="69"/>
      <c r="I827" s="69"/>
      <c r="J827" s="69"/>
      <c r="K827" s="69"/>
      <c r="L827" s="60"/>
    </row>
    <row r="828" spans="1:12">
      <c r="A828" s="68"/>
      <c r="B828" s="69"/>
      <c r="C828" s="69"/>
      <c r="D828" s="69"/>
      <c r="E828" s="69"/>
      <c r="F828" s="69"/>
      <c r="G828" s="69"/>
      <c r="H828" s="69"/>
      <c r="I828" s="69"/>
      <c r="J828" s="69"/>
      <c r="K828" s="69"/>
      <c r="L828" s="60"/>
    </row>
    <row r="829" spans="1:12">
      <c r="A829" s="68"/>
      <c r="B829" s="69"/>
      <c r="C829" s="69"/>
      <c r="D829" s="69"/>
      <c r="E829" s="69"/>
      <c r="F829" s="69"/>
      <c r="G829" s="69"/>
      <c r="H829" s="69"/>
      <c r="I829" s="69"/>
      <c r="J829" s="69"/>
      <c r="K829" s="69"/>
      <c r="L829" s="60"/>
    </row>
    <row r="830" spans="1:12">
      <c r="A830" s="68"/>
      <c r="B830" s="69"/>
      <c r="C830" s="69"/>
      <c r="D830" s="69"/>
      <c r="E830" s="69"/>
      <c r="F830" s="69"/>
      <c r="G830" s="69"/>
      <c r="H830" s="69"/>
      <c r="I830" s="69"/>
      <c r="J830" s="69"/>
      <c r="K830" s="69"/>
      <c r="L830" s="60"/>
    </row>
    <row r="831" spans="1:12">
      <c r="A831" s="68"/>
      <c r="B831" s="69"/>
      <c r="C831" s="69"/>
      <c r="D831" s="69"/>
      <c r="E831" s="69"/>
      <c r="F831" s="69"/>
      <c r="G831" s="69"/>
      <c r="H831" s="69"/>
      <c r="I831" s="69"/>
      <c r="J831" s="69"/>
      <c r="K831" s="69"/>
      <c r="L831" s="60"/>
    </row>
    <row r="832" spans="1:12">
      <c r="A832" s="68"/>
      <c r="B832" s="69"/>
      <c r="C832" s="69"/>
      <c r="D832" s="69"/>
      <c r="E832" s="69"/>
      <c r="F832" s="69"/>
      <c r="G832" s="69"/>
      <c r="H832" s="69"/>
      <c r="I832" s="69"/>
      <c r="J832" s="69"/>
      <c r="K832" s="69"/>
      <c r="L832" s="60"/>
    </row>
    <row r="833" spans="1:12">
      <c r="A833" s="68"/>
      <c r="B833" s="69"/>
      <c r="C833" s="69"/>
      <c r="D833" s="69"/>
      <c r="E833" s="69"/>
      <c r="F833" s="69"/>
      <c r="G833" s="69"/>
      <c r="H833" s="69"/>
      <c r="I833" s="69"/>
      <c r="J833" s="69"/>
      <c r="K833" s="69"/>
      <c r="L833" s="60"/>
    </row>
    <row r="834" spans="1:12">
      <c r="A834" s="68"/>
      <c r="B834" s="69"/>
      <c r="C834" s="69"/>
      <c r="D834" s="69"/>
      <c r="E834" s="69"/>
      <c r="F834" s="69"/>
      <c r="G834" s="69"/>
      <c r="H834" s="69"/>
      <c r="I834" s="69"/>
      <c r="J834" s="69"/>
      <c r="K834" s="69"/>
      <c r="L834" s="60"/>
    </row>
    <row r="835" spans="1:12">
      <c r="A835" s="68"/>
      <c r="B835" s="69"/>
      <c r="C835" s="69"/>
      <c r="D835" s="69"/>
      <c r="E835" s="69"/>
      <c r="F835" s="69"/>
      <c r="G835" s="69"/>
      <c r="H835" s="69"/>
      <c r="I835" s="69"/>
      <c r="J835" s="69"/>
      <c r="K835" s="69"/>
      <c r="L835" s="60"/>
    </row>
    <row r="836" spans="1:12">
      <c r="A836" s="68"/>
      <c r="B836" s="69"/>
      <c r="C836" s="69"/>
      <c r="D836" s="69"/>
      <c r="E836" s="69"/>
      <c r="F836" s="69"/>
      <c r="G836" s="69"/>
      <c r="H836" s="69"/>
      <c r="I836" s="69"/>
      <c r="J836" s="69"/>
      <c r="K836" s="69"/>
      <c r="L836" s="60"/>
    </row>
    <row r="837" spans="1:12">
      <c r="A837" s="68"/>
      <c r="B837" s="69"/>
      <c r="C837" s="69"/>
      <c r="D837" s="69"/>
      <c r="E837" s="69"/>
      <c r="F837" s="69"/>
      <c r="G837" s="69"/>
      <c r="H837" s="69"/>
      <c r="I837" s="69"/>
      <c r="J837" s="69"/>
      <c r="K837" s="69"/>
      <c r="L837" s="60"/>
    </row>
    <row r="838" spans="1:12">
      <c r="A838" s="68"/>
      <c r="B838" s="69"/>
      <c r="C838" s="69"/>
      <c r="D838" s="69"/>
      <c r="E838" s="69"/>
      <c r="F838" s="69"/>
      <c r="G838" s="69"/>
      <c r="H838" s="69"/>
      <c r="I838" s="69"/>
      <c r="J838" s="69"/>
      <c r="K838" s="69"/>
      <c r="L838" s="60"/>
    </row>
    <row r="839" spans="1:12">
      <c r="A839" s="68"/>
      <c r="B839" s="69"/>
      <c r="C839" s="69"/>
      <c r="D839" s="69"/>
      <c r="E839" s="69"/>
      <c r="F839" s="69"/>
      <c r="G839" s="69"/>
      <c r="H839" s="69"/>
      <c r="I839" s="69"/>
      <c r="J839" s="69"/>
      <c r="K839" s="69"/>
      <c r="L839" s="60"/>
    </row>
    <row r="840" spans="1:12">
      <c r="A840" s="68"/>
      <c r="B840" s="69"/>
      <c r="C840" s="69"/>
      <c r="D840" s="69"/>
      <c r="E840" s="69"/>
      <c r="F840" s="69"/>
      <c r="G840" s="69"/>
      <c r="H840" s="69"/>
      <c r="I840" s="69"/>
      <c r="J840" s="69"/>
      <c r="K840" s="69"/>
      <c r="L840" s="60"/>
    </row>
    <row r="841" spans="1:12">
      <c r="A841" s="68"/>
      <c r="B841" s="69"/>
      <c r="C841" s="69"/>
      <c r="D841" s="69"/>
      <c r="E841" s="69"/>
      <c r="F841" s="69"/>
      <c r="G841" s="69"/>
      <c r="H841" s="69"/>
      <c r="I841" s="69"/>
      <c r="J841" s="69"/>
      <c r="K841" s="69"/>
      <c r="L841" s="60"/>
    </row>
    <row r="842" spans="1:12">
      <c r="A842" s="68"/>
      <c r="B842" s="69"/>
      <c r="C842" s="69"/>
      <c r="D842" s="69"/>
      <c r="E842" s="69"/>
      <c r="F842" s="69"/>
      <c r="G842" s="69"/>
      <c r="H842" s="69"/>
      <c r="I842" s="69"/>
      <c r="J842" s="69"/>
      <c r="K842" s="69"/>
      <c r="L842" s="60"/>
    </row>
    <row r="843" spans="1:12">
      <c r="A843" s="68"/>
      <c r="B843" s="69"/>
      <c r="C843" s="69"/>
      <c r="D843" s="69"/>
      <c r="E843" s="69"/>
      <c r="F843" s="69"/>
      <c r="G843" s="69"/>
      <c r="H843" s="69"/>
      <c r="I843" s="69"/>
      <c r="J843" s="69"/>
      <c r="K843" s="69"/>
      <c r="L843" s="60"/>
    </row>
    <row r="844" spans="1:12">
      <c r="A844" s="68"/>
      <c r="B844" s="69"/>
      <c r="C844" s="69"/>
      <c r="D844" s="69"/>
      <c r="E844" s="69"/>
      <c r="F844" s="69"/>
      <c r="G844" s="69"/>
      <c r="H844" s="69"/>
      <c r="I844" s="69"/>
      <c r="J844" s="69"/>
      <c r="K844" s="69"/>
      <c r="L844" s="60"/>
    </row>
    <row r="845" spans="1:12">
      <c r="A845" s="68"/>
      <c r="B845" s="69"/>
      <c r="C845" s="69"/>
      <c r="D845" s="69"/>
      <c r="E845" s="69"/>
      <c r="F845" s="69"/>
      <c r="G845" s="69"/>
      <c r="H845" s="69"/>
      <c r="I845" s="69"/>
      <c r="J845" s="69"/>
      <c r="K845" s="69"/>
      <c r="L845" s="60"/>
    </row>
    <row r="846" spans="1:12">
      <c r="A846" s="68"/>
      <c r="B846" s="69"/>
      <c r="C846" s="69"/>
      <c r="D846" s="69"/>
      <c r="E846" s="69"/>
      <c r="F846" s="69"/>
      <c r="G846" s="69"/>
      <c r="H846" s="69"/>
      <c r="I846" s="69"/>
      <c r="J846" s="69"/>
      <c r="K846" s="69"/>
      <c r="L846" s="60"/>
    </row>
    <row r="847" spans="1:12">
      <c r="A847" s="68"/>
      <c r="B847" s="69"/>
      <c r="C847" s="69"/>
      <c r="D847" s="69"/>
      <c r="E847" s="69"/>
      <c r="F847" s="69"/>
      <c r="G847" s="69"/>
      <c r="H847" s="69"/>
      <c r="I847" s="69"/>
      <c r="J847" s="69"/>
      <c r="K847" s="69"/>
      <c r="L847" s="60"/>
    </row>
    <row r="848" spans="1:12">
      <c r="A848" s="68"/>
      <c r="B848" s="69"/>
      <c r="C848" s="69"/>
      <c r="D848" s="69"/>
      <c r="E848" s="69"/>
      <c r="F848" s="69"/>
      <c r="G848" s="69"/>
      <c r="H848" s="69"/>
      <c r="I848" s="69"/>
      <c r="J848" s="69"/>
      <c r="K848" s="69"/>
      <c r="L848" s="60"/>
    </row>
    <row r="849" spans="1:12">
      <c r="A849" s="68"/>
      <c r="B849" s="69"/>
      <c r="C849" s="69"/>
      <c r="D849" s="69"/>
      <c r="E849" s="69"/>
      <c r="F849" s="69"/>
      <c r="G849" s="69"/>
      <c r="H849" s="69"/>
      <c r="I849" s="69"/>
      <c r="J849" s="69"/>
      <c r="K849" s="69"/>
      <c r="L849" s="60"/>
    </row>
    <row r="850" spans="1:12">
      <c r="A850" s="68"/>
      <c r="B850" s="69"/>
      <c r="C850" s="69"/>
      <c r="D850" s="69"/>
      <c r="E850" s="69"/>
      <c r="F850" s="69"/>
      <c r="G850" s="69"/>
      <c r="H850" s="69"/>
      <c r="I850" s="69"/>
      <c r="J850" s="69"/>
      <c r="K850" s="69"/>
      <c r="L850" s="60"/>
    </row>
    <row r="851" spans="1:12">
      <c r="A851" s="68"/>
      <c r="B851" s="69"/>
      <c r="C851" s="69"/>
      <c r="D851" s="69"/>
      <c r="E851" s="69"/>
      <c r="F851" s="69"/>
      <c r="G851" s="69"/>
      <c r="H851" s="69"/>
      <c r="I851" s="69"/>
      <c r="J851" s="69"/>
      <c r="K851" s="69"/>
      <c r="L851" s="60"/>
    </row>
    <row r="852" spans="1:12">
      <c r="A852" s="68"/>
      <c r="B852" s="69"/>
      <c r="C852" s="69"/>
      <c r="D852" s="69"/>
      <c r="E852" s="69"/>
      <c r="F852" s="69"/>
      <c r="G852" s="69"/>
      <c r="H852" s="69"/>
      <c r="I852" s="69"/>
      <c r="J852" s="69"/>
      <c r="K852" s="69"/>
      <c r="L852" s="60"/>
    </row>
    <row r="853" spans="1:12">
      <c r="A853" s="68"/>
      <c r="B853" s="69"/>
      <c r="C853" s="69"/>
      <c r="D853" s="69"/>
      <c r="E853" s="69"/>
      <c r="F853" s="69"/>
      <c r="G853" s="69"/>
      <c r="H853" s="69"/>
      <c r="I853" s="69"/>
      <c r="J853" s="69"/>
      <c r="K853" s="69"/>
      <c r="L853" s="60"/>
    </row>
    <row r="854" spans="1:12">
      <c r="A854" s="68"/>
      <c r="B854" s="69"/>
      <c r="C854" s="69"/>
      <c r="D854" s="69"/>
      <c r="E854" s="69"/>
      <c r="F854" s="69"/>
      <c r="G854" s="69"/>
      <c r="H854" s="69"/>
      <c r="I854" s="69"/>
      <c r="J854" s="69"/>
      <c r="K854" s="69"/>
      <c r="L854" s="60"/>
    </row>
    <row r="855" spans="1:12">
      <c r="A855" s="68"/>
      <c r="B855" s="69"/>
      <c r="C855" s="69"/>
      <c r="D855" s="69"/>
      <c r="E855" s="69"/>
      <c r="F855" s="69"/>
      <c r="G855" s="69"/>
      <c r="H855" s="69"/>
      <c r="I855" s="69"/>
      <c r="J855" s="69"/>
      <c r="K855" s="69"/>
      <c r="L855" s="60"/>
    </row>
    <row r="856" spans="1:12">
      <c r="A856" s="68"/>
      <c r="B856" s="69"/>
      <c r="C856" s="69"/>
      <c r="D856" s="69"/>
      <c r="E856" s="69"/>
      <c r="F856" s="69"/>
      <c r="G856" s="69"/>
      <c r="H856" s="69"/>
      <c r="I856" s="69"/>
      <c r="J856" s="69"/>
      <c r="K856" s="69"/>
      <c r="L856" s="60"/>
    </row>
    <row r="857" spans="1:12">
      <c r="A857" s="68"/>
      <c r="B857" s="69"/>
      <c r="C857" s="69"/>
      <c r="D857" s="69"/>
      <c r="E857" s="69"/>
      <c r="F857" s="69"/>
      <c r="G857" s="69"/>
      <c r="H857" s="69"/>
      <c r="I857" s="69"/>
      <c r="J857" s="69"/>
      <c r="K857" s="69"/>
      <c r="L857" s="60"/>
    </row>
    <row r="858" spans="1:12">
      <c r="A858" s="68"/>
      <c r="B858" s="69"/>
      <c r="C858" s="69"/>
      <c r="D858" s="69"/>
      <c r="E858" s="69"/>
      <c r="F858" s="69"/>
      <c r="G858" s="69"/>
      <c r="H858" s="69"/>
      <c r="I858" s="69"/>
      <c r="J858" s="69"/>
      <c r="K858" s="69"/>
      <c r="L858" s="60"/>
    </row>
    <row r="859" spans="1:12">
      <c r="A859" s="68"/>
      <c r="B859" s="69"/>
      <c r="C859" s="69"/>
      <c r="D859" s="69"/>
      <c r="E859" s="69"/>
      <c r="F859" s="69"/>
      <c r="G859" s="69"/>
      <c r="H859" s="69"/>
      <c r="I859" s="69"/>
      <c r="J859" s="69"/>
      <c r="K859" s="69"/>
      <c r="L859" s="60"/>
    </row>
    <row r="860" spans="1:12">
      <c r="A860" s="68"/>
      <c r="B860" s="69"/>
      <c r="C860" s="69"/>
      <c r="D860" s="69"/>
      <c r="E860" s="69"/>
      <c r="F860" s="69"/>
      <c r="G860" s="69"/>
      <c r="H860" s="69"/>
      <c r="I860" s="69"/>
      <c r="J860" s="69"/>
      <c r="K860" s="69"/>
      <c r="L860" s="60"/>
    </row>
    <row r="861" spans="1:12">
      <c r="A861" s="68"/>
      <c r="B861" s="69"/>
      <c r="C861" s="69"/>
      <c r="D861" s="69"/>
      <c r="E861" s="69"/>
      <c r="F861" s="69"/>
      <c r="G861" s="69"/>
      <c r="H861" s="69"/>
      <c r="I861" s="69"/>
      <c r="J861" s="69"/>
      <c r="K861" s="69"/>
      <c r="L861" s="60"/>
    </row>
    <row r="862" spans="1:12">
      <c r="A862" s="68"/>
      <c r="B862" s="69"/>
      <c r="C862" s="69"/>
      <c r="D862" s="69"/>
      <c r="E862" s="69"/>
      <c r="F862" s="69"/>
      <c r="G862" s="69"/>
      <c r="H862" s="69"/>
      <c r="I862" s="69"/>
      <c r="J862" s="69"/>
      <c r="K862" s="69"/>
      <c r="L862" s="60"/>
    </row>
    <row r="863" spans="1:12">
      <c r="A863" s="68"/>
      <c r="B863" s="69"/>
      <c r="C863" s="69"/>
      <c r="D863" s="69"/>
      <c r="E863" s="69"/>
      <c r="F863" s="69"/>
      <c r="G863" s="69"/>
      <c r="H863" s="69"/>
      <c r="I863" s="69"/>
      <c r="J863" s="69"/>
      <c r="K863" s="69"/>
      <c r="L863" s="60"/>
    </row>
    <row r="864" spans="1:12">
      <c r="A864" s="68"/>
      <c r="B864" s="69"/>
      <c r="C864" s="69"/>
      <c r="D864" s="69"/>
      <c r="E864" s="69"/>
      <c r="F864" s="69"/>
      <c r="G864" s="69"/>
      <c r="H864" s="69"/>
      <c r="I864" s="69"/>
      <c r="J864" s="69"/>
      <c r="K864" s="69"/>
      <c r="L864" s="60"/>
    </row>
    <row r="865" spans="1:12">
      <c r="A865" s="68"/>
      <c r="B865" s="69"/>
      <c r="C865" s="69"/>
      <c r="D865" s="69"/>
      <c r="E865" s="69"/>
      <c r="F865" s="69"/>
      <c r="G865" s="69"/>
      <c r="H865" s="69"/>
      <c r="I865" s="69"/>
      <c r="J865" s="69"/>
      <c r="K865" s="69"/>
      <c r="L865" s="60"/>
    </row>
    <row r="866" spans="1:12">
      <c r="A866" s="68"/>
      <c r="B866" s="69"/>
      <c r="C866" s="69"/>
      <c r="D866" s="69"/>
      <c r="E866" s="69"/>
      <c r="F866" s="69"/>
      <c r="G866" s="69"/>
      <c r="H866" s="69"/>
      <c r="I866" s="69"/>
      <c r="J866" s="69"/>
      <c r="K866" s="69"/>
      <c r="L866" s="60"/>
    </row>
    <row r="867" spans="1:12">
      <c r="A867" s="68"/>
      <c r="B867" s="69"/>
      <c r="C867" s="69"/>
      <c r="D867" s="69"/>
      <c r="E867" s="69"/>
      <c r="F867" s="69"/>
      <c r="G867" s="69"/>
      <c r="H867" s="69"/>
      <c r="I867" s="69"/>
      <c r="J867" s="69"/>
      <c r="K867" s="69"/>
      <c r="L867" s="60"/>
    </row>
    <row r="868" spans="1:12">
      <c r="A868" s="68"/>
      <c r="B868" s="69"/>
      <c r="C868" s="69"/>
      <c r="D868" s="69"/>
      <c r="E868" s="69"/>
      <c r="F868" s="69"/>
      <c r="G868" s="69"/>
      <c r="H868" s="69"/>
      <c r="I868" s="69"/>
      <c r="J868" s="69"/>
      <c r="K868" s="69"/>
      <c r="L868" s="60"/>
    </row>
    <row r="869" spans="1:12">
      <c r="A869" s="68"/>
      <c r="B869" s="69"/>
      <c r="C869" s="69"/>
      <c r="D869" s="69"/>
      <c r="E869" s="69"/>
      <c r="F869" s="69"/>
      <c r="G869" s="69"/>
      <c r="H869" s="69"/>
      <c r="I869" s="69"/>
      <c r="J869" s="69"/>
      <c r="K869" s="69"/>
      <c r="L869" s="60"/>
    </row>
    <row r="870" spans="1:12">
      <c r="A870" s="68"/>
      <c r="B870" s="69"/>
      <c r="C870" s="69"/>
      <c r="D870" s="69"/>
      <c r="E870" s="69"/>
      <c r="F870" s="69"/>
      <c r="G870" s="69"/>
      <c r="H870" s="69"/>
      <c r="I870" s="69"/>
      <c r="J870" s="69"/>
      <c r="K870" s="69"/>
      <c r="L870" s="60"/>
    </row>
    <row r="871" spans="1:12">
      <c r="A871" s="68"/>
      <c r="B871" s="69"/>
      <c r="C871" s="69"/>
      <c r="D871" s="69"/>
      <c r="E871" s="69"/>
      <c r="F871" s="69"/>
      <c r="G871" s="69"/>
      <c r="H871" s="69"/>
      <c r="I871" s="69"/>
      <c r="J871" s="69"/>
      <c r="K871" s="69"/>
      <c r="L871" s="60"/>
    </row>
    <row r="872" spans="1:12">
      <c r="A872" s="68"/>
      <c r="B872" s="69"/>
      <c r="C872" s="69"/>
      <c r="D872" s="69"/>
      <c r="E872" s="69"/>
      <c r="F872" s="69"/>
      <c r="G872" s="69"/>
      <c r="H872" s="69"/>
      <c r="I872" s="69"/>
      <c r="J872" s="69"/>
      <c r="K872" s="69"/>
      <c r="L872" s="60"/>
    </row>
    <row r="873" spans="1:12">
      <c r="A873" s="68"/>
      <c r="B873" s="69"/>
      <c r="C873" s="69"/>
      <c r="D873" s="69"/>
      <c r="E873" s="69"/>
      <c r="F873" s="69"/>
      <c r="G873" s="69"/>
      <c r="H873" s="69"/>
      <c r="I873" s="69"/>
      <c r="J873" s="69"/>
      <c r="K873" s="69"/>
      <c r="L873" s="60"/>
    </row>
    <row r="874" spans="1:12">
      <c r="A874" s="68"/>
      <c r="B874" s="69"/>
      <c r="C874" s="69"/>
      <c r="D874" s="69"/>
      <c r="E874" s="69"/>
      <c r="F874" s="69"/>
      <c r="G874" s="69"/>
      <c r="H874" s="69"/>
      <c r="I874" s="69"/>
      <c r="J874" s="69"/>
      <c r="K874" s="69"/>
      <c r="L874" s="60"/>
    </row>
    <row r="875" spans="1:12">
      <c r="A875" s="68"/>
      <c r="B875" s="69"/>
      <c r="C875" s="69"/>
      <c r="D875" s="69"/>
      <c r="E875" s="69"/>
      <c r="F875" s="69"/>
      <c r="G875" s="69"/>
      <c r="H875" s="69"/>
      <c r="I875" s="69"/>
      <c r="J875" s="69"/>
      <c r="K875" s="69"/>
      <c r="L875" s="60"/>
    </row>
    <row r="876" spans="1:12">
      <c r="A876" s="68"/>
      <c r="B876" s="69"/>
      <c r="C876" s="69"/>
      <c r="D876" s="69"/>
      <c r="E876" s="69"/>
      <c r="F876" s="69"/>
      <c r="G876" s="69"/>
      <c r="H876" s="69"/>
      <c r="I876" s="69"/>
      <c r="J876" s="69"/>
      <c r="K876" s="69"/>
      <c r="L876" s="60"/>
    </row>
    <row r="877" spans="1:12">
      <c r="A877" s="68"/>
      <c r="B877" s="69"/>
      <c r="C877" s="69"/>
      <c r="D877" s="69"/>
      <c r="E877" s="69"/>
      <c r="F877" s="69"/>
      <c r="G877" s="69"/>
      <c r="H877" s="69"/>
      <c r="I877" s="69"/>
      <c r="J877" s="69"/>
      <c r="K877" s="69"/>
      <c r="L877" s="60"/>
    </row>
    <row r="878" spans="1:12">
      <c r="A878" s="68"/>
      <c r="B878" s="69"/>
      <c r="C878" s="69"/>
      <c r="D878" s="69"/>
      <c r="E878" s="69"/>
      <c r="F878" s="69"/>
      <c r="G878" s="69"/>
      <c r="H878" s="69"/>
      <c r="I878" s="69"/>
      <c r="J878" s="69"/>
      <c r="K878" s="69"/>
      <c r="L878" s="60"/>
    </row>
    <row r="879" spans="1:12">
      <c r="A879" s="68"/>
      <c r="B879" s="69"/>
      <c r="C879" s="69"/>
      <c r="D879" s="69"/>
      <c r="E879" s="69"/>
      <c r="F879" s="69"/>
      <c r="G879" s="69"/>
      <c r="H879" s="69"/>
      <c r="I879" s="69"/>
      <c r="J879" s="69"/>
      <c r="K879" s="69"/>
      <c r="L879" s="60"/>
    </row>
    <row r="880" spans="1:12">
      <c r="A880" s="68"/>
      <c r="B880" s="69"/>
      <c r="C880" s="69"/>
      <c r="D880" s="69"/>
      <c r="E880" s="69"/>
      <c r="F880" s="69"/>
      <c r="G880" s="69"/>
      <c r="H880" s="69"/>
      <c r="I880" s="69"/>
      <c r="J880" s="69"/>
      <c r="K880" s="69"/>
      <c r="L880" s="60"/>
    </row>
    <row r="881" spans="1:12">
      <c r="A881" s="68"/>
      <c r="B881" s="69"/>
      <c r="C881" s="69"/>
      <c r="D881" s="69"/>
      <c r="E881" s="69"/>
      <c r="F881" s="69"/>
      <c r="G881" s="69"/>
      <c r="H881" s="69"/>
      <c r="I881" s="69"/>
      <c r="J881" s="69"/>
      <c r="K881" s="69"/>
      <c r="L881" s="60"/>
    </row>
    <row r="882" spans="1:12">
      <c r="A882" s="68"/>
      <c r="B882" s="69"/>
      <c r="C882" s="69"/>
      <c r="D882" s="69"/>
      <c r="E882" s="69"/>
      <c r="F882" s="69"/>
      <c r="G882" s="69"/>
      <c r="H882" s="69"/>
      <c r="I882" s="69"/>
      <c r="J882" s="69"/>
      <c r="K882" s="69"/>
      <c r="L882" s="60"/>
    </row>
    <row r="883" spans="1:12">
      <c r="A883" s="68"/>
      <c r="B883" s="69"/>
      <c r="C883" s="69"/>
      <c r="D883" s="69"/>
      <c r="E883" s="69"/>
      <c r="F883" s="69"/>
      <c r="G883" s="69"/>
      <c r="H883" s="69"/>
      <c r="I883" s="69"/>
      <c r="J883" s="69"/>
      <c r="K883" s="69"/>
      <c r="L883" s="60"/>
    </row>
    <row r="884" spans="1:12">
      <c r="A884" s="68"/>
      <c r="B884" s="69"/>
      <c r="C884" s="69"/>
      <c r="D884" s="69"/>
      <c r="E884" s="69"/>
      <c r="F884" s="69"/>
      <c r="G884" s="69"/>
      <c r="H884" s="69"/>
      <c r="I884" s="69"/>
      <c r="J884" s="69"/>
      <c r="K884" s="69"/>
      <c r="L884" s="60"/>
    </row>
    <row r="885" spans="1:12">
      <c r="A885" s="68"/>
      <c r="B885" s="69"/>
      <c r="C885" s="69"/>
      <c r="D885" s="69"/>
      <c r="E885" s="69"/>
      <c r="F885" s="69"/>
      <c r="G885" s="69"/>
      <c r="H885" s="69"/>
      <c r="I885" s="69"/>
      <c r="J885" s="69"/>
      <c r="K885" s="69"/>
      <c r="L885" s="60"/>
    </row>
    <row r="886" spans="1:12">
      <c r="A886" s="68"/>
      <c r="B886" s="69"/>
      <c r="C886" s="69"/>
      <c r="D886" s="69"/>
      <c r="E886" s="69"/>
      <c r="F886" s="69"/>
      <c r="G886" s="69"/>
      <c r="H886" s="69"/>
      <c r="I886" s="69"/>
      <c r="J886" s="69"/>
      <c r="K886" s="69"/>
      <c r="L886" s="60"/>
    </row>
    <row r="887" spans="1:12">
      <c r="A887" s="68"/>
      <c r="B887" s="69"/>
      <c r="C887" s="69"/>
      <c r="D887" s="69"/>
      <c r="E887" s="69"/>
      <c r="F887" s="69"/>
      <c r="G887" s="69"/>
      <c r="H887" s="69"/>
      <c r="I887" s="69"/>
      <c r="J887" s="69"/>
      <c r="K887" s="69"/>
      <c r="L887" s="60"/>
    </row>
    <row r="888" spans="1:12">
      <c r="A888" s="68"/>
      <c r="B888" s="69"/>
      <c r="C888" s="69"/>
      <c r="D888" s="69"/>
      <c r="E888" s="69"/>
      <c r="F888" s="69"/>
      <c r="G888" s="69"/>
      <c r="H888" s="69"/>
      <c r="I888" s="69"/>
      <c r="J888" s="69"/>
      <c r="K888" s="69"/>
      <c r="L888" s="60"/>
    </row>
    <row r="889" spans="1:12">
      <c r="A889" s="68"/>
      <c r="B889" s="69"/>
      <c r="C889" s="69"/>
      <c r="D889" s="69"/>
      <c r="E889" s="69"/>
      <c r="F889" s="69"/>
      <c r="G889" s="69"/>
      <c r="H889" s="69"/>
      <c r="I889" s="69"/>
      <c r="J889" s="69"/>
      <c r="K889" s="69"/>
      <c r="L889" s="60"/>
    </row>
    <row r="890" spans="1:12">
      <c r="A890" s="68"/>
      <c r="B890" s="69"/>
      <c r="C890" s="69"/>
      <c r="D890" s="69"/>
      <c r="E890" s="69"/>
      <c r="F890" s="69"/>
      <c r="G890" s="69"/>
      <c r="H890" s="69"/>
      <c r="I890" s="69"/>
      <c r="J890" s="69"/>
      <c r="K890" s="69"/>
      <c r="L890" s="60"/>
    </row>
    <row r="891" spans="1:12">
      <c r="A891" s="68"/>
      <c r="B891" s="69"/>
      <c r="C891" s="69"/>
      <c r="D891" s="69"/>
      <c r="E891" s="69"/>
      <c r="F891" s="69"/>
      <c r="G891" s="69"/>
      <c r="H891" s="69"/>
      <c r="I891" s="69"/>
      <c r="J891" s="69"/>
      <c r="K891" s="69"/>
      <c r="L891" s="60"/>
    </row>
    <row r="892" spans="1:12">
      <c r="A892" s="68"/>
      <c r="B892" s="69"/>
      <c r="C892" s="69"/>
      <c r="D892" s="69"/>
      <c r="E892" s="69"/>
      <c r="F892" s="69"/>
      <c r="G892" s="69"/>
      <c r="H892" s="69"/>
      <c r="I892" s="69"/>
      <c r="J892" s="69"/>
      <c r="K892" s="69"/>
      <c r="L892" s="60"/>
    </row>
    <row r="893" spans="1:12">
      <c r="A893" s="68"/>
      <c r="B893" s="69"/>
      <c r="C893" s="69"/>
      <c r="D893" s="69"/>
      <c r="E893" s="69"/>
      <c r="F893" s="69"/>
      <c r="G893" s="69"/>
      <c r="H893" s="69"/>
      <c r="I893" s="69"/>
      <c r="J893" s="69"/>
      <c r="K893" s="69"/>
      <c r="L893" s="60"/>
    </row>
    <row r="894" spans="1:12">
      <c r="A894" s="68"/>
      <c r="B894" s="69"/>
      <c r="C894" s="69"/>
      <c r="D894" s="69"/>
      <c r="E894" s="69"/>
      <c r="F894" s="69"/>
      <c r="G894" s="69"/>
      <c r="H894" s="69"/>
      <c r="I894" s="69"/>
      <c r="J894" s="69"/>
      <c r="K894" s="69"/>
      <c r="L894" s="60"/>
    </row>
    <row r="895" spans="1:12">
      <c r="A895" s="68"/>
      <c r="B895" s="69"/>
      <c r="C895" s="69"/>
      <c r="D895" s="69"/>
      <c r="E895" s="69"/>
      <c r="F895" s="69"/>
      <c r="G895" s="69"/>
      <c r="H895" s="69"/>
      <c r="I895" s="69"/>
      <c r="J895" s="69"/>
      <c r="K895" s="69"/>
      <c r="L895" s="60"/>
    </row>
    <row r="896" spans="1:12">
      <c r="A896" s="68"/>
      <c r="B896" s="69"/>
      <c r="C896" s="69"/>
      <c r="D896" s="69"/>
      <c r="E896" s="69"/>
      <c r="F896" s="69"/>
      <c r="G896" s="69"/>
      <c r="H896" s="69"/>
      <c r="I896" s="69"/>
      <c r="J896" s="69"/>
      <c r="K896" s="69"/>
      <c r="L896" s="60"/>
    </row>
    <row r="897" spans="1:12">
      <c r="A897" s="68"/>
      <c r="B897" s="69"/>
      <c r="C897" s="69"/>
      <c r="D897" s="69"/>
      <c r="E897" s="69"/>
      <c r="F897" s="69"/>
      <c r="G897" s="69"/>
      <c r="H897" s="69"/>
      <c r="I897" s="69"/>
      <c r="J897" s="69"/>
      <c r="K897" s="69"/>
      <c r="L897" s="60"/>
    </row>
    <row r="898" spans="1:12">
      <c r="A898" s="68"/>
      <c r="B898" s="69"/>
      <c r="C898" s="69"/>
      <c r="D898" s="69"/>
      <c r="E898" s="69"/>
      <c r="F898" s="69"/>
      <c r="G898" s="69"/>
      <c r="H898" s="69"/>
      <c r="I898" s="69"/>
      <c r="J898" s="69"/>
      <c r="K898" s="69"/>
      <c r="L898" s="60"/>
    </row>
    <row r="899" spans="1:12">
      <c r="A899" s="68"/>
      <c r="B899" s="69"/>
      <c r="C899" s="69"/>
      <c r="D899" s="69"/>
      <c r="E899" s="69"/>
      <c r="F899" s="69"/>
      <c r="G899" s="69"/>
      <c r="H899" s="69"/>
      <c r="I899" s="69"/>
      <c r="J899" s="69"/>
      <c r="K899" s="69"/>
      <c r="L899" s="60"/>
    </row>
    <row r="900" spans="1:12">
      <c r="A900" s="68"/>
      <c r="B900" s="69"/>
      <c r="C900" s="69"/>
      <c r="D900" s="69"/>
      <c r="E900" s="69"/>
      <c r="F900" s="69"/>
      <c r="G900" s="69"/>
      <c r="H900" s="69"/>
      <c r="I900" s="69"/>
      <c r="J900" s="69"/>
      <c r="K900" s="69"/>
      <c r="L900" s="60"/>
    </row>
    <row r="901" spans="1:12">
      <c r="A901" s="68"/>
      <c r="B901" s="69"/>
      <c r="C901" s="69"/>
      <c r="D901" s="69"/>
      <c r="E901" s="69"/>
      <c r="F901" s="69"/>
      <c r="G901" s="69"/>
      <c r="H901" s="69"/>
      <c r="I901" s="69"/>
      <c r="J901" s="69"/>
      <c r="K901" s="69"/>
      <c r="L901" s="60"/>
    </row>
    <row r="902" spans="1:12">
      <c r="A902" s="68"/>
      <c r="B902" s="69"/>
      <c r="C902" s="69"/>
      <c r="D902" s="69"/>
      <c r="E902" s="69"/>
      <c r="F902" s="69"/>
      <c r="G902" s="69"/>
      <c r="H902" s="69"/>
      <c r="I902" s="69"/>
      <c r="J902" s="69"/>
      <c r="K902" s="69"/>
      <c r="L902" s="60"/>
    </row>
    <row r="903" spans="1:12">
      <c r="A903" s="68"/>
      <c r="B903" s="69"/>
      <c r="C903" s="69"/>
      <c r="D903" s="69"/>
      <c r="E903" s="69"/>
      <c r="F903" s="69"/>
      <c r="G903" s="69"/>
      <c r="H903" s="69"/>
      <c r="I903" s="69"/>
      <c r="J903" s="69"/>
      <c r="K903" s="69"/>
      <c r="L903" s="60"/>
    </row>
    <row r="904" spans="1:12">
      <c r="A904" s="68"/>
      <c r="B904" s="69"/>
      <c r="C904" s="69"/>
      <c r="D904" s="69"/>
      <c r="E904" s="69"/>
      <c r="F904" s="69"/>
      <c r="G904" s="69"/>
      <c r="H904" s="69"/>
      <c r="I904" s="69"/>
      <c r="J904" s="69"/>
      <c r="K904" s="69"/>
      <c r="L904" s="60"/>
    </row>
    <row r="905" spans="1:12">
      <c r="A905" s="68"/>
      <c r="B905" s="69"/>
      <c r="C905" s="69"/>
      <c r="D905" s="69"/>
      <c r="E905" s="69"/>
      <c r="F905" s="69"/>
      <c r="G905" s="69"/>
      <c r="H905" s="69"/>
      <c r="I905" s="69"/>
      <c r="J905" s="69"/>
      <c r="K905" s="69"/>
      <c r="L905" s="60"/>
    </row>
    <row r="906" spans="1:12">
      <c r="A906" s="68"/>
      <c r="B906" s="69"/>
      <c r="C906" s="69"/>
      <c r="D906" s="69"/>
      <c r="E906" s="69"/>
      <c r="F906" s="69"/>
      <c r="G906" s="69"/>
      <c r="H906" s="69"/>
      <c r="I906" s="69"/>
      <c r="J906" s="69"/>
      <c r="K906" s="69"/>
      <c r="L906" s="60"/>
    </row>
    <row r="907" spans="1:12">
      <c r="A907" s="68"/>
      <c r="B907" s="69"/>
      <c r="C907" s="69"/>
      <c r="D907" s="69"/>
      <c r="E907" s="69"/>
      <c r="F907" s="69"/>
      <c r="G907" s="69"/>
      <c r="H907" s="69"/>
      <c r="I907" s="69"/>
      <c r="J907" s="69"/>
      <c r="K907" s="69"/>
      <c r="L907" s="60"/>
    </row>
    <row r="908" spans="1:12">
      <c r="A908" s="68"/>
      <c r="B908" s="69"/>
      <c r="C908" s="69"/>
      <c r="D908" s="69"/>
      <c r="E908" s="69"/>
      <c r="F908" s="69"/>
      <c r="G908" s="69"/>
      <c r="H908" s="69"/>
      <c r="I908" s="69"/>
      <c r="J908" s="69"/>
      <c r="K908" s="69"/>
      <c r="L908" s="60"/>
    </row>
    <row r="909" spans="1:12">
      <c r="A909" s="68"/>
      <c r="B909" s="69"/>
      <c r="C909" s="69"/>
      <c r="D909" s="69"/>
      <c r="E909" s="69"/>
      <c r="F909" s="69"/>
      <c r="G909" s="69"/>
      <c r="H909" s="69"/>
      <c r="I909" s="69"/>
      <c r="J909" s="69"/>
      <c r="K909" s="69"/>
      <c r="L909" s="60"/>
    </row>
    <row r="910" spans="1:12">
      <c r="A910" s="68"/>
      <c r="B910" s="69"/>
      <c r="C910" s="69"/>
      <c r="D910" s="69"/>
      <c r="E910" s="69"/>
      <c r="F910" s="69"/>
      <c r="G910" s="69"/>
      <c r="H910" s="69"/>
      <c r="I910" s="69"/>
      <c r="J910" s="69"/>
      <c r="K910" s="69"/>
      <c r="L910" s="60"/>
    </row>
    <row r="911" spans="1:12">
      <c r="A911" s="68"/>
      <c r="B911" s="69"/>
      <c r="C911" s="69"/>
      <c r="D911" s="69"/>
      <c r="E911" s="69"/>
      <c r="F911" s="69"/>
      <c r="G911" s="69"/>
      <c r="H911" s="69"/>
      <c r="I911" s="69"/>
      <c r="J911" s="69"/>
      <c r="K911" s="69"/>
      <c r="L911" s="60"/>
    </row>
    <row r="912" spans="1:12">
      <c r="A912" s="68"/>
      <c r="B912" s="69"/>
      <c r="C912" s="69"/>
      <c r="D912" s="69"/>
      <c r="E912" s="69"/>
      <c r="F912" s="69"/>
      <c r="G912" s="69"/>
      <c r="H912" s="69"/>
      <c r="I912" s="69"/>
      <c r="J912" s="69"/>
      <c r="K912" s="69"/>
      <c r="L912" s="60"/>
    </row>
    <row r="913" spans="1:12">
      <c r="A913" s="68"/>
      <c r="B913" s="69"/>
      <c r="C913" s="69"/>
      <c r="D913" s="69"/>
      <c r="E913" s="69"/>
      <c r="F913" s="69"/>
      <c r="G913" s="69"/>
      <c r="H913" s="69"/>
      <c r="I913" s="69"/>
      <c r="J913" s="69"/>
      <c r="K913" s="69"/>
      <c r="L913" s="60"/>
    </row>
    <row r="914" spans="1:12">
      <c r="A914" s="68"/>
      <c r="B914" s="69"/>
      <c r="C914" s="69"/>
      <c r="D914" s="69"/>
      <c r="E914" s="69"/>
      <c r="F914" s="69"/>
      <c r="G914" s="69"/>
      <c r="H914" s="69"/>
      <c r="I914" s="69"/>
      <c r="J914" s="69"/>
      <c r="K914" s="69"/>
      <c r="L914" s="60"/>
    </row>
    <row r="915" spans="1:12">
      <c r="A915" s="68"/>
      <c r="B915" s="69"/>
      <c r="C915" s="69"/>
      <c r="D915" s="69"/>
      <c r="E915" s="69"/>
      <c r="F915" s="69"/>
      <c r="G915" s="69"/>
      <c r="H915" s="69"/>
      <c r="I915" s="69"/>
      <c r="J915" s="69"/>
      <c r="K915" s="69"/>
      <c r="L915" s="60"/>
    </row>
    <row r="916" spans="1:12">
      <c r="A916" s="68"/>
      <c r="B916" s="69"/>
      <c r="C916" s="69"/>
      <c r="D916" s="69"/>
      <c r="E916" s="69"/>
      <c r="F916" s="69"/>
      <c r="G916" s="69"/>
      <c r="H916" s="69"/>
      <c r="I916" s="69"/>
      <c r="J916" s="69"/>
      <c r="K916" s="69"/>
      <c r="L916" s="60"/>
    </row>
    <row r="917" spans="1:12">
      <c r="A917" s="68"/>
      <c r="B917" s="69"/>
      <c r="C917" s="69"/>
      <c r="D917" s="69"/>
      <c r="E917" s="69"/>
      <c r="F917" s="69"/>
      <c r="G917" s="69"/>
      <c r="H917" s="69"/>
      <c r="I917" s="69"/>
      <c r="J917" s="69"/>
      <c r="K917" s="69"/>
      <c r="L917" s="60"/>
    </row>
    <row r="918" spans="1:12">
      <c r="A918" s="68"/>
      <c r="B918" s="69"/>
      <c r="C918" s="69"/>
      <c r="D918" s="69"/>
      <c r="E918" s="69"/>
      <c r="F918" s="69"/>
      <c r="G918" s="69"/>
      <c r="H918" s="69"/>
      <c r="I918" s="69"/>
      <c r="J918" s="69"/>
      <c r="K918" s="69"/>
      <c r="L918" s="60"/>
    </row>
    <row r="919" spans="1:12">
      <c r="A919" s="68"/>
      <c r="B919" s="69"/>
      <c r="C919" s="69"/>
      <c r="D919" s="69"/>
      <c r="E919" s="69"/>
      <c r="F919" s="69"/>
      <c r="G919" s="69"/>
      <c r="H919" s="69"/>
      <c r="I919" s="69"/>
      <c r="J919" s="69"/>
      <c r="K919" s="69"/>
      <c r="L919" s="60"/>
    </row>
    <row r="920" spans="1:12">
      <c r="A920" s="68"/>
      <c r="B920" s="69"/>
      <c r="C920" s="69"/>
      <c r="D920" s="69"/>
      <c r="E920" s="69"/>
      <c r="F920" s="69"/>
      <c r="G920" s="69"/>
      <c r="H920" s="69"/>
      <c r="I920" s="69"/>
      <c r="J920" s="69"/>
      <c r="K920" s="69"/>
      <c r="L920" s="60"/>
    </row>
    <row r="921" spans="1:12">
      <c r="A921" s="68"/>
      <c r="B921" s="69"/>
      <c r="C921" s="69"/>
      <c r="D921" s="69"/>
      <c r="E921" s="69"/>
      <c r="F921" s="69"/>
      <c r="G921" s="69"/>
      <c r="H921" s="69"/>
      <c r="I921" s="69"/>
      <c r="J921" s="69"/>
      <c r="K921" s="69"/>
      <c r="L921" s="60"/>
    </row>
    <row r="922" spans="1:12">
      <c r="A922" s="68"/>
      <c r="B922" s="69"/>
      <c r="C922" s="69"/>
      <c r="D922" s="69"/>
      <c r="E922" s="69"/>
      <c r="F922" s="69"/>
      <c r="G922" s="69"/>
      <c r="H922" s="69"/>
      <c r="I922" s="69"/>
      <c r="J922" s="69"/>
      <c r="K922" s="69"/>
      <c r="L922" s="60"/>
    </row>
    <row r="923" spans="1:12">
      <c r="A923" s="68"/>
      <c r="B923" s="69"/>
      <c r="C923" s="69"/>
      <c r="D923" s="69"/>
      <c r="E923" s="69"/>
      <c r="F923" s="69"/>
      <c r="G923" s="69"/>
      <c r="H923" s="69"/>
      <c r="I923" s="69"/>
      <c r="J923" s="69"/>
      <c r="K923" s="69"/>
      <c r="L923" s="60"/>
    </row>
    <row r="924" spans="1:12">
      <c r="A924" s="68"/>
      <c r="B924" s="69"/>
      <c r="C924" s="69"/>
      <c r="D924" s="69"/>
      <c r="E924" s="69"/>
      <c r="F924" s="69"/>
      <c r="G924" s="69"/>
      <c r="H924" s="69"/>
      <c r="I924" s="69"/>
      <c r="J924" s="69"/>
      <c r="K924" s="69"/>
      <c r="L924" s="60"/>
    </row>
    <row r="925" spans="1:12">
      <c r="A925" s="68"/>
      <c r="B925" s="69"/>
      <c r="C925" s="69"/>
      <c r="D925" s="69"/>
      <c r="E925" s="69"/>
      <c r="F925" s="69"/>
      <c r="G925" s="69"/>
      <c r="H925" s="69"/>
      <c r="I925" s="69"/>
      <c r="J925" s="69"/>
      <c r="K925" s="69"/>
      <c r="L925" s="60"/>
    </row>
    <row r="926" spans="1:12">
      <c r="A926" s="68"/>
      <c r="B926" s="69"/>
      <c r="C926" s="69"/>
      <c r="D926" s="69"/>
      <c r="E926" s="69"/>
      <c r="F926" s="69"/>
      <c r="G926" s="69"/>
      <c r="H926" s="69"/>
      <c r="I926" s="69"/>
      <c r="J926" s="69"/>
      <c r="K926" s="69"/>
      <c r="L926" s="60"/>
    </row>
    <row r="927" spans="1:12">
      <c r="A927" s="68"/>
      <c r="B927" s="69"/>
      <c r="C927" s="69"/>
      <c r="D927" s="69"/>
      <c r="E927" s="69"/>
      <c r="F927" s="69"/>
      <c r="G927" s="69"/>
      <c r="H927" s="69"/>
      <c r="I927" s="69"/>
      <c r="J927" s="69"/>
      <c r="K927" s="69"/>
      <c r="L927" s="60"/>
    </row>
    <row r="928" spans="1:12">
      <c r="A928" s="68"/>
      <c r="B928" s="69"/>
      <c r="C928" s="69"/>
      <c r="D928" s="69"/>
      <c r="E928" s="69"/>
      <c r="F928" s="69"/>
      <c r="G928" s="69"/>
      <c r="H928" s="69"/>
      <c r="I928" s="69"/>
      <c r="J928" s="69"/>
      <c r="K928" s="69"/>
      <c r="L928" s="60"/>
    </row>
    <row r="929" spans="1:12">
      <c r="A929" s="68"/>
      <c r="B929" s="69"/>
      <c r="C929" s="69"/>
      <c r="D929" s="69"/>
      <c r="E929" s="69"/>
      <c r="F929" s="69"/>
      <c r="G929" s="69"/>
      <c r="H929" s="69"/>
      <c r="I929" s="69"/>
      <c r="J929" s="69"/>
      <c r="K929" s="69"/>
      <c r="L929" s="60"/>
    </row>
    <row r="930" spans="1:12">
      <c r="A930" s="68"/>
      <c r="B930" s="69"/>
      <c r="C930" s="69"/>
      <c r="D930" s="69"/>
      <c r="E930" s="69"/>
      <c r="F930" s="69"/>
      <c r="G930" s="69"/>
      <c r="H930" s="69"/>
      <c r="I930" s="69"/>
      <c r="J930" s="69"/>
      <c r="K930" s="69"/>
      <c r="L930" s="60"/>
    </row>
    <row r="931" spans="1:12">
      <c r="A931" s="68"/>
      <c r="B931" s="69"/>
      <c r="C931" s="69"/>
      <c r="D931" s="69"/>
      <c r="E931" s="69"/>
      <c r="F931" s="69"/>
      <c r="G931" s="69"/>
      <c r="H931" s="69"/>
      <c r="I931" s="69"/>
      <c r="J931" s="69"/>
      <c r="K931" s="69"/>
      <c r="L931" s="60"/>
    </row>
    <row r="932" spans="1:12">
      <c r="A932" s="68"/>
      <c r="B932" s="69"/>
      <c r="C932" s="69"/>
      <c r="D932" s="69"/>
      <c r="E932" s="69"/>
      <c r="F932" s="69"/>
      <c r="G932" s="69"/>
      <c r="H932" s="69"/>
      <c r="I932" s="69"/>
      <c r="J932" s="69"/>
      <c r="K932" s="69"/>
      <c r="L932" s="60"/>
    </row>
    <row r="933" spans="1:12">
      <c r="A933" s="68"/>
      <c r="B933" s="69"/>
      <c r="C933" s="69"/>
      <c r="D933" s="69"/>
      <c r="E933" s="69"/>
      <c r="F933" s="69"/>
      <c r="G933" s="69"/>
      <c r="H933" s="69"/>
      <c r="I933" s="69"/>
      <c r="J933" s="69"/>
      <c r="K933" s="69"/>
      <c r="L933" s="60"/>
    </row>
    <row r="934" spans="1:12">
      <c r="A934" s="68"/>
      <c r="B934" s="69"/>
      <c r="C934" s="69"/>
      <c r="D934" s="69"/>
      <c r="E934" s="69"/>
      <c r="F934" s="69"/>
      <c r="G934" s="69"/>
      <c r="H934" s="69"/>
      <c r="I934" s="69"/>
      <c r="J934" s="69"/>
      <c r="K934" s="69"/>
      <c r="L934" s="60"/>
    </row>
    <row r="935" spans="1:12">
      <c r="A935" s="68"/>
      <c r="B935" s="69"/>
      <c r="C935" s="69"/>
      <c r="D935" s="69"/>
      <c r="E935" s="69"/>
      <c r="F935" s="69"/>
      <c r="G935" s="69"/>
      <c r="H935" s="69"/>
      <c r="I935" s="69"/>
      <c r="J935" s="69"/>
      <c r="K935" s="69"/>
      <c r="L935" s="60"/>
    </row>
    <row r="936" spans="1:12">
      <c r="A936" s="68"/>
      <c r="B936" s="69"/>
      <c r="C936" s="69"/>
      <c r="D936" s="69"/>
      <c r="E936" s="69"/>
      <c r="F936" s="69"/>
      <c r="G936" s="69"/>
      <c r="H936" s="69"/>
      <c r="I936" s="69"/>
      <c r="J936" s="69"/>
      <c r="K936" s="69"/>
      <c r="L936" s="60"/>
    </row>
    <row r="937" spans="1:12">
      <c r="A937" s="68"/>
      <c r="B937" s="69"/>
      <c r="C937" s="69"/>
      <c r="D937" s="69"/>
      <c r="E937" s="69"/>
      <c r="F937" s="69"/>
      <c r="G937" s="69"/>
      <c r="H937" s="69"/>
      <c r="I937" s="69"/>
      <c r="J937" s="69"/>
      <c r="K937" s="69"/>
      <c r="L937" s="60"/>
    </row>
    <row r="938" spans="1:12">
      <c r="A938" s="68"/>
      <c r="B938" s="69"/>
      <c r="C938" s="69"/>
      <c r="D938" s="69"/>
      <c r="E938" s="69"/>
      <c r="F938" s="69"/>
      <c r="G938" s="69"/>
      <c r="H938" s="69"/>
      <c r="I938" s="69"/>
      <c r="J938" s="69"/>
      <c r="K938" s="69"/>
      <c r="L938" s="60"/>
    </row>
    <row r="939" spans="1:12">
      <c r="A939" s="68"/>
      <c r="B939" s="69"/>
      <c r="C939" s="69"/>
      <c r="D939" s="69"/>
      <c r="E939" s="69"/>
      <c r="F939" s="69"/>
      <c r="G939" s="69"/>
      <c r="H939" s="69"/>
      <c r="I939" s="69"/>
      <c r="J939" s="69"/>
      <c r="K939" s="69"/>
      <c r="L939" s="60"/>
    </row>
    <row r="940" spans="1:12">
      <c r="A940" s="68"/>
      <c r="B940" s="69"/>
      <c r="C940" s="69"/>
      <c r="D940" s="69"/>
      <c r="E940" s="69"/>
      <c r="F940" s="69"/>
      <c r="G940" s="69"/>
      <c r="H940" s="69"/>
      <c r="I940" s="69"/>
      <c r="J940" s="69"/>
      <c r="K940" s="69"/>
      <c r="L940" s="60"/>
    </row>
    <row r="941" spans="1:12">
      <c r="A941" s="68"/>
      <c r="B941" s="69"/>
      <c r="C941" s="69"/>
      <c r="D941" s="69"/>
      <c r="E941" s="69"/>
      <c r="F941" s="69"/>
      <c r="G941" s="69"/>
      <c r="H941" s="69"/>
      <c r="I941" s="69"/>
      <c r="J941" s="69"/>
      <c r="K941" s="69"/>
      <c r="L941" s="60"/>
    </row>
    <row r="942" spans="1:12">
      <c r="A942" s="68"/>
      <c r="B942" s="69"/>
      <c r="C942" s="69"/>
      <c r="D942" s="69"/>
      <c r="E942" s="69"/>
      <c r="F942" s="69"/>
      <c r="G942" s="69"/>
      <c r="H942" s="69"/>
      <c r="I942" s="69"/>
      <c r="J942" s="69"/>
      <c r="K942" s="69"/>
      <c r="L942" s="60"/>
    </row>
    <row r="943" spans="1:12">
      <c r="A943" s="68"/>
      <c r="B943" s="69"/>
      <c r="C943" s="69"/>
      <c r="D943" s="69"/>
      <c r="E943" s="69"/>
      <c r="F943" s="69"/>
      <c r="G943" s="69"/>
      <c r="H943" s="69"/>
      <c r="I943" s="69"/>
      <c r="J943" s="69"/>
      <c r="K943" s="69"/>
      <c r="L943" s="60"/>
    </row>
    <row r="944" spans="1:12">
      <c r="A944" s="68"/>
      <c r="B944" s="69"/>
      <c r="C944" s="69"/>
      <c r="D944" s="69"/>
      <c r="E944" s="69"/>
      <c r="F944" s="69"/>
      <c r="G944" s="69"/>
      <c r="H944" s="69"/>
      <c r="I944" s="69"/>
      <c r="J944" s="69"/>
      <c r="K944" s="69"/>
      <c r="L944" s="60"/>
    </row>
    <row r="945" spans="1:12">
      <c r="A945" s="68"/>
      <c r="B945" s="69"/>
      <c r="C945" s="69"/>
      <c r="D945" s="69"/>
      <c r="E945" s="69"/>
      <c r="F945" s="69"/>
      <c r="G945" s="69"/>
      <c r="H945" s="69"/>
      <c r="I945" s="69"/>
      <c r="J945" s="69"/>
      <c r="K945" s="69"/>
      <c r="L945" s="60"/>
    </row>
    <row r="946" spans="1:12">
      <c r="A946" s="68"/>
      <c r="B946" s="69"/>
      <c r="C946" s="69"/>
      <c r="D946" s="69"/>
      <c r="E946" s="69"/>
      <c r="F946" s="69"/>
      <c r="G946" s="69"/>
      <c r="H946" s="69"/>
      <c r="I946" s="69"/>
      <c r="J946" s="69"/>
      <c r="K946" s="69"/>
      <c r="L946" s="60"/>
    </row>
    <row r="947" spans="1:12">
      <c r="A947" s="68"/>
      <c r="B947" s="69"/>
      <c r="C947" s="69"/>
      <c r="D947" s="69"/>
      <c r="E947" s="69"/>
      <c r="F947" s="69"/>
      <c r="G947" s="69"/>
      <c r="H947" s="69"/>
      <c r="I947" s="69"/>
      <c r="J947" s="69"/>
      <c r="K947" s="69"/>
      <c r="L947" s="60"/>
    </row>
    <row r="948" spans="1:12">
      <c r="A948" s="68"/>
      <c r="B948" s="69"/>
      <c r="C948" s="69"/>
      <c r="D948" s="69"/>
      <c r="E948" s="69"/>
      <c r="F948" s="69"/>
      <c r="G948" s="69"/>
      <c r="H948" s="69"/>
      <c r="I948" s="69"/>
      <c r="J948" s="69"/>
      <c r="K948" s="69"/>
      <c r="L948" s="60"/>
    </row>
    <row r="949" spans="1:12">
      <c r="A949" s="68"/>
      <c r="B949" s="69"/>
      <c r="C949" s="69"/>
      <c r="D949" s="69"/>
      <c r="E949" s="69"/>
      <c r="F949" s="69"/>
      <c r="G949" s="69"/>
      <c r="H949" s="69"/>
      <c r="I949" s="69"/>
      <c r="J949" s="69"/>
      <c r="K949" s="69"/>
      <c r="L949" s="60"/>
    </row>
    <row r="950" spans="1:12">
      <c r="A950" s="68"/>
      <c r="B950" s="69"/>
      <c r="C950" s="69"/>
      <c r="D950" s="69"/>
      <c r="E950" s="69"/>
      <c r="F950" s="69"/>
      <c r="G950" s="69"/>
      <c r="H950" s="69"/>
      <c r="I950" s="69"/>
      <c r="J950" s="69"/>
      <c r="K950" s="69"/>
      <c r="L950" s="60"/>
    </row>
    <row r="951" spans="1:12">
      <c r="A951" s="68"/>
      <c r="B951" s="69"/>
      <c r="C951" s="69"/>
      <c r="D951" s="69"/>
      <c r="E951" s="69"/>
      <c r="F951" s="69"/>
      <c r="G951" s="69"/>
      <c r="H951" s="69"/>
      <c r="I951" s="69"/>
      <c r="J951" s="69"/>
      <c r="K951" s="69"/>
      <c r="L951" s="60"/>
    </row>
    <row r="952" spans="1:12">
      <c r="A952" s="68"/>
      <c r="B952" s="69"/>
      <c r="C952" s="69"/>
      <c r="D952" s="69"/>
      <c r="E952" s="69"/>
      <c r="F952" s="69"/>
      <c r="G952" s="69"/>
      <c r="H952" s="69"/>
      <c r="I952" s="69"/>
      <c r="J952" s="69"/>
      <c r="K952" s="69"/>
      <c r="L952" s="60"/>
    </row>
    <row r="953" spans="1:12">
      <c r="A953" s="68"/>
      <c r="B953" s="69"/>
      <c r="C953" s="69"/>
      <c r="D953" s="69"/>
      <c r="E953" s="69"/>
      <c r="F953" s="69"/>
      <c r="G953" s="69"/>
      <c r="H953" s="69"/>
      <c r="I953" s="69"/>
      <c r="J953" s="69"/>
      <c r="K953" s="69"/>
      <c r="L953" s="60"/>
    </row>
    <row r="954" spans="1:12">
      <c r="A954" s="68"/>
      <c r="B954" s="69"/>
      <c r="C954" s="69"/>
      <c r="D954" s="69"/>
      <c r="E954" s="69"/>
      <c r="F954" s="69"/>
      <c r="G954" s="69"/>
      <c r="H954" s="69"/>
      <c r="I954" s="69"/>
      <c r="J954" s="69"/>
      <c r="K954" s="69"/>
      <c r="L954" s="60"/>
    </row>
    <row r="955" spans="1:12">
      <c r="A955" s="68"/>
      <c r="B955" s="69"/>
      <c r="C955" s="69"/>
      <c r="D955" s="69"/>
      <c r="E955" s="69"/>
      <c r="F955" s="69"/>
      <c r="G955" s="69"/>
      <c r="H955" s="69"/>
      <c r="I955" s="69"/>
      <c r="J955" s="69"/>
      <c r="K955" s="69"/>
      <c r="L955" s="60"/>
    </row>
    <row r="956" spans="1:12">
      <c r="A956" s="68"/>
      <c r="B956" s="69"/>
      <c r="C956" s="69"/>
      <c r="D956" s="69"/>
      <c r="E956" s="69"/>
      <c r="F956" s="69"/>
      <c r="G956" s="69"/>
      <c r="H956" s="69"/>
      <c r="I956" s="69"/>
      <c r="J956" s="69"/>
      <c r="K956" s="69"/>
      <c r="L956" s="60"/>
    </row>
    <row r="957" spans="1:12">
      <c r="A957" s="68"/>
      <c r="B957" s="69"/>
      <c r="C957" s="69"/>
      <c r="D957" s="69"/>
      <c r="E957" s="69"/>
      <c r="F957" s="69"/>
      <c r="G957" s="69"/>
      <c r="H957" s="69"/>
      <c r="I957" s="69"/>
      <c r="J957" s="69"/>
      <c r="K957" s="69"/>
      <c r="L957" s="60"/>
    </row>
    <row r="958" spans="1:12">
      <c r="A958" s="68"/>
      <c r="B958" s="69"/>
      <c r="C958" s="69"/>
      <c r="D958" s="69"/>
      <c r="E958" s="69"/>
      <c r="F958" s="69"/>
      <c r="G958" s="69"/>
      <c r="H958" s="69"/>
      <c r="I958" s="69"/>
      <c r="J958" s="69"/>
      <c r="K958" s="69"/>
      <c r="L958" s="60"/>
    </row>
    <row r="959" spans="1:12">
      <c r="A959" s="68"/>
      <c r="B959" s="69"/>
      <c r="C959" s="69"/>
      <c r="D959" s="69"/>
      <c r="E959" s="69"/>
      <c r="F959" s="69"/>
      <c r="G959" s="69"/>
      <c r="H959" s="69"/>
      <c r="I959" s="69"/>
      <c r="J959" s="69"/>
      <c r="K959" s="69"/>
      <c r="L959" s="60"/>
    </row>
    <row r="960" spans="1:12">
      <c r="A960" s="68"/>
      <c r="B960" s="69"/>
      <c r="C960" s="69"/>
      <c r="D960" s="69"/>
      <c r="E960" s="69"/>
      <c r="F960" s="69"/>
      <c r="G960" s="69"/>
      <c r="H960" s="69"/>
      <c r="I960" s="69"/>
      <c r="J960" s="69"/>
      <c r="K960" s="69"/>
      <c r="L960" s="60"/>
    </row>
    <row r="961" spans="1:12">
      <c r="A961" s="68"/>
      <c r="B961" s="69"/>
      <c r="C961" s="69"/>
      <c r="D961" s="69"/>
      <c r="E961" s="69"/>
      <c r="F961" s="69"/>
      <c r="G961" s="69"/>
      <c r="H961" s="69"/>
      <c r="I961" s="69"/>
      <c r="J961" s="69"/>
      <c r="K961" s="69"/>
      <c r="L961" s="60"/>
    </row>
    <row r="962" spans="1:12">
      <c r="A962" s="68"/>
      <c r="B962" s="69"/>
      <c r="C962" s="69"/>
      <c r="D962" s="69"/>
      <c r="E962" s="69"/>
      <c r="F962" s="69"/>
      <c r="G962" s="69"/>
      <c r="H962" s="69"/>
      <c r="I962" s="69"/>
      <c r="J962" s="69"/>
      <c r="K962" s="69"/>
      <c r="L962" s="60"/>
    </row>
    <row r="963" spans="1:12">
      <c r="A963" s="68"/>
      <c r="B963" s="69"/>
      <c r="C963" s="69"/>
      <c r="D963" s="69"/>
      <c r="E963" s="69"/>
      <c r="F963" s="69"/>
      <c r="G963" s="69"/>
      <c r="H963" s="69"/>
      <c r="I963" s="69"/>
      <c r="J963" s="69"/>
      <c r="K963" s="69"/>
      <c r="L963" s="60"/>
    </row>
    <row r="964" spans="1:12">
      <c r="A964" s="68"/>
      <c r="B964" s="69"/>
      <c r="C964" s="69"/>
      <c r="D964" s="69"/>
      <c r="E964" s="69"/>
      <c r="F964" s="69"/>
      <c r="G964" s="69"/>
      <c r="H964" s="69"/>
      <c r="I964" s="69"/>
      <c r="J964" s="69"/>
      <c r="K964" s="69"/>
      <c r="L964" s="60"/>
    </row>
    <row r="965" spans="1:12">
      <c r="A965" s="68"/>
      <c r="B965" s="69"/>
      <c r="C965" s="69"/>
      <c r="D965" s="69"/>
      <c r="E965" s="69"/>
      <c r="F965" s="69"/>
      <c r="G965" s="69"/>
      <c r="H965" s="69"/>
      <c r="I965" s="69"/>
      <c r="J965" s="69"/>
      <c r="K965" s="69"/>
      <c r="L965" s="60"/>
    </row>
    <row r="966" spans="1:12">
      <c r="A966" s="68"/>
      <c r="B966" s="69"/>
      <c r="C966" s="69"/>
      <c r="D966" s="69"/>
      <c r="E966" s="69"/>
      <c r="F966" s="69"/>
      <c r="G966" s="69"/>
      <c r="H966" s="69"/>
      <c r="I966" s="69"/>
      <c r="J966" s="69"/>
      <c r="K966" s="69"/>
      <c r="L966" s="60"/>
    </row>
    <row r="967" spans="1:12">
      <c r="A967" s="68"/>
      <c r="B967" s="69"/>
      <c r="C967" s="69"/>
      <c r="D967" s="69"/>
      <c r="E967" s="69"/>
      <c r="F967" s="69"/>
      <c r="G967" s="69"/>
      <c r="H967" s="69"/>
      <c r="I967" s="69"/>
      <c r="J967" s="69"/>
      <c r="K967" s="69"/>
      <c r="L967" s="60"/>
    </row>
    <row r="968" spans="1:12">
      <c r="A968" s="68"/>
      <c r="B968" s="69"/>
      <c r="C968" s="69"/>
      <c r="D968" s="69"/>
      <c r="E968" s="69"/>
      <c r="F968" s="69"/>
      <c r="G968" s="69"/>
      <c r="H968" s="69"/>
      <c r="I968" s="69"/>
      <c r="J968" s="69"/>
      <c r="K968" s="69"/>
      <c r="L968" s="60"/>
    </row>
    <row r="969" spans="1:12">
      <c r="A969" s="68"/>
      <c r="B969" s="69"/>
      <c r="C969" s="69"/>
      <c r="D969" s="69"/>
      <c r="E969" s="69"/>
      <c r="F969" s="69"/>
      <c r="G969" s="69"/>
      <c r="H969" s="69"/>
      <c r="I969" s="69"/>
      <c r="J969" s="69"/>
      <c r="K969" s="69"/>
      <c r="L969" s="60"/>
    </row>
    <row r="970" spans="1:12">
      <c r="A970" s="68"/>
      <c r="B970" s="69"/>
      <c r="C970" s="69"/>
      <c r="D970" s="69"/>
      <c r="E970" s="69"/>
      <c r="F970" s="69"/>
      <c r="G970" s="69"/>
      <c r="H970" s="69"/>
      <c r="I970" s="69"/>
      <c r="J970" s="69"/>
      <c r="K970" s="69"/>
      <c r="L970" s="60"/>
    </row>
    <row r="971" spans="1:12">
      <c r="A971" s="68"/>
      <c r="B971" s="69"/>
      <c r="C971" s="69"/>
      <c r="D971" s="69"/>
      <c r="E971" s="69"/>
      <c r="F971" s="69"/>
      <c r="G971" s="69"/>
      <c r="H971" s="69"/>
      <c r="I971" s="69"/>
      <c r="J971" s="69"/>
      <c r="K971" s="69"/>
      <c r="L971" s="60"/>
    </row>
    <row r="972" spans="1:12">
      <c r="A972" s="68"/>
      <c r="B972" s="69"/>
      <c r="C972" s="69"/>
      <c r="D972" s="69"/>
      <c r="E972" s="69"/>
      <c r="F972" s="69"/>
      <c r="G972" s="69"/>
      <c r="H972" s="69"/>
      <c r="I972" s="69"/>
      <c r="J972" s="69"/>
      <c r="K972" s="69"/>
      <c r="L972" s="60"/>
    </row>
    <row r="973" spans="1:12">
      <c r="A973" s="68"/>
      <c r="B973" s="69"/>
      <c r="C973" s="69"/>
      <c r="D973" s="69"/>
      <c r="E973" s="69"/>
      <c r="F973" s="69"/>
      <c r="G973" s="69"/>
      <c r="H973" s="69"/>
      <c r="I973" s="69"/>
      <c r="J973" s="69"/>
      <c r="K973" s="69"/>
      <c r="L973" s="60"/>
    </row>
    <row r="974" spans="1:12">
      <c r="A974" s="68"/>
      <c r="B974" s="69"/>
      <c r="C974" s="69"/>
      <c r="D974" s="69"/>
      <c r="E974" s="69"/>
      <c r="F974" s="69"/>
      <c r="G974" s="69"/>
      <c r="H974" s="69"/>
      <c r="I974" s="69"/>
      <c r="J974" s="69"/>
      <c r="K974" s="69"/>
      <c r="L974" s="60"/>
    </row>
    <row r="975" spans="1:12">
      <c r="A975" s="68"/>
      <c r="B975" s="69"/>
      <c r="C975" s="69"/>
      <c r="D975" s="69"/>
      <c r="E975" s="69"/>
      <c r="F975" s="69"/>
      <c r="G975" s="69"/>
      <c r="H975" s="69"/>
      <c r="I975" s="69"/>
      <c r="J975" s="69"/>
      <c r="K975" s="69"/>
      <c r="L975" s="60"/>
    </row>
    <row r="976" spans="1:12">
      <c r="A976" s="68"/>
      <c r="B976" s="69"/>
      <c r="C976" s="69"/>
      <c r="D976" s="69"/>
      <c r="E976" s="69"/>
      <c r="F976" s="69"/>
      <c r="G976" s="69"/>
      <c r="H976" s="69"/>
      <c r="I976" s="69"/>
      <c r="J976" s="69"/>
      <c r="K976" s="69"/>
      <c r="L976" s="60"/>
    </row>
    <row r="977" spans="1:12">
      <c r="A977" s="68"/>
      <c r="B977" s="69"/>
      <c r="C977" s="69"/>
      <c r="D977" s="69"/>
      <c r="E977" s="69"/>
      <c r="F977" s="69"/>
      <c r="G977" s="69"/>
      <c r="H977" s="69"/>
      <c r="I977" s="69"/>
      <c r="J977" s="69"/>
      <c r="K977" s="69"/>
      <c r="L977" s="60"/>
    </row>
    <row r="978" spans="1:12">
      <c r="A978" s="68"/>
      <c r="B978" s="69"/>
      <c r="C978" s="69"/>
      <c r="D978" s="69"/>
      <c r="E978" s="69"/>
      <c r="F978" s="69"/>
      <c r="G978" s="69"/>
      <c r="H978" s="69"/>
      <c r="I978" s="69"/>
      <c r="J978" s="69"/>
      <c r="K978" s="69"/>
      <c r="L978" s="60"/>
    </row>
    <row r="979" spans="1:12">
      <c r="A979" s="68"/>
      <c r="B979" s="69"/>
      <c r="C979" s="69"/>
      <c r="D979" s="69"/>
      <c r="E979" s="69"/>
      <c r="F979" s="69"/>
      <c r="G979" s="69"/>
      <c r="H979" s="69"/>
      <c r="I979" s="69"/>
      <c r="J979" s="69"/>
      <c r="K979" s="69"/>
      <c r="L979" s="60"/>
    </row>
    <row r="980" spans="1:12">
      <c r="A980" s="68"/>
      <c r="B980" s="69"/>
      <c r="C980" s="69"/>
      <c r="D980" s="69"/>
      <c r="E980" s="69"/>
      <c r="F980" s="69"/>
      <c r="G980" s="69"/>
      <c r="H980" s="69"/>
      <c r="I980" s="69"/>
      <c r="J980" s="69"/>
      <c r="K980" s="69"/>
      <c r="L980" s="60"/>
    </row>
    <row r="981" spans="1:12">
      <c r="A981" s="68"/>
      <c r="B981" s="69"/>
      <c r="C981" s="69"/>
      <c r="D981" s="69"/>
      <c r="E981" s="69"/>
      <c r="F981" s="69"/>
      <c r="G981" s="69"/>
      <c r="H981" s="69"/>
      <c r="I981" s="69"/>
      <c r="J981" s="69"/>
      <c r="K981" s="69"/>
      <c r="L981" s="60"/>
    </row>
    <row r="982" spans="1:12">
      <c r="A982" s="68"/>
      <c r="B982" s="69"/>
      <c r="C982" s="69"/>
      <c r="D982" s="69"/>
      <c r="E982" s="69"/>
      <c r="F982" s="69"/>
      <c r="G982" s="69"/>
      <c r="H982" s="69"/>
      <c r="I982" s="69"/>
      <c r="J982" s="69"/>
      <c r="K982" s="69"/>
      <c r="L982" s="60"/>
    </row>
    <row r="983" spans="1:12">
      <c r="A983" s="68"/>
      <c r="B983" s="69"/>
      <c r="C983" s="69"/>
      <c r="D983" s="69"/>
      <c r="E983" s="69"/>
      <c r="F983" s="69"/>
      <c r="G983" s="69"/>
      <c r="H983" s="69"/>
      <c r="I983" s="69"/>
      <c r="J983" s="69"/>
      <c r="K983" s="69"/>
      <c r="L983" s="60"/>
    </row>
    <row r="984" spans="1:12">
      <c r="A984" s="68"/>
      <c r="B984" s="69"/>
      <c r="C984" s="69"/>
      <c r="D984" s="69"/>
      <c r="E984" s="69"/>
      <c r="F984" s="69"/>
      <c r="G984" s="69"/>
      <c r="H984" s="69"/>
      <c r="I984" s="69"/>
      <c r="J984" s="69"/>
      <c r="K984" s="69"/>
      <c r="L984" s="60"/>
    </row>
    <row r="985" spans="1:12">
      <c r="A985" s="68"/>
      <c r="B985" s="69"/>
      <c r="C985" s="69"/>
      <c r="D985" s="69"/>
      <c r="E985" s="69"/>
      <c r="F985" s="69"/>
      <c r="G985" s="69"/>
      <c r="H985" s="69"/>
      <c r="I985" s="69"/>
      <c r="J985" s="69"/>
      <c r="K985" s="69"/>
      <c r="L985" s="60"/>
    </row>
    <row r="986" spans="1:12">
      <c r="A986" s="68"/>
      <c r="B986" s="69"/>
      <c r="C986" s="69"/>
      <c r="D986" s="69"/>
      <c r="E986" s="69"/>
      <c r="F986" s="69"/>
      <c r="G986" s="69"/>
      <c r="H986" s="69"/>
      <c r="I986" s="69"/>
      <c r="J986" s="69"/>
      <c r="K986" s="69"/>
      <c r="L986" s="60"/>
    </row>
    <row r="987" spans="1:12">
      <c r="A987" s="68"/>
      <c r="B987" s="69"/>
      <c r="C987" s="69"/>
      <c r="D987" s="69"/>
      <c r="E987" s="69"/>
      <c r="F987" s="69"/>
      <c r="G987" s="69"/>
      <c r="H987" s="69"/>
      <c r="I987" s="69"/>
      <c r="J987" s="69"/>
      <c r="K987" s="69"/>
      <c r="L987" s="60"/>
    </row>
    <row r="988" spans="1:12">
      <c r="A988" s="68"/>
      <c r="B988" s="69"/>
      <c r="C988" s="69"/>
      <c r="D988" s="69"/>
      <c r="E988" s="69"/>
      <c r="F988" s="69"/>
      <c r="G988" s="69"/>
      <c r="H988" s="69"/>
      <c r="I988" s="69"/>
      <c r="J988" s="69"/>
      <c r="K988" s="69"/>
      <c r="L988" s="60"/>
    </row>
    <row r="989" spans="1:12">
      <c r="A989" s="68"/>
      <c r="B989" s="69"/>
      <c r="C989" s="69"/>
      <c r="D989" s="69"/>
      <c r="E989" s="69"/>
      <c r="F989" s="69"/>
      <c r="G989" s="69"/>
      <c r="H989" s="69"/>
      <c r="I989" s="69"/>
      <c r="J989" s="69"/>
      <c r="K989" s="69"/>
      <c r="L989" s="60"/>
    </row>
    <row r="990" spans="1:12">
      <c r="A990" s="68"/>
      <c r="B990" s="69"/>
      <c r="C990" s="69"/>
      <c r="D990" s="69"/>
      <c r="E990" s="69"/>
      <c r="F990" s="69"/>
      <c r="G990" s="69"/>
      <c r="H990" s="69"/>
      <c r="I990" s="69"/>
      <c r="J990" s="69"/>
      <c r="K990" s="69"/>
      <c r="L990" s="60"/>
    </row>
    <row r="991" spans="1:12">
      <c r="A991" s="68"/>
      <c r="B991" s="69"/>
      <c r="C991" s="69"/>
      <c r="D991" s="69"/>
      <c r="E991" s="69"/>
      <c r="F991" s="69"/>
      <c r="G991" s="69"/>
      <c r="H991" s="69"/>
      <c r="I991" s="69"/>
      <c r="J991" s="69"/>
      <c r="K991" s="69"/>
      <c r="L991" s="60"/>
    </row>
    <row r="992" spans="1:12">
      <c r="A992" s="68"/>
      <c r="B992" s="69"/>
      <c r="C992" s="69"/>
      <c r="D992" s="69"/>
      <c r="E992" s="69"/>
      <c r="F992" s="69"/>
      <c r="G992" s="69"/>
      <c r="H992" s="69"/>
      <c r="I992" s="69"/>
      <c r="J992" s="69"/>
      <c r="K992" s="69"/>
      <c r="L992" s="60"/>
    </row>
    <row r="993" spans="1:12">
      <c r="A993" s="68"/>
      <c r="B993" s="69"/>
      <c r="C993" s="69"/>
      <c r="D993" s="69"/>
      <c r="E993" s="69"/>
      <c r="F993" s="69"/>
      <c r="G993" s="69"/>
      <c r="H993" s="69"/>
      <c r="I993" s="69"/>
      <c r="J993" s="69"/>
      <c r="K993" s="69"/>
      <c r="L993" s="60"/>
    </row>
    <row r="994" spans="1:12">
      <c r="A994" s="68"/>
      <c r="B994" s="69"/>
      <c r="C994" s="69"/>
      <c r="D994" s="69"/>
      <c r="E994" s="69"/>
      <c r="F994" s="69"/>
      <c r="G994" s="69"/>
      <c r="H994" s="69"/>
      <c r="I994" s="69"/>
      <c r="J994" s="69"/>
      <c r="K994" s="69"/>
      <c r="L994" s="60"/>
    </row>
    <row r="995" spans="1:12">
      <c r="A995" s="68"/>
      <c r="B995" s="69"/>
      <c r="C995" s="69"/>
      <c r="D995" s="69"/>
      <c r="E995" s="69"/>
      <c r="F995" s="69"/>
      <c r="G995" s="69"/>
      <c r="H995" s="69"/>
      <c r="I995" s="69"/>
      <c r="J995" s="69"/>
      <c r="K995" s="69"/>
      <c r="L995" s="60"/>
    </row>
    <row r="996" spans="1:12">
      <c r="A996" s="68"/>
      <c r="B996" s="69"/>
      <c r="C996" s="69"/>
      <c r="D996" s="69"/>
      <c r="E996" s="69"/>
      <c r="F996" s="69"/>
      <c r="G996" s="69"/>
      <c r="H996" s="69"/>
      <c r="I996" s="69"/>
      <c r="J996" s="69"/>
      <c r="K996" s="69"/>
      <c r="L996" s="60"/>
    </row>
    <row r="997" spans="1:12">
      <c r="A997" s="68"/>
      <c r="B997" s="69"/>
      <c r="C997" s="69"/>
      <c r="D997" s="69"/>
      <c r="E997" s="69"/>
      <c r="F997" s="69"/>
      <c r="G997" s="69"/>
      <c r="H997" s="69"/>
      <c r="I997" s="69"/>
      <c r="J997" s="69"/>
      <c r="K997" s="69"/>
      <c r="L997" s="60"/>
    </row>
    <row r="998" spans="1:12">
      <c r="A998" s="68"/>
      <c r="B998" s="69"/>
      <c r="C998" s="69"/>
      <c r="D998" s="69"/>
      <c r="E998" s="69"/>
      <c r="F998" s="69"/>
      <c r="G998" s="69"/>
      <c r="H998" s="69"/>
      <c r="I998" s="69"/>
      <c r="J998" s="69"/>
      <c r="K998" s="69"/>
      <c r="L998" s="60"/>
    </row>
    <row r="999" spans="1:12">
      <c r="A999" s="68"/>
      <c r="B999" s="69"/>
      <c r="C999" s="69"/>
      <c r="D999" s="69"/>
      <c r="E999" s="69"/>
      <c r="F999" s="69"/>
      <c r="G999" s="69"/>
      <c r="H999" s="69"/>
      <c r="I999" s="69"/>
      <c r="J999" s="69"/>
      <c r="K999" s="69"/>
      <c r="L999" s="60"/>
    </row>
    <row r="1000" spans="1:12">
      <c r="A1000" s="68"/>
      <c r="B1000" s="69"/>
      <c r="C1000" s="69"/>
      <c r="D1000" s="69"/>
      <c r="E1000" s="69"/>
      <c r="F1000" s="69"/>
      <c r="G1000" s="69"/>
      <c r="H1000" s="69"/>
      <c r="I1000" s="69"/>
      <c r="J1000" s="69"/>
      <c r="K1000" s="69"/>
      <c r="L1000" s="60"/>
    </row>
  </sheetData>
  <hyperlinks>
    <hyperlink ref="K2" r:id="rId1" xr:uid="{00000000-0004-0000-0700-000000000000}"/>
    <hyperlink ref="K11" r:id="rId2" xr:uid="{00000000-0004-0000-0700-000001000000}"/>
    <hyperlink ref="K12" r:id="rId3" xr:uid="{00000000-0004-0000-0700-000002000000}"/>
    <hyperlink ref="K16" r:id="rId4" xr:uid="{00000000-0004-0000-0700-000003000000}"/>
    <hyperlink ref="K19" r:id="rId5" xr:uid="{00000000-0004-0000-0700-000004000000}"/>
    <hyperlink ref="K45" r:id="rId6" xr:uid="{00000000-0004-0000-0700-000005000000}"/>
    <hyperlink ref="K46" r:id="rId7" xr:uid="{00000000-0004-0000-0700-000006000000}"/>
    <hyperlink ref="K52" r:id="rId8" xr:uid="{00000000-0004-0000-0700-000007000000}"/>
    <hyperlink ref="K54" r:id="rId9" xr:uid="{00000000-0004-0000-0700-000008000000}"/>
    <hyperlink ref="K57" r:id="rId10" xr:uid="{00000000-0004-0000-0700-000009000000}"/>
    <hyperlink ref="K79" r:id="rId11" xr:uid="{00000000-0004-0000-0700-00000A000000}"/>
    <hyperlink ref="K82" r:id="rId12" xr:uid="{00000000-0004-0000-0700-00000B000000}"/>
    <hyperlink ref="K83" r:id="rId13" xr:uid="{00000000-0004-0000-0700-00000C000000}"/>
    <hyperlink ref="K87" r:id="rId14" xr:uid="{00000000-0004-0000-0700-00000D000000}"/>
    <hyperlink ref="K88" r:id="rId15" xr:uid="{00000000-0004-0000-0700-00000E000000}"/>
    <hyperlink ref="K95" r:id="rId16" xr:uid="{00000000-0004-0000-0700-00000F000000}"/>
    <hyperlink ref="K96" r:id="rId17" xr:uid="{00000000-0004-0000-0700-000010000000}"/>
    <hyperlink ref="K103" r:id="rId18" xr:uid="{00000000-0004-0000-0700-000011000000}"/>
    <hyperlink ref="K105" r:id="rId19" xr:uid="{00000000-0004-0000-0700-000012000000}"/>
    <hyperlink ref="K117" r:id="rId20" xr:uid="{00000000-0004-0000-0700-000013000000}"/>
    <hyperlink ref="K125" r:id="rId21" xr:uid="{00000000-0004-0000-0700-000014000000}"/>
    <hyperlink ref="K140" r:id="rId22" xr:uid="{00000000-0004-0000-0700-000015000000}"/>
    <hyperlink ref="K141" r:id="rId23" xr:uid="{00000000-0004-0000-0700-000016000000}"/>
    <hyperlink ref="K142" r:id="rId24" xr:uid="{00000000-0004-0000-0700-000017000000}"/>
    <hyperlink ref="K143" r:id="rId25" xr:uid="{00000000-0004-0000-0700-000018000000}"/>
    <hyperlink ref="K144" r:id="rId26" xr:uid="{00000000-0004-0000-0700-000019000000}"/>
    <hyperlink ref="K145" r:id="rId27" xr:uid="{00000000-0004-0000-0700-00001A000000}"/>
    <hyperlink ref="K146" r:id="rId28" xr:uid="{00000000-0004-0000-0700-00001B000000}"/>
    <hyperlink ref="K147" r:id="rId29" xr:uid="{00000000-0004-0000-0700-00001C000000}"/>
    <hyperlink ref="K148" r:id="rId30" xr:uid="{00000000-0004-0000-0700-00001D000000}"/>
    <hyperlink ref="K149" r:id="rId31" xr:uid="{00000000-0004-0000-0700-00001E000000}"/>
    <hyperlink ref="K150" r:id="rId32" xr:uid="{00000000-0004-0000-0700-00001F000000}"/>
    <hyperlink ref="K151" r:id="rId33" xr:uid="{00000000-0004-0000-0700-000020000000}"/>
    <hyperlink ref="K152" r:id="rId34" xr:uid="{00000000-0004-0000-0700-000021000000}"/>
    <hyperlink ref="K153" r:id="rId35" xr:uid="{00000000-0004-0000-0700-000022000000}"/>
    <hyperlink ref="K154" r:id="rId36" xr:uid="{00000000-0004-0000-0700-000023000000}"/>
    <hyperlink ref="K155" r:id="rId37" xr:uid="{00000000-0004-0000-0700-000024000000}"/>
    <hyperlink ref="K156" r:id="rId38" xr:uid="{00000000-0004-0000-0700-000025000000}"/>
    <hyperlink ref="K157" r:id="rId39" xr:uid="{00000000-0004-0000-0700-000026000000}"/>
    <hyperlink ref="K158" r:id="rId40" xr:uid="{00000000-0004-0000-0700-000027000000}"/>
    <hyperlink ref="K159" r:id="rId41" xr:uid="{00000000-0004-0000-0700-000028000000}"/>
    <hyperlink ref="K160" r:id="rId42" xr:uid="{00000000-0004-0000-0700-000029000000}"/>
    <hyperlink ref="K164" r:id="rId43" xr:uid="{00000000-0004-0000-0700-00002A000000}"/>
    <hyperlink ref="K165" r:id="rId44" xr:uid="{00000000-0004-0000-0700-00002B000000}"/>
    <hyperlink ref="K167" r:id="rId45" xr:uid="{00000000-0004-0000-0700-00002C000000}"/>
    <hyperlink ref="K168" r:id="rId46" xr:uid="{00000000-0004-0000-0700-00002D000000}"/>
    <hyperlink ref="K171" r:id="rId47" xr:uid="{00000000-0004-0000-0700-00002E000000}"/>
    <hyperlink ref="K172" r:id="rId48" xr:uid="{00000000-0004-0000-0700-00002F000000}"/>
    <hyperlink ref="K173" r:id="rId49" xr:uid="{00000000-0004-0000-0700-000030000000}"/>
    <hyperlink ref="K174" r:id="rId50" xr:uid="{00000000-0004-0000-0700-000031000000}"/>
    <hyperlink ref="K177" r:id="rId51" xr:uid="{00000000-0004-0000-0700-000032000000}"/>
    <hyperlink ref="K178" r:id="rId52" xr:uid="{00000000-0004-0000-0700-000033000000}"/>
    <hyperlink ref="K183" r:id="rId53" xr:uid="{00000000-0004-0000-0700-000034000000}"/>
    <hyperlink ref="K185" r:id="rId54" xr:uid="{00000000-0004-0000-0700-000035000000}"/>
    <hyperlink ref="K194" r:id="rId55" xr:uid="{00000000-0004-0000-0700-000036000000}"/>
    <hyperlink ref="K195" r:id="rId56" xr:uid="{00000000-0004-0000-0700-000037000000}"/>
    <hyperlink ref="K200" r:id="rId57" xr:uid="{00000000-0004-0000-0700-000038000000}"/>
    <hyperlink ref="K208" r:id="rId58" xr:uid="{00000000-0004-0000-0700-000039000000}"/>
    <hyperlink ref="K210" r:id="rId59" xr:uid="{00000000-0004-0000-0700-00003A000000}"/>
    <hyperlink ref="K212" r:id="rId60" xr:uid="{00000000-0004-0000-0700-00003B000000}"/>
    <hyperlink ref="K217" r:id="rId61" xr:uid="{00000000-0004-0000-0700-00003C000000}"/>
    <hyperlink ref="K224" r:id="rId62" xr:uid="{00000000-0004-0000-0700-00003D000000}"/>
    <hyperlink ref="K225" r:id="rId63" xr:uid="{00000000-0004-0000-0700-00003E000000}"/>
    <hyperlink ref="K228" r:id="rId64" xr:uid="{00000000-0004-0000-0700-00003F000000}"/>
    <hyperlink ref="K229" r:id="rId65" xr:uid="{00000000-0004-0000-0700-000040000000}"/>
    <hyperlink ref="K230" r:id="rId66" xr:uid="{00000000-0004-0000-0700-000041000000}"/>
  </hyperlinks>
  <pageMargins left="0.7" right="0.7" top="0.75" bottom="0.75" header="0.3" footer="0.3"/>
  <tableParts count="2">
    <tablePart r:id="rId67"/>
    <tablePart r:id="rId6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900FF"/>
    <outlinePr summaryBelow="0" summaryRight="0"/>
  </sheetPr>
  <dimension ref="A1:J1000"/>
  <sheetViews>
    <sheetView workbookViewId="0">
      <selection activeCell="F40" sqref="F40"/>
    </sheetView>
  </sheetViews>
  <sheetFormatPr baseColWidth="10" defaultColWidth="12.6640625" defaultRowHeight="15" customHeight="1"/>
  <cols>
    <col min="1" max="2" width="12.6640625" style="39"/>
    <col min="3" max="3" width="41.83203125" style="39" customWidth="1"/>
    <col min="4" max="4" width="46.5" style="39" customWidth="1"/>
    <col min="5" max="5" width="50" style="39" customWidth="1"/>
    <col min="6" max="6" width="41.1640625" style="39" customWidth="1"/>
    <col min="7" max="7" width="58.6640625" style="39" customWidth="1"/>
    <col min="8" max="16384" width="12.6640625" style="39"/>
  </cols>
  <sheetData>
    <row r="1" spans="1:10" ht="14">
      <c r="A1" s="37" t="s">
        <v>0</v>
      </c>
      <c r="B1" s="37" t="s">
        <v>2222</v>
      </c>
      <c r="C1" s="37" t="s">
        <v>2223</v>
      </c>
      <c r="D1" s="37" t="s">
        <v>2224</v>
      </c>
      <c r="E1" s="37" t="s">
        <v>2225</v>
      </c>
      <c r="F1" s="37" t="s">
        <v>1474</v>
      </c>
      <c r="G1" s="37" t="s">
        <v>2226</v>
      </c>
      <c r="H1" s="38" t="s">
        <v>2227</v>
      </c>
      <c r="J1" s="40"/>
    </row>
    <row r="2" spans="1:10" ht="14">
      <c r="A2" s="38" t="s">
        <v>388</v>
      </c>
      <c r="B2" s="38">
        <v>3</v>
      </c>
      <c r="C2" s="38" t="s">
        <v>2811</v>
      </c>
      <c r="D2" s="38" t="s">
        <v>2228</v>
      </c>
      <c r="E2" s="39" t="s">
        <v>2812</v>
      </c>
      <c r="F2" s="39" t="s">
        <v>2813</v>
      </c>
      <c r="G2" s="38" t="s">
        <v>2814</v>
      </c>
      <c r="H2" s="38">
        <f>MATCH(A2,'Filtered G500'!$B$2:$B$999,)</f>
        <v>1</v>
      </c>
      <c r="J2" s="40"/>
    </row>
    <row r="3" spans="1:10" ht="14">
      <c r="A3" s="38" t="s">
        <v>418</v>
      </c>
      <c r="B3" s="38">
        <v>3</v>
      </c>
      <c r="C3" s="38" t="s">
        <v>3077</v>
      </c>
      <c r="D3" s="38" t="s">
        <v>2237</v>
      </c>
      <c r="E3" s="38" t="s">
        <v>2238</v>
      </c>
      <c r="F3" s="38" t="s">
        <v>2842</v>
      </c>
      <c r="G3" s="38" t="s">
        <v>3098</v>
      </c>
      <c r="H3" s="38">
        <f>MATCH(A3,'Filtered G500'!$B$2:$B$999,)</f>
        <v>2</v>
      </c>
      <c r="J3" s="40"/>
    </row>
    <row r="4" spans="1:10" ht="14">
      <c r="A4" s="38" t="s">
        <v>373</v>
      </c>
      <c r="B4" s="38">
        <v>3</v>
      </c>
      <c r="C4" s="38" t="s">
        <v>2815</v>
      </c>
      <c r="D4" s="39" t="s">
        <v>2816</v>
      </c>
      <c r="E4" s="38" t="s">
        <v>2229</v>
      </c>
      <c r="F4" s="38" t="s">
        <v>2230</v>
      </c>
      <c r="G4" s="38" t="s">
        <v>2817</v>
      </c>
      <c r="H4" s="38">
        <f>MATCH(A4,'Filtered G500'!$B$2:$B$999,)</f>
        <v>3</v>
      </c>
      <c r="J4" s="40"/>
    </row>
    <row r="5" spans="1:10" ht="14">
      <c r="A5" s="38" t="s">
        <v>1438</v>
      </c>
      <c r="B5" s="38">
        <v>3</v>
      </c>
      <c r="C5" s="38" t="s">
        <v>2870</v>
      </c>
      <c r="D5" s="38" t="s">
        <v>2228</v>
      </c>
      <c r="E5" s="38" t="s">
        <v>2255</v>
      </c>
      <c r="F5" s="38" t="s">
        <v>2871</v>
      </c>
      <c r="G5" s="38" t="s">
        <v>2872</v>
      </c>
      <c r="H5" s="38">
        <f>MATCH(A5,'Filtered G500'!$B$2:$B$999,)</f>
        <v>4</v>
      </c>
      <c r="J5" s="40"/>
    </row>
    <row r="6" spans="1:10" ht="14">
      <c r="A6" s="38" t="s">
        <v>470</v>
      </c>
      <c r="B6" s="38">
        <v>3</v>
      </c>
      <c r="C6" s="38" t="s">
        <v>2883</v>
      </c>
      <c r="D6" s="38" t="s">
        <v>2272</v>
      </c>
      <c r="E6" s="38" t="s">
        <v>2273</v>
      </c>
      <c r="F6" s="38" t="s">
        <v>2274</v>
      </c>
      <c r="G6" s="38" t="s">
        <v>2884</v>
      </c>
      <c r="H6" s="38">
        <f>MATCH(A6,'Filtered G500'!$B$2:$B$999,)</f>
        <v>5</v>
      </c>
      <c r="J6" s="40"/>
    </row>
    <row r="7" spans="1:10" ht="14">
      <c r="A7" s="38" t="s">
        <v>677</v>
      </c>
      <c r="B7" s="38">
        <v>3</v>
      </c>
      <c r="C7" s="38" t="s">
        <v>2885</v>
      </c>
      <c r="D7" s="38" t="s">
        <v>2272</v>
      </c>
      <c r="E7" s="38" t="s">
        <v>2275</v>
      </c>
      <c r="F7" s="38" t="s">
        <v>2276</v>
      </c>
      <c r="G7" s="38" t="s">
        <v>2886</v>
      </c>
      <c r="H7" s="38">
        <f>MATCH(A7,'Filtered G500'!$B$2:$B$999,)</f>
        <v>6</v>
      </c>
      <c r="J7" s="40"/>
    </row>
    <row r="8" spans="1:10" ht="14">
      <c r="A8" s="38" t="s">
        <v>366</v>
      </c>
      <c r="B8" s="38">
        <v>3</v>
      </c>
      <c r="C8" s="38" t="s">
        <v>2823</v>
      </c>
      <c r="D8" s="38" t="s">
        <v>2228</v>
      </c>
      <c r="E8" s="38" t="s">
        <v>2231</v>
      </c>
      <c r="F8" s="38" t="s">
        <v>2232</v>
      </c>
      <c r="G8" s="38" t="s">
        <v>2824</v>
      </c>
      <c r="H8" s="38">
        <f>MATCH(A8,'Filtered G500'!$B$2:$B$999,)</f>
        <v>7</v>
      </c>
      <c r="J8" s="40"/>
    </row>
    <row r="9" spans="1:10" ht="14">
      <c r="A9" s="38" t="s">
        <v>846</v>
      </c>
      <c r="B9" s="38">
        <v>2</v>
      </c>
      <c r="C9" s="38" t="s">
        <v>2830</v>
      </c>
      <c r="D9" s="38" t="s">
        <v>2233</v>
      </c>
      <c r="E9" s="39" t="s">
        <v>2831</v>
      </c>
      <c r="F9" s="38" t="s">
        <v>2832</v>
      </c>
      <c r="G9" s="38" t="s">
        <v>2833</v>
      </c>
      <c r="H9" s="38">
        <f>MATCH(A9,'Filtered G500'!$B$2:$B$999,)</f>
        <v>8</v>
      </c>
      <c r="J9" s="40"/>
    </row>
    <row r="10" spans="1:10" ht="14">
      <c r="A10" s="38" t="s">
        <v>827</v>
      </c>
      <c r="B10" s="38">
        <v>2</v>
      </c>
      <c r="C10" s="38" t="s">
        <v>3078</v>
      </c>
      <c r="D10" s="39" t="s">
        <v>2834</v>
      </c>
      <c r="E10" s="38" t="s">
        <v>2835</v>
      </c>
      <c r="F10" s="38" t="s">
        <v>2836</v>
      </c>
      <c r="G10" s="41" t="s">
        <v>2837</v>
      </c>
      <c r="H10" s="38">
        <f>MATCH(A10,'Filtered G500'!$B$2:$B$999,)</f>
        <v>9</v>
      </c>
      <c r="J10" s="40"/>
    </row>
    <row r="11" spans="1:10" ht="14">
      <c r="A11" s="38" t="s">
        <v>497</v>
      </c>
      <c r="B11" s="38">
        <v>3</v>
      </c>
      <c r="C11" s="38" t="s">
        <v>2838</v>
      </c>
      <c r="D11" s="38" t="s">
        <v>2228</v>
      </c>
      <c r="E11" s="38" t="s">
        <v>2234</v>
      </c>
      <c r="F11" s="38" t="s">
        <v>2839</v>
      </c>
      <c r="G11" s="38" t="s">
        <v>2840</v>
      </c>
      <c r="H11" s="38">
        <f>MATCH(A11,'Filtered G500'!$B$2:$B$999,)</f>
        <v>10</v>
      </c>
      <c r="J11" s="40"/>
    </row>
    <row r="12" spans="1:10" ht="14">
      <c r="A12" s="38" t="s">
        <v>59</v>
      </c>
      <c r="B12" s="38">
        <v>3</v>
      </c>
      <c r="C12" s="38" t="s">
        <v>2900</v>
      </c>
      <c r="D12" s="38" t="s">
        <v>2901</v>
      </c>
      <c r="E12" s="38" t="s">
        <v>2284</v>
      </c>
      <c r="F12" s="38" t="s">
        <v>2285</v>
      </c>
      <c r="G12" s="38" t="s">
        <v>2902</v>
      </c>
      <c r="H12" s="38">
        <f>MATCH(A12,'Filtered G500'!$B$2:$B$999,)</f>
        <v>11</v>
      </c>
      <c r="J12" s="40"/>
    </row>
    <row r="13" spans="1:10" ht="14">
      <c r="A13" s="38" t="s">
        <v>11</v>
      </c>
      <c r="B13" s="38">
        <v>3</v>
      </c>
      <c r="C13" s="38" t="s">
        <v>3099</v>
      </c>
      <c r="D13" s="38" t="s">
        <v>2228</v>
      </c>
      <c r="E13" s="38" t="s">
        <v>2235</v>
      </c>
      <c r="F13" s="38" t="s">
        <v>2841</v>
      </c>
      <c r="G13" s="38" t="s">
        <v>2236</v>
      </c>
      <c r="H13" s="38">
        <f>MATCH(A13,'Filtered G500'!$B$2:$B$999,)</f>
        <v>12</v>
      </c>
      <c r="J13" s="42"/>
    </row>
    <row r="14" spans="1:10" ht="14">
      <c r="A14" s="38" t="s">
        <v>676</v>
      </c>
      <c r="B14" s="38">
        <v>3</v>
      </c>
      <c r="C14" s="38" t="s">
        <v>3084</v>
      </c>
      <c r="D14" s="38" t="s">
        <v>2228</v>
      </c>
      <c r="E14" s="38" t="s">
        <v>2239</v>
      </c>
      <c r="F14" s="38" t="s">
        <v>2843</v>
      </c>
      <c r="G14" s="38" t="s">
        <v>2844</v>
      </c>
      <c r="H14" s="38">
        <f>MATCH(A14,'Filtered G500'!$B$2:$B$999,)</f>
        <v>13</v>
      </c>
      <c r="J14" s="40"/>
    </row>
    <row r="15" spans="1:10" ht="14">
      <c r="A15" s="38" t="s">
        <v>552</v>
      </c>
      <c r="B15" s="38">
        <v>3</v>
      </c>
      <c r="C15" s="38" t="s">
        <v>2845</v>
      </c>
      <c r="D15" s="38" t="s">
        <v>2228</v>
      </c>
      <c r="E15" s="38" t="s">
        <v>2240</v>
      </c>
      <c r="F15" s="38" t="s">
        <v>2241</v>
      </c>
      <c r="G15" s="38" t="s">
        <v>2242</v>
      </c>
      <c r="H15" s="38">
        <f>MATCH(A15,'Filtered G500'!$B$2:$B$999,)</f>
        <v>14</v>
      </c>
      <c r="J15" s="40"/>
    </row>
    <row r="16" spans="1:10" ht="14">
      <c r="A16" s="38" t="s">
        <v>386</v>
      </c>
      <c r="B16" s="38">
        <v>3</v>
      </c>
      <c r="C16" s="38" t="s">
        <v>2846</v>
      </c>
      <c r="D16" s="38" t="s">
        <v>2228</v>
      </c>
      <c r="E16" s="38" t="s">
        <v>2847</v>
      </c>
      <c r="F16" s="38" t="s">
        <v>2848</v>
      </c>
      <c r="G16" s="38" t="s">
        <v>2849</v>
      </c>
      <c r="H16" s="38">
        <f>MATCH(A16,'Filtered G500'!$B$2:$B$999,)</f>
        <v>15</v>
      </c>
      <c r="J16" s="40"/>
    </row>
    <row r="17" spans="1:10" ht="14">
      <c r="A17" s="38" t="s">
        <v>713</v>
      </c>
      <c r="B17" s="38">
        <v>3</v>
      </c>
      <c r="C17" s="38" t="s">
        <v>2850</v>
      </c>
      <c r="D17" s="38" t="s">
        <v>2228</v>
      </c>
      <c r="E17" s="38" t="s">
        <v>2243</v>
      </c>
      <c r="F17" s="38" t="s">
        <v>2851</v>
      </c>
      <c r="G17" s="38" t="s">
        <v>2852</v>
      </c>
      <c r="H17" s="38">
        <f>MATCH(A17,'Filtered G500'!$B$2:$B$999,)</f>
        <v>16</v>
      </c>
      <c r="J17" s="40"/>
    </row>
    <row r="18" spans="1:10" ht="14">
      <c r="A18" s="38" t="s">
        <v>119</v>
      </c>
      <c r="B18" s="38">
        <v>3</v>
      </c>
      <c r="C18" s="38" t="s">
        <v>2853</v>
      </c>
      <c r="D18" s="38" t="s">
        <v>2228</v>
      </c>
      <c r="E18" s="38" t="s">
        <v>2244</v>
      </c>
      <c r="F18" s="38" t="s">
        <v>2854</v>
      </c>
      <c r="G18" s="41" t="s">
        <v>2855</v>
      </c>
      <c r="H18" s="38">
        <f>MATCH(A18,'Filtered G500'!$B$2:$B$999,)</f>
        <v>17</v>
      </c>
      <c r="J18" s="40"/>
    </row>
    <row r="19" spans="1:10" ht="14">
      <c r="A19" s="38" t="s">
        <v>156</v>
      </c>
      <c r="B19" s="38">
        <v>3</v>
      </c>
      <c r="C19" s="38" t="s">
        <v>2856</v>
      </c>
      <c r="D19" s="38" t="s">
        <v>2228</v>
      </c>
      <c r="E19" s="38" t="s">
        <v>2245</v>
      </c>
      <c r="F19" s="38" t="s">
        <v>2246</v>
      </c>
      <c r="G19" s="38" t="s">
        <v>2857</v>
      </c>
      <c r="H19" s="38">
        <f>MATCH(A19,'Filtered G500'!$B$2:$B$999,)</f>
        <v>18</v>
      </c>
      <c r="J19" s="40"/>
    </row>
    <row r="20" spans="1:10" ht="14">
      <c r="A20" s="38" t="s">
        <v>1098</v>
      </c>
      <c r="B20" s="38">
        <v>3</v>
      </c>
      <c r="C20" s="38" t="s">
        <v>2911</v>
      </c>
      <c r="D20" s="38" t="s">
        <v>2912</v>
      </c>
      <c r="E20" s="38" t="s">
        <v>2913</v>
      </c>
      <c r="F20" s="38" t="s">
        <v>2914</v>
      </c>
      <c r="G20" s="38" t="s">
        <v>2915</v>
      </c>
      <c r="H20" s="38">
        <f>MATCH(A20,'Filtered G500'!$B$2:$B$999,)</f>
        <v>19</v>
      </c>
      <c r="J20" s="40"/>
    </row>
    <row r="21" spans="1:10" ht="14">
      <c r="A21" s="38" t="s">
        <v>640</v>
      </c>
      <c r="B21" s="38">
        <v>3</v>
      </c>
      <c r="C21" s="38" t="s">
        <v>3025</v>
      </c>
      <c r="D21" s="38" t="s">
        <v>2359</v>
      </c>
      <c r="E21" s="38" t="s">
        <v>2360</v>
      </c>
      <c r="F21" s="38" t="s">
        <v>3026</v>
      </c>
      <c r="G21" s="38" t="s">
        <v>3027</v>
      </c>
      <c r="H21" s="38">
        <f>MATCH(A21,'Filtered G500'!$B$2:$B$999,)</f>
        <v>20</v>
      </c>
      <c r="J21" s="40"/>
    </row>
    <row r="22" spans="1:10" ht="14">
      <c r="A22" s="38" t="s">
        <v>440</v>
      </c>
      <c r="B22" s="38">
        <v>2</v>
      </c>
      <c r="C22" s="38" t="s">
        <v>2858</v>
      </c>
      <c r="D22" s="38" t="s">
        <v>2859</v>
      </c>
      <c r="E22" s="38" t="s">
        <v>2247</v>
      </c>
      <c r="F22" s="38" t="s">
        <v>2860</v>
      </c>
      <c r="G22" s="38" t="s">
        <v>2861</v>
      </c>
      <c r="H22" s="38">
        <f>MATCH(A22,'Filtered G500'!$B$2:$B$999,)</f>
        <v>21</v>
      </c>
      <c r="J22" s="40"/>
    </row>
    <row r="23" spans="1:10" ht="14">
      <c r="A23" s="38" t="s">
        <v>946</v>
      </c>
      <c r="B23" s="38">
        <v>2</v>
      </c>
      <c r="C23" s="38" t="s">
        <v>2862</v>
      </c>
      <c r="D23" s="38" t="s">
        <v>2863</v>
      </c>
      <c r="E23" s="38" t="s">
        <v>2248</v>
      </c>
      <c r="F23" s="38" t="s">
        <v>2864</v>
      </c>
      <c r="G23" s="38" t="s">
        <v>2249</v>
      </c>
      <c r="H23" s="38">
        <f>MATCH(A23,'Filtered G500'!$B$2:$B$999,)</f>
        <v>22</v>
      </c>
      <c r="J23" s="40"/>
    </row>
    <row r="24" spans="1:10" ht="14">
      <c r="A24" s="38" t="s">
        <v>183</v>
      </c>
      <c r="B24" s="38">
        <v>2</v>
      </c>
      <c r="C24" s="38" t="s">
        <v>2865</v>
      </c>
      <c r="D24" s="38" t="s">
        <v>2250</v>
      </c>
      <c r="E24" s="38" t="s">
        <v>2251</v>
      </c>
      <c r="F24" s="38" t="s">
        <v>2252</v>
      </c>
      <c r="G24" s="38" t="s">
        <v>2866</v>
      </c>
      <c r="H24" s="38">
        <f>MATCH(A24,'Filtered G500'!$B$2:$B$999,)</f>
        <v>23</v>
      </c>
      <c r="J24" s="40"/>
    </row>
    <row r="25" spans="1:10" ht="14">
      <c r="A25" s="38" t="s">
        <v>1388</v>
      </c>
      <c r="B25" s="38">
        <v>2</v>
      </c>
      <c r="C25" s="38" t="s">
        <v>2867</v>
      </c>
      <c r="D25" s="38" t="s">
        <v>2253</v>
      </c>
      <c r="E25" s="38" t="s">
        <v>2254</v>
      </c>
      <c r="F25" s="38" t="s">
        <v>2868</v>
      </c>
      <c r="G25" s="38" t="s">
        <v>2869</v>
      </c>
      <c r="H25" s="38">
        <f>MATCH(A25,'Filtered G500'!$B$2:$B$999,)</f>
        <v>24</v>
      </c>
      <c r="J25" s="40"/>
    </row>
    <row r="26" spans="1:10" ht="14">
      <c r="A26" s="38" t="s">
        <v>463</v>
      </c>
      <c r="B26" s="38">
        <v>2</v>
      </c>
      <c r="C26" s="38" t="s">
        <v>2873</v>
      </c>
      <c r="D26" s="38" t="s">
        <v>2256</v>
      </c>
      <c r="E26" s="38" t="s">
        <v>2257</v>
      </c>
      <c r="F26" s="38" t="s">
        <v>2258</v>
      </c>
      <c r="G26" s="38" t="s">
        <v>2874</v>
      </c>
      <c r="H26" s="38">
        <f>MATCH(A26,'Filtered G500'!$B$2:$B$999,)</f>
        <v>25</v>
      </c>
      <c r="J26" s="40"/>
    </row>
    <row r="27" spans="1:10" ht="14">
      <c r="A27" s="38" t="s">
        <v>1443</v>
      </c>
      <c r="B27" s="38">
        <v>3</v>
      </c>
      <c r="C27" s="38" t="s">
        <v>2875</v>
      </c>
      <c r="D27" s="38" t="s">
        <v>2228</v>
      </c>
      <c r="E27" s="38" t="s">
        <v>2259</v>
      </c>
      <c r="F27" s="38" t="s">
        <v>2260</v>
      </c>
      <c r="G27" s="38" t="s">
        <v>2876</v>
      </c>
      <c r="H27" s="38">
        <f>MATCH(A27,'Filtered G500'!$B$2:$B$999,)</f>
        <v>26</v>
      </c>
      <c r="J27" s="40"/>
    </row>
    <row r="28" spans="1:10" ht="14">
      <c r="A28" s="38" t="s">
        <v>1067</v>
      </c>
      <c r="B28" s="38">
        <v>3</v>
      </c>
      <c r="C28" s="38" t="s">
        <v>2934</v>
      </c>
      <c r="D28" s="38" t="s">
        <v>2301</v>
      </c>
      <c r="E28" s="38" t="s">
        <v>2302</v>
      </c>
      <c r="F28" s="38" t="s">
        <v>2935</v>
      </c>
      <c r="G28" s="38" t="s">
        <v>2936</v>
      </c>
      <c r="H28" s="38">
        <f>MATCH(A28,'Filtered G500'!$B$2:$B$999,)</f>
        <v>27</v>
      </c>
      <c r="J28" s="40"/>
    </row>
    <row r="29" spans="1:10" ht="14">
      <c r="A29" s="38" t="s">
        <v>21</v>
      </c>
      <c r="B29" s="38">
        <v>1</v>
      </c>
      <c r="C29" s="38" t="s">
        <v>2877</v>
      </c>
      <c r="D29" s="38" t="s">
        <v>2878</v>
      </c>
      <c r="E29" s="38" t="s">
        <v>2261</v>
      </c>
      <c r="F29" s="38" t="s">
        <v>2262</v>
      </c>
      <c r="G29" s="38" t="s">
        <v>2263</v>
      </c>
      <c r="H29" s="38">
        <f>MATCH(A29,'Filtered G500'!$B$2:$B$999,)</f>
        <v>28</v>
      </c>
      <c r="J29" s="40"/>
    </row>
    <row r="30" spans="1:10" ht="14">
      <c r="A30" s="38" t="s">
        <v>737</v>
      </c>
      <c r="B30" s="38">
        <v>2</v>
      </c>
      <c r="C30" s="38" t="s">
        <v>2881</v>
      </c>
      <c r="D30" s="38" t="s">
        <v>2269</v>
      </c>
      <c r="E30" s="38" t="s">
        <v>2270</v>
      </c>
      <c r="F30" s="38" t="s">
        <v>2271</v>
      </c>
      <c r="G30" s="38" t="s">
        <v>2882</v>
      </c>
      <c r="H30" s="38">
        <f>MATCH(A30,'Filtered G500'!$B$2:$B$999,)</f>
        <v>29</v>
      </c>
      <c r="J30" s="40"/>
    </row>
    <row r="31" spans="1:10" ht="14">
      <c r="A31" s="43" t="s">
        <v>1093</v>
      </c>
      <c r="B31" s="43">
        <v>3</v>
      </c>
      <c r="C31" s="43" t="s">
        <v>2887</v>
      </c>
      <c r="D31" s="43" t="s">
        <v>2228</v>
      </c>
      <c r="E31" s="43" t="s">
        <v>2888</v>
      </c>
      <c r="F31" s="43" t="s">
        <v>2889</v>
      </c>
      <c r="G31" s="43" t="s">
        <v>2890</v>
      </c>
      <c r="H31" s="38">
        <f>MATCH(A31,'Filtered G500'!$B$2:$B$999,)</f>
        <v>30</v>
      </c>
      <c r="J31" s="40"/>
    </row>
    <row r="32" spans="1:10" ht="14">
      <c r="A32" s="43" t="s">
        <v>1053</v>
      </c>
      <c r="B32" s="43">
        <v>3</v>
      </c>
      <c r="C32" s="43" t="s">
        <v>2891</v>
      </c>
      <c r="D32" s="43" t="s">
        <v>2228</v>
      </c>
      <c r="E32" s="43" t="s">
        <v>2892</v>
      </c>
      <c r="F32" s="43" t="s">
        <v>2893</v>
      </c>
      <c r="G32" s="43" t="s">
        <v>2894</v>
      </c>
      <c r="H32" s="38">
        <f>MATCH(A32,'Filtered G500'!$B$2:$B$999,)</f>
        <v>31</v>
      </c>
      <c r="J32" s="40"/>
    </row>
    <row r="33" spans="1:10" ht="14">
      <c r="A33" s="38" t="s">
        <v>1013</v>
      </c>
      <c r="B33" s="38">
        <v>3</v>
      </c>
      <c r="C33" s="38" t="s">
        <v>2970</v>
      </c>
      <c r="D33" s="38" t="s">
        <v>2331</v>
      </c>
      <c r="E33" s="38" t="s">
        <v>2332</v>
      </c>
      <c r="F33" s="38" t="s">
        <v>2971</v>
      </c>
      <c r="G33" s="38" t="s">
        <v>2972</v>
      </c>
      <c r="H33" s="38">
        <f>MATCH(A33,'Filtered G500'!$B$2:$B$999,)</f>
        <v>32</v>
      </c>
      <c r="J33" s="40"/>
    </row>
    <row r="34" spans="1:10" ht="14">
      <c r="A34" s="38" t="s">
        <v>224</v>
      </c>
      <c r="B34" s="38">
        <v>2</v>
      </c>
      <c r="C34" s="38" t="s">
        <v>2825</v>
      </c>
      <c r="D34" s="38" t="s">
        <v>2826</v>
      </c>
      <c r="E34" s="38" t="s">
        <v>2827</v>
      </c>
      <c r="F34" s="38" t="s">
        <v>2828</v>
      </c>
      <c r="G34" s="38" t="s">
        <v>2829</v>
      </c>
      <c r="H34" s="38">
        <f>MATCH(A34,'Filtered G500'!$B$2:$B$999,)</f>
        <v>33</v>
      </c>
      <c r="J34" s="40"/>
    </row>
    <row r="35" spans="1:10" ht="14">
      <c r="A35" s="38" t="s">
        <v>147</v>
      </c>
      <c r="B35" s="38">
        <v>3</v>
      </c>
      <c r="C35" s="38" t="s">
        <v>2895</v>
      </c>
      <c r="D35" s="38" t="s">
        <v>2228</v>
      </c>
      <c r="E35" s="38" t="s">
        <v>2281</v>
      </c>
      <c r="F35" s="38" t="s">
        <v>2282</v>
      </c>
      <c r="G35" s="38" t="s">
        <v>2896</v>
      </c>
      <c r="H35" s="38">
        <f>MATCH(A35,'Filtered G500'!$B$2:$B$999,)</f>
        <v>34</v>
      </c>
      <c r="J35" s="40"/>
    </row>
    <row r="36" spans="1:10" ht="14">
      <c r="A36" s="38" t="s">
        <v>342</v>
      </c>
      <c r="B36" s="38">
        <v>2</v>
      </c>
      <c r="C36" s="38" t="s">
        <v>2903</v>
      </c>
      <c r="D36" s="38" t="s">
        <v>2286</v>
      </c>
      <c r="E36" s="38" t="s">
        <v>2287</v>
      </c>
      <c r="F36" s="38" t="s">
        <v>2904</v>
      </c>
      <c r="G36" s="38" t="s">
        <v>2905</v>
      </c>
      <c r="H36" s="38">
        <f>MATCH(A36,'Filtered G500'!$B$2:$B$999,)</f>
        <v>35</v>
      </c>
      <c r="J36" s="40"/>
    </row>
    <row r="37" spans="1:10" ht="14">
      <c r="A37" s="38" t="s">
        <v>409</v>
      </c>
      <c r="B37" s="38">
        <v>3</v>
      </c>
      <c r="C37" s="38" t="s">
        <v>2954</v>
      </c>
      <c r="D37" s="38" t="s">
        <v>2319</v>
      </c>
      <c r="E37" s="38" t="s">
        <v>2320</v>
      </c>
      <c r="F37" s="38" t="s">
        <v>2955</v>
      </c>
      <c r="G37" s="38" t="s">
        <v>2956</v>
      </c>
      <c r="H37" s="38">
        <f>MATCH(A37,'Filtered G500'!$B$2:$B$999,)</f>
        <v>36</v>
      </c>
      <c r="J37" s="40"/>
    </row>
    <row r="38" spans="1:10" ht="14">
      <c r="A38" s="38" t="s">
        <v>464</v>
      </c>
      <c r="B38" s="38">
        <v>3</v>
      </c>
      <c r="C38" s="38" t="s">
        <v>2959</v>
      </c>
      <c r="D38" s="38" t="s">
        <v>2960</v>
      </c>
      <c r="E38" s="38" t="s">
        <v>2961</v>
      </c>
      <c r="F38" s="38" t="s">
        <v>2962</v>
      </c>
      <c r="G38" s="38" t="s">
        <v>2963</v>
      </c>
      <c r="H38" s="38">
        <f>MATCH(A38,'Filtered G500'!$B$2:$B$999,)</f>
        <v>37</v>
      </c>
      <c r="J38" s="40"/>
    </row>
    <row r="39" spans="1:10" ht="14">
      <c r="A39" s="38" t="s">
        <v>192</v>
      </c>
      <c r="B39" s="38">
        <v>2</v>
      </c>
      <c r="C39" s="44" t="s">
        <v>2906</v>
      </c>
      <c r="D39" s="38" t="s">
        <v>2907</v>
      </c>
      <c r="E39" s="38" t="s">
        <v>2908</v>
      </c>
      <c r="F39" s="38" t="s">
        <v>2909</v>
      </c>
      <c r="G39" s="38" t="s">
        <v>2910</v>
      </c>
      <c r="H39" s="38">
        <f>MATCH(A39,'Filtered G500'!$B$2:$B$999,)</f>
        <v>38</v>
      </c>
      <c r="J39" s="40"/>
    </row>
    <row r="40" spans="1:10" ht="14">
      <c r="A40" s="38" t="s">
        <v>1334</v>
      </c>
      <c r="B40" s="38">
        <v>3</v>
      </c>
      <c r="C40" s="38" t="s">
        <v>2916</v>
      </c>
      <c r="D40" s="38" t="s">
        <v>2228</v>
      </c>
      <c r="E40" s="38" t="s">
        <v>2288</v>
      </c>
      <c r="F40" s="38" t="s">
        <v>2289</v>
      </c>
      <c r="G40" s="38" t="s">
        <v>2917</v>
      </c>
      <c r="H40" s="38">
        <f>MATCH(A40,'Filtered G500'!$B$2:$B$999,)</f>
        <v>39</v>
      </c>
      <c r="J40" s="40"/>
    </row>
    <row r="41" spans="1:10" ht="14">
      <c r="A41" s="38" t="s">
        <v>35</v>
      </c>
      <c r="B41" s="38">
        <v>3</v>
      </c>
      <c r="C41" s="38" t="s">
        <v>2918</v>
      </c>
      <c r="D41" s="38" t="s">
        <v>2228</v>
      </c>
      <c r="E41" s="38" t="s">
        <v>2290</v>
      </c>
      <c r="F41" s="38" t="s">
        <v>2291</v>
      </c>
      <c r="G41" s="38" t="s">
        <v>2292</v>
      </c>
      <c r="H41" s="38">
        <f>MATCH(A41,'Filtered G500'!$B$2:$B$999,)</f>
        <v>40</v>
      </c>
      <c r="J41" s="40"/>
    </row>
    <row r="42" spans="1:10" ht="14">
      <c r="A42" s="38" t="s">
        <v>1059</v>
      </c>
      <c r="B42" s="38">
        <v>3</v>
      </c>
      <c r="C42" s="38" t="s">
        <v>2919</v>
      </c>
      <c r="D42" s="38" t="s">
        <v>2228</v>
      </c>
      <c r="E42" s="38" t="s">
        <v>2293</v>
      </c>
      <c r="F42" s="38" t="s">
        <v>2294</v>
      </c>
      <c r="G42" s="38" t="s">
        <v>2920</v>
      </c>
      <c r="H42" s="38">
        <f>MATCH(A42,'Filtered G500'!$B$2:$B$999,)</f>
        <v>41</v>
      </c>
      <c r="J42" s="40"/>
    </row>
    <row r="43" spans="1:10" ht="14">
      <c r="A43" s="38" t="s">
        <v>233</v>
      </c>
      <c r="B43" s="38">
        <v>2</v>
      </c>
      <c r="C43" s="38" t="s">
        <v>2921</v>
      </c>
      <c r="D43" s="38" t="s">
        <v>2295</v>
      </c>
      <c r="E43" s="38" t="s">
        <v>2296</v>
      </c>
      <c r="F43" s="38" t="s">
        <v>2922</v>
      </c>
      <c r="G43" s="38" t="s">
        <v>2923</v>
      </c>
      <c r="H43" s="38">
        <f>MATCH(A43,'Filtered G500'!$B$2:$B$999,)</f>
        <v>42</v>
      </c>
      <c r="J43" s="40"/>
    </row>
    <row r="44" spans="1:10" ht="14">
      <c r="A44" s="43" t="s">
        <v>234</v>
      </c>
      <c r="B44" s="43">
        <v>3</v>
      </c>
      <c r="C44" s="43" t="s">
        <v>2924</v>
      </c>
      <c r="D44" s="43" t="s">
        <v>2228</v>
      </c>
      <c r="E44" s="39" t="s">
        <v>2925</v>
      </c>
      <c r="F44" s="43" t="s">
        <v>2926</v>
      </c>
      <c r="G44" s="43" t="s">
        <v>2927</v>
      </c>
      <c r="H44" s="38">
        <f>MATCH(A44,'Filtered G500'!$B$2:$B$999,)</f>
        <v>43</v>
      </c>
      <c r="J44" s="40"/>
    </row>
    <row r="45" spans="1:10" ht="14">
      <c r="A45" s="43" t="s">
        <v>263</v>
      </c>
      <c r="B45" s="43">
        <v>3</v>
      </c>
      <c r="C45" s="43" t="s">
        <v>2928</v>
      </c>
      <c r="D45" s="43" t="s">
        <v>2228</v>
      </c>
      <c r="E45" s="39" t="s">
        <v>2929</v>
      </c>
      <c r="F45" s="43" t="s">
        <v>2297</v>
      </c>
      <c r="G45" s="43" t="s">
        <v>2930</v>
      </c>
      <c r="H45" s="38">
        <f>MATCH(A45,'Filtered G500'!$B$2:$B$999,)</f>
        <v>44</v>
      </c>
      <c r="J45" s="40"/>
    </row>
    <row r="46" spans="1:10" ht="14">
      <c r="A46" s="43" t="s">
        <v>875</v>
      </c>
      <c r="B46" s="43">
        <v>3</v>
      </c>
      <c r="C46" s="43" t="s">
        <v>2931</v>
      </c>
      <c r="D46" s="43" t="s">
        <v>2228</v>
      </c>
      <c r="E46" s="43" t="s">
        <v>2277</v>
      </c>
      <c r="F46" s="43" t="s">
        <v>2278</v>
      </c>
      <c r="G46" s="41" t="s">
        <v>2932</v>
      </c>
      <c r="H46" s="38">
        <f>MATCH(A46,'Filtered G500'!$B$2:$B$999,)</f>
        <v>45</v>
      </c>
      <c r="J46" s="40"/>
    </row>
    <row r="47" spans="1:10" ht="14">
      <c r="A47" s="38" t="s">
        <v>618</v>
      </c>
      <c r="B47" s="38">
        <v>3</v>
      </c>
      <c r="C47" s="38" t="s">
        <v>3028</v>
      </c>
      <c r="D47" s="38" t="s">
        <v>2228</v>
      </c>
      <c r="E47" s="38" t="s">
        <v>2361</v>
      </c>
      <c r="F47" s="38" t="s">
        <v>3029</v>
      </c>
      <c r="G47" s="38" t="s">
        <v>3030</v>
      </c>
      <c r="H47" s="38">
        <f>MATCH(A47,'Filtered G500'!$B$2:$B$999,)</f>
        <v>46</v>
      </c>
      <c r="J47" s="40"/>
    </row>
    <row r="48" spans="1:10" ht="14">
      <c r="A48" s="38" t="s">
        <v>860</v>
      </c>
      <c r="B48" s="38">
        <v>1</v>
      </c>
      <c r="C48" s="38" t="s">
        <v>3076</v>
      </c>
      <c r="D48" s="38" t="s">
        <v>2298</v>
      </c>
      <c r="E48" s="38" t="s">
        <v>2299</v>
      </c>
      <c r="F48" s="38" t="s">
        <v>2300</v>
      </c>
      <c r="G48" s="38" t="s">
        <v>2933</v>
      </c>
      <c r="H48" s="38">
        <f>MATCH(A48,'Filtered G500'!$B$2:$B$999,)</f>
        <v>47</v>
      </c>
      <c r="J48" s="40"/>
    </row>
    <row r="49" spans="1:10" ht="14">
      <c r="A49" s="38" t="s">
        <v>361</v>
      </c>
      <c r="B49" s="38">
        <v>3</v>
      </c>
      <c r="C49" s="38" t="s">
        <v>2937</v>
      </c>
      <c r="D49" s="38" t="s">
        <v>2228</v>
      </c>
      <c r="E49" s="38" t="s">
        <v>2303</v>
      </c>
      <c r="F49" s="38" t="s">
        <v>2938</v>
      </c>
      <c r="G49" s="38" t="s">
        <v>2304</v>
      </c>
      <c r="H49" s="38">
        <f>MATCH(A49,'Filtered G500'!$B$2:$B$999,)</f>
        <v>48</v>
      </c>
      <c r="J49" s="40"/>
    </row>
    <row r="50" spans="1:10" ht="14">
      <c r="A50" s="38" t="s">
        <v>267</v>
      </c>
      <c r="B50" s="38">
        <v>3</v>
      </c>
      <c r="C50" s="38" t="s">
        <v>2939</v>
      </c>
      <c r="D50" s="38" t="s">
        <v>2228</v>
      </c>
      <c r="E50" s="38" t="s">
        <v>2305</v>
      </c>
      <c r="F50" s="38" t="s">
        <v>2306</v>
      </c>
      <c r="G50" s="38" t="s">
        <v>2307</v>
      </c>
      <c r="H50" s="38">
        <f>MATCH(A50,'Filtered G500'!$B$2:$B$999,)</f>
        <v>49</v>
      </c>
      <c r="J50" s="40"/>
    </row>
    <row r="51" spans="1:10" ht="14">
      <c r="A51" s="43" t="s">
        <v>447</v>
      </c>
      <c r="B51" s="43">
        <v>3</v>
      </c>
      <c r="C51" s="43" t="s">
        <v>3081</v>
      </c>
      <c r="D51" s="43" t="s">
        <v>2228</v>
      </c>
      <c r="E51" s="43" t="s">
        <v>2940</v>
      </c>
      <c r="F51" s="43" t="s">
        <v>2941</v>
      </c>
      <c r="G51" s="41" t="s">
        <v>2942</v>
      </c>
      <c r="H51" s="38">
        <f>MATCH(A51,'Filtered G500'!$B$2:$B$999,)</f>
        <v>50</v>
      </c>
      <c r="J51" s="40"/>
    </row>
    <row r="52" spans="1:10" ht="14">
      <c r="A52" s="38" t="s">
        <v>137</v>
      </c>
      <c r="B52" s="38">
        <v>3</v>
      </c>
      <c r="C52" s="38" t="s">
        <v>3032</v>
      </c>
      <c r="D52" s="38" t="s">
        <v>2321</v>
      </c>
      <c r="E52" s="38" t="s">
        <v>2363</v>
      </c>
      <c r="F52" s="38" t="s">
        <v>3033</v>
      </c>
      <c r="G52" s="38" t="s">
        <v>3034</v>
      </c>
      <c r="H52" s="38">
        <f>MATCH(A52,'Filtered G500'!$B$2:$B$999,)</f>
        <v>51</v>
      </c>
      <c r="J52" s="40"/>
    </row>
    <row r="53" spans="1:10" ht="14">
      <c r="A53" s="38" t="s">
        <v>540</v>
      </c>
      <c r="B53" s="38">
        <v>3</v>
      </c>
      <c r="C53" s="38" t="s">
        <v>3079</v>
      </c>
      <c r="D53" s="38" t="s">
        <v>2372</v>
      </c>
      <c r="E53" s="38" t="s">
        <v>2373</v>
      </c>
      <c r="F53" s="38" t="s">
        <v>3041</v>
      </c>
      <c r="G53" s="38" t="s">
        <v>3042</v>
      </c>
      <c r="H53" s="38">
        <f>MATCH(A53,'Filtered G500'!$B$2:$B$999,)</f>
        <v>52</v>
      </c>
      <c r="J53" s="40"/>
    </row>
    <row r="54" spans="1:10" ht="14">
      <c r="A54" s="43" t="s">
        <v>1431</v>
      </c>
      <c r="B54" s="43">
        <v>3</v>
      </c>
      <c r="C54" s="43" t="s">
        <v>3056</v>
      </c>
      <c r="D54" s="43" t="s">
        <v>2379</v>
      </c>
      <c r="E54" s="43" t="s">
        <v>3057</v>
      </c>
      <c r="F54" s="43" t="s">
        <v>3058</v>
      </c>
      <c r="G54" s="43" t="s">
        <v>3059</v>
      </c>
      <c r="H54" s="38">
        <f>MATCH(A54,'Filtered G500'!$B$2:$B$999,)</f>
        <v>53</v>
      </c>
      <c r="J54" s="40"/>
    </row>
    <row r="55" spans="1:10" ht="14">
      <c r="A55" s="43" t="s">
        <v>531</v>
      </c>
      <c r="B55" s="43">
        <v>3</v>
      </c>
      <c r="C55" s="43" t="s">
        <v>2943</v>
      </c>
      <c r="D55" s="43" t="s">
        <v>2228</v>
      </c>
      <c r="E55" s="43" t="s">
        <v>2944</v>
      </c>
      <c r="F55" s="43" t="s">
        <v>2945</v>
      </c>
      <c r="G55" s="43" t="s">
        <v>2946</v>
      </c>
      <c r="H55" s="38">
        <f>MATCH(A55,'Filtered G500'!$B$2:$B$999,)</f>
        <v>54</v>
      </c>
      <c r="J55" s="40"/>
    </row>
    <row r="56" spans="1:10" ht="14">
      <c r="A56" s="43" t="s">
        <v>345</v>
      </c>
      <c r="B56" s="43">
        <v>3</v>
      </c>
      <c r="C56" s="43" t="s">
        <v>3075</v>
      </c>
      <c r="D56" s="43" t="s">
        <v>2378</v>
      </c>
      <c r="E56" s="43" t="s">
        <v>2277</v>
      </c>
      <c r="F56" s="43" t="s">
        <v>3054</v>
      </c>
      <c r="G56" s="41" t="s">
        <v>3055</v>
      </c>
      <c r="H56" s="38">
        <f>MATCH(A56,'Filtered G500'!$B$2:$B$999,)</f>
        <v>55</v>
      </c>
      <c r="J56" s="40"/>
    </row>
    <row r="57" spans="1:10" ht="14">
      <c r="A57" s="38" t="s">
        <v>277</v>
      </c>
      <c r="B57" s="38">
        <v>1</v>
      </c>
      <c r="C57" s="38" t="s">
        <v>2818</v>
      </c>
      <c r="D57" s="39" t="s">
        <v>2819</v>
      </c>
      <c r="E57" s="39" t="s">
        <v>2820</v>
      </c>
      <c r="F57" s="39" t="s">
        <v>2821</v>
      </c>
      <c r="G57" s="38" t="s">
        <v>2822</v>
      </c>
      <c r="H57" s="38">
        <f>MATCH(A57,'Filtered G500'!$B$2:$B$999,)</f>
        <v>56</v>
      </c>
      <c r="J57" s="40"/>
    </row>
    <row r="58" spans="1:10" ht="14">
      <c r="A58" s="38" t="s">
        <v>1170</v>
      </c>
      <c r="B58" s="38">
        <v>1</v>
      </c>
      <c r="C58" s="38"/>
      <c r="D58" s="38" t="s">
        <v>2264</v>
      </c>
      <c r="E58" s="38" t="s">
        <v>2265</v>
      </c>
      <c r="F58" s="38" t="s">
        <v>2266</v>
      </c>
      <c r="G58" s="38" t="s">
        <v>2267</v>
      </c>
      <c r="H58" s="38">
        <f>MATCH(A58,'Filtered G500'!$B$2:$B$999,)</f>
        <v>57</v>
      </c>
      <c r="J58" s="40"/>
    </row>
    <row r="59" spans="1:10" ht="14">
      <c r="A59" s="38" t="s">
        <v>1268</v>
      </c>
      <c r="B59" s="38">
        <v>2</v>
      </c>
      <c r="C59" s="38" t="s">
        <v>2879</v>
      </c>
      <c r="D59" s="38" t="s">
        <v>2228</v>
      </c>
      <c r="E59" s="38" t="s">
        <v>2268</v>
      </c>
      <c r="F59" s="38"/>
      <c r="G59" s="41" t="s">
        <v>2880</v>
      </c>
      <c r="H59" s="38">
        <f>MATCH(A59,'Filtered G500'!$B$2:$B$999,)</f>
        <v>58</v>
      </c>
      <c r="J59" s="40"/>
    </row>
    <row r="60" spans="1:10" ht="14">
      <c r="A60" s="38" t="s">
        <v>332</v>
      </c>
      <c r="B60" s="38">
        <v>2</v>
      </c>
      <c r="C60" s="38" t="s">
        <v>2897</v>
      </c>
      <c r="D60" s="38" t="s">
        <v>2228</v>
      </c>
      <c r="E60" s="38" t="s">
        <v>2283</v>
      </c>
      <c r="F60" s="38" t="s">
        <v>2898</v>
      </c>
      <c r="G60" s="38" t="s">
        <v>2899</v>
      </c>
      <c r="H60" s="38">
        <f>MATCH(A60,'Filtered G500'!$B$2:$B$999,)</f>
        <v>59</v>
      </c>
      <c r="J60" s="40"/>
    </row>
    <row r="61" spans="1:10" ht="14">
      <c r="A61" s="38" t="s">
        <v>38</v>
      </c>
      <c r="B61" s="38">
        <v>3</v>
      </c>
      <c r="C61" s="38" t="s">
        <v>3082</v>
      </c>
      <c r="D61" s="38" t="s">
        <v>2228</v>
      </c>
      <c r="E61" s="38" t="s">
        <v>2313</v>
      </c>
      <c r="F61" s="38" t="s">
        <v>2947</v>
      </c>
      <c r="G61" s="38" t="s">
        <v>2948</v>
      </c>
      <c r="H61" s="38">
        <f>MATCH(A61,'Filtered G500'!$B$2:$B$999,)</f>
        <v>60</v>
      </c>
      <c r="J61" s="40"/>
    </row>
    <row r="62" spans="1:10" ht="14">
      <c r="A62" s="38" t="s">
        <v>100</v>
      </c>
      <c r="B62" s="38">
        <v>2</v>
      </c>
      <c r="C62" s="38" t="s">
        <v>2949</v>
      </c>
      <c r="D62" s="38" t="s">
        <v>2950</v>
      </c>
      <c r="E62" s="38" t="s">
        <v>2314</v>
      </c>
      <c r="F62" s="38" t="s">
        <v>2951</v>
      </c>
      <c r="G62" s="38" t="s">
        <v>2952</v>
      </c>
      <c r="H62" s="38">
        <f>MATCH(A62,'Filtered G500'!$B$2:$B$999,)</f>
        <v>61</v>
      </c>
      <c r="J62" s="40"/>
    </row>
    <row r="63" spans="1:10" ht="14">
      <c r="A63" s="38" t="s">
        <v>85</v>
      </c>
      <c r="B63" s="38">
        <v>2</v>
      </c>
      <c r="C63" s="38" t="s">
        <v>2953</v>
      </c>
      <c r="D63" s="38" t="s">
        <v>2315</v>
      </c>
      <c r="E63" s="38" t="s">
        <v>2316</v>
      </c>
      <c r="F63" s="38" t="s">
        <v>2317</v>
      </c>
      <c r="G63" s="38" t="s">
        <v>2318</v>
      </c>
      <c r="H63" s="38">
        <f>MATCH(A63,'Filtered G500'!$B$2:$B$999,)</f>
        <v>62</v>
      </c>
      <c r="J63" s="40"/>
    </row>
    <row r="64" spans="1:10" ht="14">
      <c r="A64" s="38" t="s">
        <v>402</v>
      </c>
      <c r="B64" s="38">
        <v>2</v>
      </c>
      <c r="C64" s="38" t="s">
        <v>2957</v>
      </c>
      <c r="D64" s="38" t="s">
        <v>2321</v>
      </c>
      <c r="E64" s="38" t="s">
        <v>2322</v>
      </c>
      <c r="F64" s="38" t="s">
        <v>2323</v>
      </c>
      <c r="G64" s="38" t="s">
        <v>2958</v>
      </c>
      <c r="H64" s="38">
        <f>MATCH(A64,'Filtered G500'!$B$2:$B$999,)</f>
        <v>63</v>
      </c>
      <c r="J64" s="40"/>
    </row>
    <row r="65" spans="1:10" ht="14">
      <c r="A65" s="38" t="s">
        <v>146</v>
      </c>
      <c r="B65" s="38">
        <v>2</v>
      </c>
      <c r="C65" s="38" t="s">
        <v>2964</v>
      </c>
      <c r="D65" s="38" t="s">
        <v>2324</v>
      </c>
      <c r="E65" s="38" t="s">
        <v>2325</v>
      </c>
      <c r="F65" s="38" t="s">
        <v>2965</v>
      </c>
      <c r="G65" s="38" t="s">
        <v>2966</v>
      </c>
      <c r="H65" s="38">
        <f>MATCH(A65,'Filtered G500'!$B$2:$B$999,)</f>
        <v>64</v>
      </c>
      <c r="J65" s="40"/>
    </row>
    <row r="66" spans="1:10" ht="14">
      <c r="A66" s="38" t="s">
        <v>648</v>
      </c>
      <c r="B66" s="38">
        <v>3</v>
      </c>
      <c r="C66" s="38" t="s">
        <v>2967</v>
      </c>
      <c r="D66" s="38" t="s">
        <v>2228</v>
      </c>
      <c r="E66" s="38" t="s">
        <v>2326</v>
      </c>
      <c r="F66" s="38" t="s">
        <v>2327</v>
      </c>
      <c r="G66" s="38" t="s">
        <v>2328</v>
      </c>
      <c r="H66" s="38">
        <f>MATCH(A66,'Filtered G500'!$B$2:$B$999,)</f>
        <v>65</v>
      </c>
      <c r="J66" s="40"/>
    </row>
    <row r="67" spans="1:10" ht="14">
      <c r="A67" s="38" t="s">
        <v>908</v>
      </c>
      <c r="B67" s="38">
        <v>3</v>
      </c>
      <c r="C67" s="38" t="s">
        <v>2968</v>
      </c>
      <c r="D67" s="38" t="s">
        <v>2228</v>
      </c>
      <c r="E67" s="38" t="s">
        <v>2329</v>
      </c>
      <c r="F67" s="38" t="s">
        <v>2330</v>
      </c>
      <c r="G67" s="38" t="s">
        <v>2969</v>
      </c>
      <c r="H67" s="38">
        <f>MATCH(A67,'Filtered G500'!$B$2:$B$999,)</f>
        <v>66</v>
      </c>
      <c r="J67" s="40"/>
    </row>
    <row r="68" spans="1:10" ht="14">
      <c r="A68" s="38" t="s">
        <v>1244</v>
      </c>
      <c r="B68" s="38">
        <v>2</v>
      </c>
      <c r="C68" s="38" t="s">
        <v>3080</v>
      </c>
      <c r="D68" s="38" t="s">
        <v>2333</v>
      </c>
      <c r="E68" s="38" t="s">
        <v>2334</v>
      </c>
      <c r="F68" s="38" t="s">
        <v>2973</v>
      </c>
      <c r="G68" s="38" t="s">
        <v>2974</v>
      </c>
      <c r="H68" s="38">
        <f>MATCH(A68,'Filtered G500'!$B$2:$B$999,)</f>
        <v>67</v>
      </c>
      <c r="J68" s="40"/>
    </row>
    <row r="69" spans="1:10" ht="14">
      <c r="A69" s="38" t="s">
        <v>1043</v>
      </c>
      <c r="B69" s="38">
        <v>3</v>
      </c>
      <c r="C69" s="44" t="s">
        <v>3083</v>
      </c>
      <c r="D69" s="38" t="s">
        <v>2335</v>
      </c>
      <c r="E69" s="38" t="s">
        <v>2336</v>
      </c>
      <c r="F69" s="38" t="s">
        <v>2975</v>
      </c>
      <c r="G69" s="38" t="s">
        <v>2976</v>
      </c>
      <c r="H69" s="38">
        <f>MATCH(A69,'Filtered G500'!$B$2:$B$999,)</f>
        <v>68</v>
      </c>
      <c r="J69" s="40"/>
    </row>
    <row r="70" spans="1:10" ht="14">
      <c r="A70" s="38" t="s">
        <v>93</v>
      </c>
      <c r="B70" s="38">
        <v>3</v>
      </c>
      <c r="C70" s="38" t="s">
        <v>2978</v>
      </c>
      <c r="D70" s="38" t="s">
        <v>2228</v>
      </c>
      <c r="E70" s="38" t="s">
        <v>2348</v>
      </c>
      <c r="F70" s="38" t="s">
        <v>2979</v>
      </c>
      <c r="G70" s="38" t="s">
        <v>2980</v>
      </c>
      <c r="H70" s="38">
        <f>MATCH(A70,'Filtered G500'!$B$2:$B$999,)</f>
        <v>69</v>
      </c>
      <c r="J70" s="40"/>
    </row>
    <row r="71" spans="1:10" ht="14">
      <c r="A71" s="38" t="s">
        <v>121</v>
      </c>
      <c r="B71" s="38">
        <v>3</v>
      </c>
      <c r="C71" s="38" t="s">
        <v>2981</v>
      </c>
      <c r="D71" s="38" t="s">
        <v>2228</v>
      </c>
      <c r="E71" s="38" t="s">
        <v>2349</v>
      </c>
      <c r="F71" s="38" t="s">
        <v>2982</v>
      </c>
      <c r="G71" s="38" t="s">
        <v>2983</v>
      </c>
      <c r="H71" s="38">
        <f>MATCH(A71,'Filtered G500'!$B$2:$B$999,)</f>
        <v>70</v>
      </c>
      <c r="J71" s="40"/>
    </row>
    <row r="72" spans="1:10" ht="14">
      <c r="A72" s="38" t="s">
        <v>202</v>
      </c>
      <c r="B72" s="38">
        <v>2</v>
      </c>
      <c r="C72" s="38" t="s">
        <v>2984</v>
      </c>
      <c r="D72" s="38" t="s">
        <v>2350</v>
      </c>
      <c r="E72" s="38" t="s">
        <v>2351</v>
      </c>
      <c r="F72" s="38" t="s">
        <v>2352</v>
      </c>
      <c r="G72" s="38" t="s">
        <v>2985</v>
      </c>
      <c r="H72" s="38">
        <f>MATCH(A72,'Filtered G500'!$B$2:$B$999,)</f>
        <v>71</v>
      </c>
      <c r="J72" s="40"/>
    </row>
    <row r="73" spans="1:10" ht="14">
      <c r="A73" s="43" t="s">
        <v>1293</v>
      </c>
      <c r="B73" s="43">
        <v>3</v>
      </c>
      <c r="C73" s="43" t="s">
        <v>2986</v>
      </c>
      <c r="D73" s="43" t="s">
        <v>2228</v>
      </c>
      <c r="E73" s="43" t="s">
        <v>2277</v>
      </c>
      <c r="F73" s="43" t="s">
        <v>2987</v>
      </c>
      <c r="G73" s="41" t="s">
        <v>2988</v>
      </c>
      <c r="H73" s="38">
        <f>MATCH(A73,'Filtered G500'!$B$2:$B$999,)</f>
        <v>72</v>
      </c>
      <c r="J73" s="40"/>
    </row>
    <row r="74" spans="1:10" ht="14">
      <c r="A74" s="43" t="s">
        <v>1255</v>
      </c>
      <c r="B74" s="43">
        <v>3</v>
      </c>
      <c r="C74" s="43" t="s">
        <v>2989</v>
      </c>
      <c r="D74" s="43" t="s">
        <v>2228</v>
      </c>
      <c r="E74" s="39" t="s">
        <v>2990</v>
      </c>
      <c r="F74" s="43" t="s">
        <v>2991</v>
      </c>
      <c r="G74" s="41" t="s">
        <v>2992</v>
      </c>
      <c r="H74" s="38">
        <f>MATCH(A74,'Filtered G500'!$B$2:$B$999,)</f>
        <v>73</v>
      </c>
      <c r="J74" s="40"/>
    </row>
    <row r="75" spans="1:10" ht="14">
      <c r="A75" s="43" t="s">
        <v>584</v>
      </c>
      <c r="B75" s="43">
        <v>3</v>
      </c>
      <c r="C75" s="43" t="s">
        <v>2993</v>
      </c>
      <c r="D75" s="43" t="s">
        <v>2228</v>
      </c>
      <c r="E75" s="39" t="s">
        <v>2994</v>
      </c>
      <c r="F75" s="43" t="s">
        <v>2995</v>
      </c>
      <c r="G75" s="41" t="s">
        <v>2996</v>
      </c>
      <c r="H75" s="38">
        <f>MATCH(A75,'Filtered G500'!$B$2:$B$999,)</f>
        <v>74</v>
      </c>
      <c r="J75" s="40"/>
    </row>
    <row r="76" spans="1:10" ht="14">
      <c r="A76" s="43" t="s">
        <v>951</v>
      </c>
      <c r="B76" s="43">
        <v>3</v>
      </c>
      <c r="C76" s="43" t="s">
        <v>2997</v>
      </c>
      <c r="D76" s="43" t="s">
        <v>2228</v>
      </c>
      <c r="E76" s="43" t="s">
        <v>2277</v>
      </c>
      <c r="F76" s="43" t="s">
        <v>2998</v>
      </c>
      <c r="G76" s="43" t="s">
        <v>2999</v>
      </c>
      <c r="H76" s="38">
        <f>MATCH(A76,'Filtered G500'!$B$2:$B$999,)</f>
        <v>75</v>
      </c>
      <c r="J76" s="40"/>
    </row>
    <row r="77" spans="1:10" ht="14">
      <c r="A77" s="43" t="s">
        <v>707</v>
      </c>
      <c r="B77" s="43">
        <v>3</v>
      </c>
      <c r="C77" s="43" t="s">
        <v>3000</v>
      </c>
      <c r="D77" s="43" t="s">
        <v>2228</v>
      </c>
      <c r="E77" s="43" t="s">
        <v>2277</v>
      </c>
      <c r="F77" s="43" t="s">
        <v>3001</v>
      </c>
      <c r="G77" s="41" t="s">
        <v>3002</v>
      </c>
      <c r="H77" s="38">
        <f>MATCH(A77,'Filtered G500'!$B$2:$B$999,)</f>
        <v>76</v>
      </c>
      <c r="J77" s="40"/>
    </row>
    <row r="78" spans="1:10" ht="14">
      <c r="A78" s="43" t="s">
        <v>490</v>
      </c>
      <c r="B78" s="43">
        <v>3</v>
      </c>
      <c r="C78" s="43" t="s">
        <v>3003</v>
      </c>
      <c r="D78" s="43" t="s">
        <v>2228</v>
      </c>
      <c r="E78" s="43" t="s">
        <v>2277</v>
      </c>
      <c r="F78" s="43" t="s">
        <v>3004</v>
      </c>
      <c r="G78" s="43" t="s">
        <v>3005</v>
      </c>
      <c r="H78" s="38">
        <f>MATCH(A78,'Filtered G500'!$B$2:$B$999,)</f>
        <v>77</v>
      </c>
      <c r="J78" s="40"/>
    </row>
    <row r="79" spans="1:10" ht="14">
      <c r="A79" s="38" t="s">
        <v>194</v>
      </c>
      <c r="B79" s="38">
        <v>3</v>
      </c>
      <c r="C79" s="38" t="s">
        <v>3006</v>
      </c>
      <c r="D79" s="38" t="s">
        <v>2228</v>
      </c>
      <c r="E79" s="38" t="s">
        <v>2353</v>
      </c>
      <c r="F79" s="38" t="s">
        <v>2354</v>
      </c>
      <c r="G79" s="38" t="s">
        <v>3007</v>
      </c>
      <c r="H79" s="38">
        <f>MATCH(A79,'Filtered G500'!$B$2:$B$999,)</f>
        <v>78</v>
      </c>
      <c r="J79" s="40"/>
    </row>
    <row r="80" spans="1:10" ht="14">
      <c r="A80" s="38" t="s">
        <v>826</v>
      </c>
      <c r="B80" s="38">
        <v>3</v>
      </c>
      <c r="C80" s="38" t="s">
        <v>3011</v>
      </c>
      <c r="D80" s="38" t="s">
        <v>2356</v>
      </c>
      <c r="E80" s="38" t="s">
        <v>2357</v>
      </c>
      <c r="F80" s="38" t="s">
        <v>3012</v>
      </c>
      <c r="G80" s="38" t="s">
        <v>3013</v>
      </c>
      <c r="H80" s="38">
        <f>MATCH(A80,'Filtered G500'!$B$2:$B$999,)</f>
        <v>79</v>
      </c>
      <c r="J80" s="40"/>
    </row>
    <row r="81" spans="1:10" ht="14">
      <c r="A81" s="38" t="s">
        <v>426</v>
      </c>
      <c r="B81" s="38">
        <v>1</v>
      </c>
      <c r="C81" s="38" t="s">
        <v>3014</v>
      </c>
      <c r="D81" s="38" t="s">
        <v>3015</v>
      </c>
      <c r="E81" s="38" t="s">
        <v>3016</v>
      </c>
      <c r="F81" s="38" t="s">
        <v>3017</v>
      </c>
      <c r="G81" s="38" t="s">
        <v>3018</v>
      </c>
      <c r="H81" s="38">
        <f>MATCH(A81,'Filtered G500'!$B$2:$B$999,)</f>
        <v>80</v>
      </c>
      <c r="J81" s="40"/>
    </row>
    <row r="82" spans="1:10" ht="14">
      <c r="A82" s="43" t="s">
        <v>627</v>
      </c>
      <c r="B82" s="43">
        <v>3</v>
      </c>
      <c r="C82" s="43" t="s">
        <v>3019</v>
      </c>
      <c r="D82" s="43" t="s">
        <v>2358</v>
      </c>
      <c r="E82" s="43" t="s">
        <v>2277</v>
      </c>
      <c r="F82" s="43" t="s">
        <v>3020</v>
      </c>
      <c r="G82" s="43" t="s">
        <v>3021</v>
      </c>
      <c r="H82" s="38">
        <f>MATCH(A82,'Filtered G500'!$B$2:$B$999,)</f>
        <v>81</v>
      </c>
      <c r="J82" s="40"/>
    </row>
    <row r="83" spans="1:10" ht="14">
      <c r="A83" s="43" t="s">
        <v>448</v>
      </c>
      <c r="B83" s="43">
        <v>3</v>
      </c>
      <c r="C83" s="43" t="s">
        <v>3022</v>
      </c>
      <c r="D83" s="43" t="s">
        <v>2228</v>
      </c>
      <c r="E83" s="43" t="s">
        <v>2277</v>
      </c>
      <c r="F83" s="43" t="s">
        <v>3023</v>
      </c>
      <c r="G83" s="41" t="s">
        <v>3024</v>
      </c>
      <c r="H83" s="38">
        <f>MATCH(A83,'Filtered G500'!$B$2:$B$999,)</f>
        <v>82</v>
      </c>
      <c r="J83" s="40"/>
    </row>
    <row r="84" spans="1:10" ht="14">
      <c r="A84" s="43" t="s">
        <v>355</v>
      </c>
      <c r="B84" s="43">
        <v>2</v>
      </c>
      <c r="C84" s="43"/>
      <c r="D84" s="43" t="s">
        <v>2362</v>
      </c>
      <c r="E84" s="43" t="s">
        <v>2277</v>
      </c>
      <c r="F84" s="43" t="s">
        <v>3031</v>
      </c>
      <c r="G84" s="43"/>
      <c r="H84" s="38">
        <f>MATCH(A84,'Filtered G500'!$B$2:$B$999,)</f>
        <v>83</v>
      </c>
      <c r="J84" s="40"/>
    </row>
    <row r="85" spans="1:10" ht="14">
      <c r="A85" s="38" t="s">
        <v>304</v>
      </c>
      <c r="B85" s="38">
        <v>0</v>
      </c>
      <c r="C85" s="38"/>
      <c r="D85" s="38" t="s">
        <v>2309</v>
      </c>
      <c r="E85" s="38" t="s">
        <v>2310</v>
      </c>
      <c r="F85" s="38" t="s">
        <v>2311</v>
      </c>
      <c r="G85" s="41" t="s">
        <v>2312</v>
      </c>
      <c r="H85" s="38">
        <f>MATCH(A85,'Filtered G500'!$B$2:$B$999,)</f>
        <v>84</v>
      </c>
      <c r="J85" s="40"/>
    </row>
    <row r="86" spans="1:10" ht="14">
      <c r="A86" s="38" t="s">
        <v>109</v>
      </c>
      <c r="B86" s="38">
        <v>3</v>
      </c>
      <c r="C86" s="38" t="s">
        <v>3035</v>
      </c>
      <c r="D86" s="38" t="s">
        <v>2228</v>
      </c>
      <c r="E86" s="38" t="s">
        <v>2364</v>
      </c>
      <c r="F86" s="38" t="s">
        <v>2365</v>
      </c>
      <c r="G86" s="38" t="s">
        <v>3036</v>
      </c>
      <c r="H86" s="38">
        <f>MATCH(A86,'Filtered G500'!$B$2:$B$999,)</f>
        <v>85</v>
      </c>
      <c r="J86" s="40"/>
    </row>
    <row r="87" spans="1:10" ht="14">
      <c r="A87" s="38" t="s">
        <v>1113</v>
      </c>
      <c r="B87" s="38">
        <v>2</v>
      </c>
      <c r="C87" s="38" t="s">
        <v>3037</v>
      </c>
      <c r="D87" s="38" t="s">
        <v>2366</v>
      </c>
      <c r="E87" s="38" t="s">
        <v>2367</v>
      </c>
      <c r="F87" s="38" t="s">
        <v>3038</v>
      </c>
      <c r="G87" s="38" t="s">
        <v>2368</v>
      </c>
      <c r="H87" s="38">
        <f>MATCH(A87,'Filtered G500'!$B$2:$B$999,)</f>
        <v>86</v>
      </c>
      <c r="J87" s="40"/>
    </row>
    <row r="88" spans="1:10" ht="14">
      <c r="A88" s="38" t="s">
        <v>854</v>
      </c>
      <c r="B88" s="38">
        <v>2</v>
      </c>
      <c r="C88" s="38" t="s">
        <v>3039</v>
      </c>
      <c r="D88" s="38" t="s">
        <v>2369</v>
      </c>
      <c r="E88" s="38" t="s">
        <v>2370</v>
      </c>
      <c r="F88" s="38" t="s">
        <v>2371</v>
      </c>
      <c r="G88" s="38" t="s">
        <v>3040</v>
      </c>
      <c r="H88" s="38">
        <f>MATCH(A88,'Filtered G500'!$B$2:$B$999,)</f>
        <v>87</v>
      </c>
      <c r="J88" s="40"/>
    </row>
    <row r="89" spans="1:10" ht="14">
      <c r="A89" s="38" t="s">
        <v>55</v>
      </c>
      <c r="B89" s="38">
        <v>3</v>
      </c>
      <c r="C89" s="38" t="s">
        <v>3043</v>
      </c>
      <c r="D89" s="38" t="s">
        <v>2228</v>
      </c>
      <c r="E89" s="38" t="s">
        <v>2374</v>
      </c>
      <c r="F89" s="38" t="s">
        <v>3044</v>
      </c>
      <c r="G89" s="41" t="s">
        <v>3045</v>
      </c>
      <c r="H89" s="38">
        <f>MATCH(A89,'Filtered G500'!$B$2:$B$999,)</f>
        <v>88</v>
      </c>
      <c r="J89" s="40"/>
    </row>
    <row r="90" spans="1:10" ht="14">
      <c r="A90" s="38" t="s">
        <v>562</v>
      </c>
      <c r="B90" s="38">
        <v>3</v>
      </c>
      <c r="C90" s="38" t="s">
        <v>3046</v>
      </c>
      <c r="D90" s="38" t="s">
        <v>2228</v>
      </c>
      <c r="E90" s="38" t="s">
        <v>2375</v>
      </c>
      <c r="F90" s="38" t="s">
        <v>3047</v>
      </c>
      <c r="G90" s="38" t="s">
        <v>3048</v>
      </c>
      <c r="H90" s="38">
        <f>MATCH(A90,'Filtered G500'!$B$2:$B$999,)</f>
        <v>89</v>
      </c>
      <c r="J90" s="40"/>
    </row>
    <row r="91" spans="1:10" ht="14">
      <c r="A91" s="43" t="s">
        <v>738</v>
      </c>
      <c r="B91" s="43">
        <v>3</v>
      </c>
      <c r="C91" s="43" t="s">
        <v>3052</v>
      </c>
      <c r="D91" s="43" t="s">
        <v>2228</v>
      </c>
      <c r="E91" s="43" t="s">
        <v>2277</v>
      </c>
      <c r="F91" s="43" t="s">
        <v>3053</v>
      </c>
      <c r="G91" s="41" t="s">
        <v>2377</v>
      </c>
      <c r="H91" s="38">
        <f>MATCH(A91,'Filtered G500'!$B$2:$B$999,)</f>
        <v>90</v>
      </c>
      <c r="J91" s="40"/>
    </row>
    <row r="92" spans="1:10" ht="14">
      <c r="A92" s="43" t="s">
        <v>920</v>
      </c>
      <c r="B92" s="43">
        <v>3</v>
      </c>
      <c r="C92" s="43" t="s">
        <v>3060</v>
      </c>
      <c r="D92" s="43" t="s">
        <v>2228</v>
      </c>
      <c r="E92" s="43" t="s">
        <v>3061</v>
      </c>
      <c r="F92" s="43" t="s">
        <v>3062</v>
      </c>
      <c r="G92" s="43" t="s">
        <v>3063</v>
      </c>
      <c r="H92" s="38">
        <f>MATCH(A92,'Filtered G500'!$B$2:$B$999,)</f>
        <v>91</v>
      </c>
      <c r="J92" s="40"/>
    </row>
    <row r="93" spans="1:10" ht="14">
      <c r="A93" s="43" t="s">
        <v>1303</v>
      </c>
      <c r="B93" s="43">
        <v>3</v>
      </c>
      <c r="C93" s="43" t="s">
        <v>3064</v>
      </c>
      <c r="D93" s="43" t="s">
        <v>2228</v>
      </c>
      <c r="E93" s="43" t="s">
        <v>3065</v>
      </c>
      <c r="F93" s="39" t="s">
        <v>3066</v>
      </c>
      <c r="G93" s="41" t="s">
        <v>3067</v>
      </c>
      <c r="H93" s="38">
        <f>MATCH(A93,'Filtered G500'!$B$2:$B$999,)</f>
        <v>92</v>
      </c>
      <c r="J93" s="40"/>
    </row>
    <row r="94" spans="1:10" ht="14">
      <c r="A94" s="43" t="s">
        <v>553</v>
      </c>
      <c r="B94" s="43">
        <v>3</v>
      </c>
      <c r="C94" s="43" t="s">
        <v>3068</v>
      </c>
      <c r="D94" s="43" t="s">
        <v>2228</v>
      </c>
      <c r="E94" s="43" t="s">
        <v>2277</v>
      </c>
      <c r="F94" s="43" t="s">
        <v>3069</v>
      </c>
      <c r="G94" s="43" t="s">
        <v>3070</v>
      </c>
      <c r="H94" s="38">
        <f>MATCH(A94,'Filtered G500'!$B$2:$B$999,)</f>
        <v>93</v>
      </c>
      <c r="J94" s="40"/>
    </row>
    <row r="95" spans="1:10" ht="14">
      <c r="A95" s="43" t="s">
        <v>685</v>
      </c>
      <c r="B95" s="43">
        <v>3</v>
      </c>
      <c r="C95" s="43" t="s">
        <v>3071</v>
      </c>
      <c r="D95" s="43" t="s">
        <v>2228</v>
      </c>
      <c r="E95" s="39" t="s">
        <v>3072</v>
      </c>
      <c r="F95" s="43" t="s">
        <v>3073</v>
      </c>
      <c r="G95" s="41" t="s">
        <v>3074</v>
      </c>
      <c r="H95" s="38">
        <f>MATCH(A95,'Filtered G500'!$B$2:$B$999,)</f>
        <v>94</v>
      </c>
      <c r="J95" s="40"/>
    </row>
    <row r="96" spans="1:10" ht="14">
      <c r="A96" s="43" t="s">
        <v>825</v>
      </c>
      <c r="B96" s="43">
        <v>3</v>
      </c>
      <c r="C96" s="43" t="s">
        <v>3085</v>
      </c>
      <c r="D96" s="43" t="s">
        <v>2228</v>
      </c>
      <c r="E96" s="39" t="s">
        <v>3086</v>
      </c>
      <c r="F96" s="43" t="s">
        <v>3087</v>
      </c>
      <c r="G96" s="43" t="s">
        <v>3088</v>
      </c>
      <c r="H96" s="38">
        <f>MATCH(A96,'Filtered G500'!$B$2:$B$999,)</f>
        <v>95</v>
      </c>
      <c r="J96" s="40"/>
    </row>
    <row r="97" spans="1:10" ht="14">
      <c r="A97" s="38" t="s">
        <v>61</v>
      </c>
      <c r="B97" s="38">
        <v>0</v>
      </c>
      <c r="C97" s="38"/>
      <c r="D97" s="38" t="s">
        <v>2345</v>
      </c>
      <c r="E97" s="38" t="s">
        <v>2977</v>
      </c>
      <c r="F97" s="38" t="s">
        <v>2346</v>
      </c>
      <c r="G97" s="38" t="s">
        <v>2347</v>
      </c>
      <c r="H97" s="38">
        <f>MATCH(A97,'Filtered G500'!$B$2:$B$999,)</f>
        <v>96</v>
      </c>
      <c r="J97" s="40"/>
    </row>
    <row r="98" spans="1:10" ht="14">
      <c r="A98" s="38" t="s">
        <v>341</v>
      </c>
      <c r="B98" s="38">
        <v>2</v>
      </c>
      <c r="C98" s="38" t="s">
        <v>3089</v>
      </c>
      <c r="D98" s="38" t="s">
        <v>2381</v>
      </c>
      <c r="E98" s="38" t="s">
        <v>2382</v>
      </c>
      <c r="F98" s="38" t="s">
        <v>3100</v>
      </c>
      <c r="G98" s="38" t="s">
        <v>3090</v>
      </c>
      <c r="H98" s="38">
        <f>MATCH(A98,'Filtered G500'!$B$2:$B$999,)</f>
        <v>97</v>
      </c>
      <c r="J98" s="40"/>
    </row>
    <row r="99" spans="1:10" ht="14">
      <c r="A99" s="38" t="s">
        <v>401</v>
      </c>
      <c r="B99" s="38">
        <v>2</v>
      </c>
      <c r="C99" s="44" t="s">
        <v>3095</v>
      </c>
      <c r="D99" s="38" t="s">
        <v>2391</v>
      </c>
      <c r="E99" s="38" t="s">
        <v>2392</v>
      </c>
      <c r="F99" s="38" t="s">
        <v>3093</v>
      </c>
      <c r="G99" s="38" t="s">
        <v>3094</v>
      </c>
      <c r="H99" s="38">
        <f>MATCH(A99,'Filtered G500'!$B$2:$B$999,)</f>
        <v>98</v>
      </c>
      <c r="J99" s="40"/>
    </row>
    <row r="100" spans="1:10" ht="14">
      <c r="A100" s="38" t="s">
        <v>217</v>
      </c>
      <c r="B100" s="38">
        <v>2</v>
      </c>
      <c r="C100" s="38" t="s">
        <v>3008</v>
      </c>
      <c r="D100" s="38" t="s">
        <v>2335</v>
      </c>
      <c r="E100" s="38" t="s">
        <v>2355</v>
      </c>
      <c r="F100" s="38" t="s">
        <v>3009</v>
      </c>
      <c r="G100" s="38" t="s">
        <v>3010</v>
      </c>
      <c r="H100" s="38">
        <f>MATCH(A100,'Filtered G500'!$B$2:$B$999,)</f>
        <v>99</v>
      </c>
      <c r="J100" s="40"/>
    </row>
    <row r="101" spans="1:10" ht="14">
      <c r="A101" s="38" t="s">
        <v>298</v>
      </c>
      <c r="B101" s="38">
        <v>3</v>
      </c>
      <c r="C101" s="38" t="s">
        <v>3096</v>
      </c>
      <c r="D101" s="38" t="s">
        <v>2228</v>
      </c>
      <c r="E101" s="38" t="s">
        <v>2393</v>
      </c>
      <c r="F101" s="38" t="s">
        <v>2394</v>
      </c>
      <c r="G101" s="38" t="s">
        <v>3097</v>
      </c>
      <c r="H101" s="38">
        <f>MATCH(A101,'Filtered G500'!$B$2:$B$999,)</f>
        <v>100</v>
      </c>
      <c r="J101" s="40"/>
    </row>
    <row r="102" spans="1:10" ht="14">
      <c r="A102" s="38" t="s">
        <v>250</v>
      </c>
      <c r="B102" s="38">
        <v>3</v>
      </c>
      <c r="C102" s="44" t="s">
        <v>2395</v>
      </c>
      <c r="D102" s="38" t="s">
        <v>2228</v>
      </c>
      <c r="E102" s="38" t="s">
        <v>2396</v>
      </c>
      <c r="F102" s="38" t="s">
        <v>2397</v>
      </c>
      <c r="G102" s="38" t="s">
        <v>2398</v>
      </c>
      <c r="H102" s="38">
        <f>MATCH(A102,'Filtered G500'!$B$2:$B$999,)</f>
        <v>101</v>
      </c>
      <c r="J102" s="40"/>
    </row>
    <row r="103" spans="1:10" ht="14">
      <c r="A103" s="38" t="s">
        <v>451</v>
      </c>
      <c r="B103" s="38">
        <v>2</v>
      </c>
      <c r="C103" s="38" t="s">
        <v>2399</v>
      </c>
      <c r="D103" s="38" t="s">
        <v>2400</v>
      </c>
      <c r="E103" s="38" t="s">
        <v>2401</v>
      </c>
      <c r="F103" s="38" t="s">
        <v>2402</v>
      </c>
      <c r="G103" s="38" t="s">
        <v>2403</v>
      </c>
      <c r="H103" s="38">
        <f>MATCH(A103,'Filtered G500'!$B$2:$B$999,)</f>
        <v>102</v>
      </c>
      <c r="J103" s="40"/>
    </row>
    <row r="104" spans="1:10" ht="14">
      <c r="A104" s="38" t="s">
        <v>740</v>
      </c>
      <c r="B104" s="38">
        <v>2</v>
      </c>
      <c r="C104" s="44" t="s">
        <v>2404</v>
      </c>
      <c r="D104" s="38" t="s">
        <v>2405</v>
      </c>
      <c r="E104" s="38" t="s">
        <v>2406</v>
      </c>
      <c r="F104" s="38" t="s">
        <v>2407</v>
      </c>
      <c r="G104" s="38" t="s">
        <v>2408</v>
      </c>
      <c r="H104" s="38">
        <f>MATCH(A104,'Filtered G500'!$B$2:$B$999,)</f>
        <v>103</v>
      </c>
      <c r="J104" s="40"/>
    </row>
    <row r="105" spans="1:10" ht="14">
      <c r="A105" s="38" t="s">
        <v>805</v>
      </c>
      <c r="B105" s="38">
        <v>2</v>
      </c>
      <c r="C105" s="44" t="s">
        <v>2409</v>
      </c>
      <c r="D105" s="38" t="s">
        <v>2410</v>
      </c>
      <c r="E105" s="38" t="s">
        <v>2411</v>
      </c>
      <c r="F105" s="38" t="s">
        <v>2412</v>
      </c>
      <c r="G105" s="38" t="s">
        <v>2413</v>
      </c>
      <c r="H105" s="38">
        <f>MATCH(A105,'Filtered G500'!$B$2:$B$999,)</f>
        <v>104</v>
      </c>
      <c r="J105" s="40"/>
    </row>
    <row r="106" spans="1:10" ht="14">
      <c r="A106" s="38" t="s">
        <v>1103</v>
      </c>
      <c r="B106" s="38">
        <v>2</v>
      </c>
      <c r="C106" s="38" t="s">
        <v>2414</v>
      </c>
      <c r="D106" s="38" t="s">
        <v>2415</v>
      </c>
      <c r="E106" s="38" t="s">
        <v>2416</v>
      </c>
      <c r="F106" s="38" t="s">
        <v>2417</v>
      </c>
      <c r="G106" s="38" t="s">
        <v>2418</v>
      </c>
      <c r="H106" s="38">
        <f>MATCH(A106,'Filtered G500'!$B$2:$B$999,)</f>
        <v>105</v>
      </c>
      <c r="J106" s="40"/>
    </row>
    <row r="107" spans="1:10" ht="14">
      <c r="A107" s="38" t="s">
        <v>503</v>
      </c>
      <c r="B107" s="38">
        <v>2</v>
      </c>
      <c r="C107" s="38" t="s">
        <v>2419</v>
      </c>
      <c r="D107" s="38" t="s">
        <v>2420</v>
      </c>
      <c r="E107" s="38" t="s">
        <v>2421</v>
      </c>
      <c r="F107" s="38" t="s">
        <v>2422</v>
      </c>
      <c r="G107" s="38" t="s">
        <v>2423</v>
      </c>
      <c r="H107" s="38">
        <f>MATCH(A107,'Filtered G500'!$B$2:$B$999,)</f>
        <v>106</v>
      </c>
      <c r="J107" s="40"/>
    </row>
    <row r="108" spans="1:10" ht="14">
      <c r="A108" s="38" t="s">
        <v>262</v>
      </c>
      <c r="B108" s="38">
        <v>2</v>
      </c>
      <c r="C108" s="38" t="s">
        <v>2424</v>
      </c>
      <c r="D108" s="38" t="s">
        <v>2425</v>
      </c>
      <c r="E108" s="38" t="s">
        <v>2426</v>
      </c>
      <c r="F108" s="38" t="s">
        <v>2427</v>
      </c>
      <c r="G108" s="38" t="s">
        <v>2428</v>
      </c>
      <c r="H108" s="38">
        <f>MATCH(A108,'Filtered G500'!$B$2:$B$999,)</f>
        <v>107</v>
      </c>
      <c r="J108" s="40"/>
    </row>
    <row r="109" spans="1:10" ht="14">
      <c r="A109" s="38" t="s">
        <v>509</v>
      </c>
      <c r="B109" s="38">
        <v>3</v>
      </c>
      <c r="C109" s="38" t="s">
        <v>2429</v>
      </c>
      <c r="D109" s="38" t="s">
        <v>2430</v>
      </c>
      <c r="E109" s="38" t="s">
        <v>2431</v>
      </c>
      <c r="F109" s="38" t="s">
        <v>2432</v>
      </c>
      <c r="G109" s="38" t="s">
        <v>2433</v>
      </c>
      <c r="H109" s="38">
        <f>MATCH(A109,'Filtered G500'!$B$2:$B$999,)</f>
        <v>108</v>
      </c>
      <c r="J109" s="40"/>
    </row>
    <row r="110" spans="1:10" ht="14">
      <c r="A110" s="38" t="s">
        <v>559</v>
      </c>
      <c r="B110" s="38">
        <v>3</v>
      </c>
      <c r="C110" s="38" t="s">
        <v>2434</v>
      </c>
      <c r="D110" s="38" t="s">
        <v>2435</v>
      </c>
      <c r="E110" s="38" t="s">
        <v>2436</v>
      </c>
      <c r="F110" s="38" t="s">
        <v>2437</v>
      </c>
      <c r="G110" s="38" t="s">
        <v>2438</v>
      </c>
      <c r="H110" s="38">
        <f>MATCH(A110,'Filtered G500'!$B$2:$B$999,)</f>
        <v>109</v>
      </c>
      <c r="J110" s="40"/>
    </row>
    <row r="111" spans="1:10" ht="14">
      <c r="A111" s="43" t="s">
        <v>641</v>
      </c>
      <c r="B111" s="43">
        <v>2</v>
      </c>
      <c r="C111" s="43" t="s">
        <v>2439</v>
      </c>
      <c r="D111" s="43" t="s">
        <v>2440</v>
      </c>
      <c r="E111" s="43" t="s">
        <v>2277</v>
      </c>
      <c r="F111" s="43" t="s">
        <v>2441</v>
      </c>
      <c r="G111" s="43" t="s">
        <v>2442</v>
      </c>
      <c r="H111" s="38">
        <f>MATCH(A111,'Filtered G500'!$B$2:$B$999,)</f>
        <v>110</v>
      </c>
      <c r="J111" s="40"/>
    </row>
    <row r="112" spans="1:10" ht="14">
      <c r="A112" s="43" t="s">
        <v>844</v>
      </c>
      <c r="B112" s="43">
        <v>3</v>
      </c>
      <c r="C112" s="43" t="s">
        <v>2443</v>
      </c>
      <c r="D112" s="43" t="s">
        <v>2228</v>
      </c>
      <c r="E112" s="43" t="s">
        <v>2277</v>
      </c>
      <c r="F112" s="43" t="s">
        <v>2308</v>
      </c>
      <c r="G112" s="43" t="s">
        <v>2280</v>
      </c>
      <c r="H112" s="38">
        <f>MATCH(A112,'Filtered G500'!$B$2:$B$999,)</f>
        <v>111</v>
      </c>
      <c r="J112" s="40"/>
    </row>
    <row r="113" spans="1:10" ht="14">
      <c r="A113" s="43" t="s">
        <v>959</v>
      </c>
      <c r="B113" s="43">
        <v>3</v>
      </c>
      <c r="C113" s="43" t="s">
        <v>2444</v>
      </c>
      <c r="D113" s="43" t="s">
        <v>2228</v>
      </c>
      <c r="E113" s="43" t="s">
        <v>2277</v>
      </c>
      <c r="F113" s="43" t="s">
        <v>2445</v>
      </c>
      <c r="G113" s="43" t="s">
        <v>2446</v>
      </c>
      <c r="H113" s="38">
        <f>MATCH(A113,'Filtered G500'!$B$2:$B$999,)</f>
        <v>112</v>
      </c>
      <c r="J113" s="40"/>
    </row>
    <row r="114" spans="1:10" ht="14">
      <c r="A114" s="43" t="s">
        <v>1073</v>
      </c>
      <c r="B114" s="43">
        <v>3</v>
      </c>
      <c r="C114" s="43" t="s">
        <v>2447</v>
      </c>
      <c r="D114" s="43" t="s">
        <v>2228</v>
      </c>
      <c r="E114" s="43" t="s">
        <v>2277</v>
      </c>
      <c r="F114" s="43" t="s">
        <v>2308</v>
      </c>
      <c r="G114" s="43" t="s">
        <v>2448</v>
      </c>
      <c r="H114" s="38">
        <f>MATCH(A114,'Filtered G500'!$B$2:$B$999,)</f>
        <v>113</v>
      </c>
      <c r="J114" s="40"/>
    </row>
    <row r="115" spans="1:10" ht="14">
      <c r="A115" s="43" t="s">
        <v>620</v>
      </c>
      <c r="B115" s="43">
        <v>3</v>
      </c>
      <c r="C115" s="43" t="s">
        <v>2449</v>
      </c>
      <c r="D115" s="43" t="s">
        <v>2228</v>
      </c>
      <c r="E115" s="43" t="s">
        <v>2277</v>
      </c>
      <c r="F115" s="43" t="s">
        <v>2308</v>
      </c>
      <c r="G115" s="43" t="s">
        <v>2450</v>
      </c>
      <c r="H115" s="38">
        <f>MATCH(A115,'Filtered G500'!$B$2:$B$999,)</f>
        <v>114</v>
      </c>
      <c r="J115" s="40"/>
    </row>
    <row r="116" spans="1:10" ht="14">
      <c r="A116" s="43" t="s">
        <v>833</v>
      </c>
      <c r="B116" s="43">
        <v>3</v>
      </c>
      <c r="C116" s="43" t="s">
        <v>2451</v>
      </c>
      <c r="D116" s="43" t="s">
        <v>2228</v>
      </c>
      <c r="E116" s="43" t="s">
        <v>2277</v>
      </c>
      <c r="F116" s="43" t="s">
        <v>2308</v>
      </c>
      <c r="G116" s="43" t="s">
        <v>2452</v>
      </c>
      <c r="H116" s="38">
        <f>MATCH(A116,'Filtered G500'!$B$2:$B$999,)</f>
        <v>115</v>
      </c>
      <c r="J116" s="40"/>
    </row>
    <row r="117" spans="1:10" ht="14">
      <c r="A117" s="43" t="s">
        <v>993</v>
      </c>
      <c r="B117" s="43">
        <v>1</v>
      </c>
      <c r="C117" s="43" t="s">
        <v>2453</v>
      </c>
      <c r="D117" s="43" t="s">
        <v>2454</v>
      </c>
      <c r="E117" s="43" t="s">
        <v>2277</v>
      </c>
      <c r="F117" s="43" t="s">
        <v>2455</v>
      </c>
      <c r="G117" s="43" t="s">
        <v>2280</v>
      </c>
      <c r="H117" s="38">
        <f>MATCH(A117,'Filtered G500'!$B$2:$B$999,)</f>
        <v>116</v>
      </c>
      <c r="J117" s="40"/>
    </row>
    <row r="118" spans="1:10" ht="14">
      <c r="A118" s="38" t="s">
        <v>896</v>
      </c>
      <c r="B118" s="38">
        <v>0</v>
      </c>
      <c r="C118" s="44"/>
      <c r="D118" s="38" t="s">
        <v>2337</v>
      </c>
      <c r="E118" s="38" t="s">
        <v>2338</v>
      </c>
      <c r="F118" s="38" t="s">
        <v>2339</v>
      </c>
      <c r="G118" s="38" t="s">
        <v>2340</v>
      </c>
      <c r="H118" s="38">
        <f>MATCH(A118,'Filtered G500'!$B$2:$B$999,)</f>
        <v>117</v>
      </c>
      <c r="J118" s="40"/>
    </row>
    <row r="119" spans="1:10" ht="14">
      <c r="A119" s="38" t="s">
        <v>1204</v>
      </c>
      <c r="B119" s="38">
        <v>0</v>
      </c>
      <c r="C119" s="38"/>
      <c r="D119" s="38" t="s">
        <v>2341</v>
      </c>
      <c r="E119" s="38" t="s">
        <v>2342</v>
      </c>
      <c r="F119" s="38" t="s">
        <v>2343</v>
      </c>
      <c r="G119" s="38" t="s">
        <v>2344</v>
      </c>
      <c r="H119" s="38">
        <f>MATCH(A119,'Filtered G500'!$B$2:$B$999,)</f>
        <v>118</v>
      </c>
      <c r="J119" s="40"/>
    </row>
    <row r="120" spans="1:10" ht="14">
      <c r="A120" s="38" t="s">
        <v>434</v>
      </c>
      <c r="B120" s="38">
        <v>2</v>
      </c>
      <c r="C120" s="38" t="s">
        <v>2456</v>
      </c>
      <c r="D120" s="38" t="s">
        <v>2457</v>
      </c>
      <c r="E120" s="38" t="s">
        <v>2458</v>
      </c>
      <c r="F120" s="38" t="s">
        <v>2459</v>
      </c>
      <c r="G120" s="38" t="s">
        <v>2460</v>
      </c>
      <c r="H120" s="38">
        <f>MATCH(A120,'Filtered G500'!$B$2:$B$999,)</f>
        <v>119</v>
      </c>
      <c r="J120" s="40"/>
    </row>
    <row r="121" spans="1:10" ht="14">
      <c r="A121" s="38" t="s">
        <v>379</v>
      </c>
      <c r="B121" s="38">
        <v>2</v>
      </c>
      <c r="C121" s="38" t="s">
        <v>2461</v>
      </c>
      <c r="D121" s="38" t="s">
        <v>2462</v>
      </c>
      <c r="E121" s="38" t="s">
        <v>2463</v>
      </c>
      <c r="F121" s="38" t="s">
        <v>2464</v>
      </c>
      <c r="G121" s="38" t="s">
        <v>2465</v>
      </c>
      <c r="H121" s="38">
        <f>MATCH(A121,'Filtered G500'!$B$2:$B$999,)</f>
        <v>120</v>
      </c>
      <c r="J121" s="40"/>
    </row>
    <row r="122" spans="1:10" ht="14">
      <c r="A122" s="38" t="s">
        <v>242</v>
      </c>
      <c r="B122" s="38">
        <v>3</v>
      </c>
      <c r="C122" s="38" t="s">
        <v>2466</v>
      </c>
      <c r="D122" s="38" t="s">
        <v>2228</v>
      </c>
      <c r="E122" s="38" t="s">
        <v>2467</v>
      </c>
      <c r="F122" s="38" t="s">
        <v>2468</v>
      </c>
      <c r="G122" s="38" t="s">
        <v>2469</v>
      </c>
      <c r="H122" s="38">
        <f>MATCH(A122,'Filtered G500'!$B$2:$B$999,)</f>
        <v>121</v>
      </c>
      <c r="J122" s="40"/>
    </row>
    <row r="123" spans="1:10" ht="14">
      <c r="A123" s="38" t="s">
        <v>390</v>
      </c>
      <c r="B123" s="38">
        <v>2</v>
      </c>
      <c r="C123" s="38" t="s">
        <v>2470</v>
      </c>
      <c r="D123" s="38" t="s">
        <v>2471</v>
      </c>
      <c r="E123" s="38" t="s">
        <v>2472</v>
      </c>
      <c r="F123" s="38" t="s">
        <v>2473</v>
      </c>
      <c r="G123" s="38" t="s">
        <v>2474</v>
      </c>
      <c r="H123" s="38">
        <f>MATCH(A123,'Filtered G500'!$B$2:$B$999,)</f>
        <v>122</v>
      </c>
      <c r="J123" s="40"/>
    </row>
    <row r="124" spans="1:10" ht="14">
      <c r="A124" s="38" t="s">
        <v>51</v>
      </c>
      <c r="B124" s="38">
        <v>2</v>
      </c>
      <c r="C124" s="38" t="s">
        <v>2475</v>
      </c>
      <c r="D124" s="38" t="s">
        <v>2476</v>
      </c>
      <c r="E124" s="38" t="s">
        <v>2477</v>
      </c>
      <c r="F124" s="38" t="s">
        <v>2478</v>
      </c>
      <c r="G124" s="38" t="s">
        <v>2479</v>
      </c>
      <c r="H124" s="38">
        <f>MATCH(A124,'Filtered G500'!$B$2:$B$999,)</f>
        <v>123</v>
      </c>
      <c r="J124" s="40"/>
    </row>
    <row r="125" spans="1:10" ht="14">
      <c r="A125" s="38" t="s">
        <v>170</v>
      </c>
      <c r="B125" s="38">
        <v>2</v>
      </c>
      <c r="C125" s="38" t="s">
        <v>2480</v>
      </c>
      <c r="D125" s="38" t="s">
        <v>2481</v>
      </c>
      <c r="E125" s="38" t="s">
        <v>2482</v>
      </c>
      <c r="F125" s="38" t="s">
        <v>2483</v>
      </c>
      <c r="G125" s="38" t="s">
        <v>2484</v>
      </c>
      <c r="H125" s="38">
        <f>MATCH(A125,'Filtered G500'!$B$2:$B$999,)</f>
        <v>124</v>
      </c>
      <c r="J125" s="40"/>
    </row>
    <row r="126" spans="1:10" ht="14">
      <c r="A126" s="43" t="s">
        <v>80</v>
      </c>
      <c r="B126" s="43">
        <v>3</v>
      </c>
      <c r="C126" s="43" t="s">
        <v>2485</v>
      </c>
      <c r="D126" s="43" t="s">
        <v>2486</v>
      </c>
      <c r="E126" s="43" t="s">
        <v>2487</v>
      </c>
      <c r="F126" s="43" t="s">
        <v>2488</v>
      </c>
      <c r="G126" s="43" t="s">
        <v>2489</v>
      </c>
      <c r="H126" s="38">
        <f>MATCH(A126,'Filtered G500'!$B$2:$B$999,)</f>
        <v>125</v>
      </c>
      <c r="J126" s="40"/>
    </row>
    <row r="127" spans="1:10" ht="14">
      <c r="A127" s="43" t="s">
        <v>786</v>
      </c>
      <c r="B127" s="43">
        <v>1</v>
      </c>
      <c r="C127" s="43" t="s">
        <v>2490</v>
      </c>
      <c r="D127" s="43" t="s">
        <v>2491</v>
      </c>
      <c r="E127" s="43" t="s">
        <v>2492</v>
      </c>
      <c r="F127" s="43" t="s">
        <v>2493</v>
      </c>
      <c r="G127" s="43" t="s">
        <v>2280</v>
      </c>
      <c r="H127" s="38">
        <f>MATCH(A127,'Filtered G500'!$B$2:$B$999,)</f>
        <v>126</v>
      </c>
      <c r="J127" s="40"/>
    </row>
    <row r="128" spans="1:10" ht="14">
      <c r="A128" s="43" t="s">
        <v>478</v>
      </c>
      <c r="B128" s="43">
        <v>2</v>
      </c>
      <c r="C128" s="43" t="s">
        <v>2494</v>
      </c>
      <c r="D128" s="43" t="s">
        <v>2495</v>
      </c>
      <c r="E128" s="43" t="s">
        <v>2496</v>
      </c>
      <c r="F128" s="43" t="s">
        <v>2497</v>
      </c>
      <c r="G128" s="43" t="s">
        <v>2498</v>
      </c>
      <c r="H128" s="38">
        <f>MATCH(A128,'Filtered G500'!$B$2:$B$999,)</f>
        <v>127</v>
      </c>
      <c r="J128" s="40"/>
    </row>
    <row r="129" spans="1:10" ht="14">
      <c r="A129" s="43" t="s">
        <v>1239</v>
      </c>
      <c r="B129" s="43">
        <v>3</v>
      </c>
      <c r="C129" s="43" t="s">
        <v>2499</v>
      </c>
      <c r="D129" s="43" t="s">
        <v>2500</v>
      </c>
      <c r="E129" s="43" t="s">
        <v>2277</v>
      </c>
      <c r="F129" s="43" t="s">
        <v>2501</v>
      </c>
      <c r="G129" s="43" t="s">
        <v>2502</v>
      </c>
      <c r="H129" s="38">
        <f>MATCH(A129,'Filtered G500'!$B$2:$B$999,)</f>
        <v>128</v>
      </c>
      <c r="J129" s="40"/>
    </row>
    <row r="130" spans="1:10" ht="14">
      <c r="A130" s="43" t="s">
        <v>628</v>
      </c>
      <c r="B130" s="43">
        <v>3</v>
      </c>
      <c r="C130" s="43" t="s">
        <v>2503</v>
      </c>
      <c r="D130" s="43" t="s">
        <v>2228</v>
      </c>
      <c r="E130" s="43" t="s">
        <v>2277</v>
      </c>
      <c r="F130" s="43" t="s">
        <v>2279</v>
      </c>
      <c r="G130" s="43" t="s">
        <v>2504</v>
      </c>
      <c r="H130" s="38">
        <f>MATCH(A130,'Filtered G500'!$B$2:$B$999,)</f>
        <v>129</v>
      </c>
      <c r="J130" s="40"/>
    </row>
    <row r="131" spans="1:10" ht="14">
      <c r="A131" s="43" t="s">
        <v>1250</v>
      </c>
      <c r="B131" s="43">
        <v>2</v>
      </c>
      <c r="C131" s="43" t="s">
        <v>2505</v>
      </c>
      <c r="D131" s="43" t="s">
        <v>2506</v>
      </c>
      <c r="E131" s="43" t="s">
        <v>2277</v>
      </c>
      <c r="F131" s="43" t="s">
        <v>2507</v>
      </c>
      <c r="G131" s="43" t="s">
        <v>2508</v>
      </c>
      <c r="H131" s="38">
        <f>MATCH(A131,'Filtered G500'!$B$2:$B$999,)</f>
        <v>130</v>
      </c>
      <c r="J131" s="40"/>
    </row>
    <row r="132" spans="1:10" ht="14">
      <c r="A132" s="43" t="s">
        <v>83</v>
      </c>
      <c r="B132" s="43">
        <v>3</v>
      </c>
      <c r="C132" s="43" t="s">
        <v>2509</v>
      </c>
      <c r="D132" s="43" t="s">
        <v>2228</v>
      </c>
      <c r="E132" s="43" t="s">
        <v>2277</v>
      </c>
      <c r="F132" s="43" t="s">
        <v>2279</v>
      </c>
      <c r="G132" s="43" t="s">
        <v>2510</v>
      </c>
      <c r="H132" s="38">
        <f>MATCH(A132,'Filtered G500'!$B$2:$B$999,)</f>
        <v>131</v>
      </c>
      <c r="J132" s="40"/>
    </row>
    <row r="133" spans="1:10" ht="14">
      <c r="A133" s="43" t="s">
        <v>779</v>
      </c>
      <c r="B133" s="43">
        <v>3</v>
      </c>
      <c r="C133" s="43" t="s">
        <v>2511</v>
      </c>
      <c r="D133" s="43" t="s">
        <v>2228</v>
      </c>
      <c r="E133" s="43" t="s">
        <v>2277</v>
      </c>
      <c r="F133" s="43" t="s">
        <v>2308</v>
      </c>
      <c r="G133" s="43" t="s">
        <v>2512</v>
      </c>
      <c r="H133" s="38">
        <f>MATCH(A133,'Filtered G500'!$B$2:$B$999,)</f>
        <v>132</v>
      </c>
      <c r="J133" s="40"/>
    </row>
    <row r="134" spans="1:10" ht="14">
      <c r="A134" s="43" t="s">
        <v>468</v>
      </c>
      <c r="B134" s="43">
        <v>3</v>
      </c>
      <c r="C134" s="43" t="s">
        <v>2513</v>
      </c>
      <c r="D134" s="43" t="s">
        <v>2228</v>
      </c>
      <c r="E134" s="43" t="s">
        <v>2277</v>
      </c>
      <c r="F134" s="43" t="s">
        <v>2279</v>
      </c>
      <c r="G134" s="43" t="s">
        <v>2514</v>
      </c>
      <c r="H134" s="38">
        <f>MATCH(A134,'Filtered G500'!$B$2:$B$999,)</f>
        <v>133</v>
      </c>
      <c r="J134" s="40"/>
    </row>
    <row r="135" spans="1:10" ht="14">
      <c r="A135" s="43" t="s">
        <v>482</v>
      </c>
      <c r="B135" s="43">
        <v>3</v>
      </c>
      <c r="C135" s="43" t="s">
        <v>2515</v>
      </c>
      <c r="D135" s="43" t="s">
        <v>2228</v>
      </c>
      <c r="E135" s="43" t="s">
        <v>2277</v>
      </c>
      <c r="F135" s="43" t="s">
        <v>2308</v>
      </c>
      <c r="G135" s="43" t="s">
        <v>2516</v>
      </c>
      <c r="H135" s="38">
        <f>MATCH(A135,'Filtered G500'!$B$2:$B$999,)</f>
        <v>134</v>
      </c>
      <c r="J135" s="40"/>
    </row>
    <row r="136" spans="1:10" ht="14">
      <c r="A136" s="43" t="s">
        <v>935</v>
      </c>
      <c r="B136" s="43">
        <v>3</v>
      </c>
      <c r="C136" s="43" t="s">
        <v>2517</v>
      </c>
      <c r="D136" s="43" t="s">
        <v>2228</v>
      </c>
      <c r="E136" s="43" t="s">
        <v>2277</v>
      </c>
      <c r="F136" s="43" t="s">
        <v>2308</v>
      </c>
      <c r="G136" s="43" t="s">
        <v>2280</v>
      </c>
      <c r="H136" s="38">
        <f>MATCH(A136,'Filtered G500'!$B$2:$B$999,)</f>
        <v>135</v>
      </c>
      <c r="J136" s="40"/>
    </row>
    <row r="137" spans="1:10" ht="14">
      <c r="A137" s="43" t="s">
        <v>748</v>
      </c>
      <c r="B137" s="43">
        <v>3</v>
      </c>
      <c r="C137" s="43" t="s">
        <v>2518</v>
      </c>
      <c r="D137" s="43" t="s">
        <v>2228</v>
      </c>
      <c r="E137" s="43" t="s">
        <v>2277</v>
      </c>
      <c r="F137" s="43" t="s">
        <v>2308</v>
      </c>
      <c r="G137" s="43" t="s">
        <v>2280</v>
      </c>
      <c r="H137" s="38">
        <f>MATCH(A137,'Filtered G500'!$B$2:$B$999,)</f>
        <v>136</v>
      </c>
      <c r="J137" s="40"/>
    </row>
    <row r="138" spans="1:10" ht="14">
      <c r="A138" s="43" t="s">
        <v>928</v>
      </c>
      <c r="B138" s="43">
        <v>3</v>
      </c>
      <c r="C138" s="43" t="s">
        <v>2519</v>
      </c>
      <c r="D138" s="43" t="s">
        <v>2228</v>
      </c>
      <c r="E138" s="43" t="s">
        <v>2277</v>
      </c>
      <c r="F138" s="43" t="s">
        <v>2279</v>
      </c>
      <c r="G138" s="43" t="s">
        <v>2520</v>
      </c>
      <c r="H138" s="38">
        <f>MATCH(A138,'Filtered G500'!$B$2:$B$999,)</f>
        <v>137</v>
      </c>
      <c r="J138" s="40"/>
    </row>
    <row r="139" spans="1:10" ht="14">
      <c r="A139" s="43" t="s">
        <v>495</v>
      </c>
      <c r="B139" s="43">
        <v>3</v>
      </c>
      <c r="C139" s="43" t="s">
        <v>2521</v>
      </c>
      <c r="D139" s="43" t="s">
        <v>2228</v>
      </c>
      <c r="E139" s="43" t="s">
        <v>2277</v>
      </c>
      <c r="F139" s="43" t="s">
        <v>2279</v>
      </c>
      <c r="G139" s="43" t="s">
        <v>2522</v>
      </c>
      <c r="H139" s="38">
        <f>MATCH(A139,'Filtered G500'!$B$2:$B$999,)</f>
        <v>138</v>
      </c>
      <c r="J139" s="40"/>
    </row>
    <row r="140" spans="1:10" ht="14">
      <c r="A140" s="38" t="s">
        <v>181</v>
      </c>
      <c r="B140" s="38">
        <v>1</v>
      </c>
      <c r="C140" s="38" t="s">
        <v>3091</v>
      </c>
      <c r="D140" s="38" t="s">
        <v>2383</v>
      </c>
      <c r="E140" s="38" t="s">
        <v>2384</v>
      </c>
      <c r="F140" s="38" t="s">
        <v>2385</v>
      </c>
      <c r="G140" s="38" t="s">
        <v>3092</v>
      </c>
      <c r="H140" s="38">
        <f>MATCH(A140,'Filtered G500'!$B$2:$B$999,)</f>
        <v>139</v>
      </c>
      <c r="J140" s="40"/>
    </row>
    <row r="141" spans="1:10" ht="14">
      <c r="A141" s="38" t="s">
        <v>1078</v>
      </c>
      <c r="B141" s="38">
        <v>1</v>
      </c>
      <c r="C141" s="38" t="s">
        <v>2386</v>
      </c>
      <c r="D141" s="38" t="s">
        <v>2387</v>
      </c>
      <c r="E141" s="38" t="s">
        <v>2388</v>
      </c>
      <c r="F141" s="38" t="s">
        <v>2389</v>
      </c>
      <c r="G141" s="38" t="s">
        <v>2390</v>
      </c>
      <c r="H141" s="38">
        <f>MATCH(A141,'Filtered G500'!$B$2:$B$999,)</f>
        <v>140</v>
      </c>
      <c r="J141" s="40"/>
    </row>
    <row r="142" spans="1:10" ht="14">
      <c r="A142" s="38" t="s">
        <v>492</v>
      </c>
      <c r="B142" s="38">
        <v>1</v>
      </c>
      <c r="C142" s="38" t="s">
        <v>2523</v>
      </c>
      <c r="D142" s="38" t="s">
        <v>2524</v>
      </c>
      <c r="E142" s="38" t="s">
        <v>2525</v>
      </c>
      <c r="F142" s="38" t="s">
        <v>2526</v>
      </c>
      <c r="G142" s="38" t="s">
        <v>2527</v>
      </c>
      <c r="H142" s="38">
        <f>MATCH(A142,'Filtered G500'!$B$2:$B$999,)</f>
        <v>141</v>
      </c>
      <c r="J142" s="40"/>
    </row>
    <row r="143" spans="1:10" ht="14">
      <c r="A143" s="38" t="s">
        <v>480</v>
      </c>
      <c r="B143" s="38">
        <v>1</v>
      </c>
      <c r="C143" s="38" t="s">
        <v>1477</v>
      </c>
      <c r="D143" s="38" t="s">
        <v>2345</v>
      </c>
      <c r="E143" s="38" t="s">
        <v>2376</v>
      </c>
      <c r="F143" s="38" t="s">
        <v>2528</v>
      </c>
      <c r="G143" s="38" t="s">
        <v>2529</v>
      </c>
      <c r="H143" s="38">
        <f>MATCH(A143,'Filtered G500'!$B$2:$B$999,)</f>
        <v>142</v>
      </c>
      <c r="J143" s="40"/>
    </row>
    <row r="144" spans="1:10" ht="14">
      <c r="A144" s="43" t="s">
        <v>953</v>
      </c>
      <c r="B144" s="43">
        <v>1</v>
      </c>
      <c r="C144" s="43" t="s">
        <v>2530</v>
      </c>
      <c r="D144" s="43" t="s">
        <v>2454</v>
      </c>
      <c r="E144" s="43" t="s">
        <v>2277</v>
      </c>
      <c r="F144" s="43" t="s">
        <v>2531</v>
      </c>
      <c r="G144" s="43" t="s">
        <v>2532</v>
      </c>
      <c r="H144" s="38">
        <f>MATCH(A144,'Filtered G500'!$B$2:$B$999,)</f>
        <v>143</v>
      </c>
      <c r="J144" s="40"/>
    </row>
    <row r="145" spans="1:10" ht="14">
      <c r="A145" s="38" t="s">
        <v>1140</v>
      </c>
      <c r="B145" s="38">
        <v>1</v>
      </c>
      <c r="C145" s="38" t="s">
        <v>2533</v>
      </c>
      <c r="D145" s="38" t="s">
        <v>2534</v>
      </c>
      <c r="E145" s="38" t="s">
        <v>2535</v>
      </c>
      <c r="F145" s="38" t="s">
        <v>2536</v>
      </c>
      <c r="G145" s="38" t="s">
        <v>2537</v>
      </c>
      <c r="H145" s="38">
        <f>MATCH(A145,'Filtered G500'!$B$2:$B$999,)</f>
        <v>144</v>
      </c>
      <c r="J145" s="40"/>
    </row>
    <row r="146" spans="1:10" ht="14">
      <c r="A146" s="43" t="s">
        <v>1187</v>
      </c>
      <c r="B146" s="43">
        <v>3</v>
      </c>
      <c r="C146" s="43" t="s">
        <v>2538</v>
      </c>
      <c r="D146" s="43" t="s">
        <v>2228</v>
      </c>
      <c r="E146" s="43" t="s">
        <v>2277</v>
      </c>
      <c r="F146" s="43" t="s">
        <v>2279</v>
      </c>
      <c r="G146" s="43" t="s">
        <v>2539</v>
      </c>
      <c r="H146" s="38">
        <f>MATCH(A146,'Filtered G500'!$B$2:$B$999,)</f>
        <v>145</v>
      </c>
      <c r="J146" s="40"/>
    </row>
    <row r="147" spans="1:10" ht="14">
      <c r="A147" s="43" t="s">
        <v>616</v>
      </c>
      <c r="B147" s="43">
        <v>3</v>
      </c>
      <c r="C147" s="43" t="s">
        <v>2540</v>
      </c>
      <c r="D147" s="43" t="s">
        <v>2228</v>
      </c>
      <c r="E147" s="43" t="s">
        <v>2277</v>
      </c>
      <c r="F147" s="43" t="s">
        <v>2279</v>
      </c>
      <c r="G147" s="43" t="s">
        <v>2541</v>
      </c>
      <c r="H147" s="38">
        <f>MATCH(A147,'Filtered G500'!$B$2:$B$999,)</f>
        <v>146</v>
      </c>
      <c r="J147" s="40"/>
    </row>
    <row r="148" spans="1:10" ht="14">
      <c r="A148" s="43" t="s">
        <v>734</v>
      </c>
      <c r="B148" s="43">
        <v>3</v>
      </c>
      <c r="C148" s="43" t="s">
        <v>2542</v>
      </c>
      <c r="D148" s="43" t="s">
        <v>2228</v>
      </c>
      <c r="E148" s="43" t="s">
        <v>2277</v>
      </c>
      <c r="F148" s="43" t="s">
        <v>2279</v>
      </c>
      <c r="G148" s="43" t="s">
        <v>2543</v>
      </c>
      <c r="H148" s="38">
        <f>MATCH(A148,'Filtered G500'!$B$2:$B$999,)</f>
        <v>147</v>
      </c>
      <c r="J148" s="40"/>
    </row>
    <row r="149" spans="1:10" ht="14">
      <c r="A149" s="43" t="s">
        <v>838</v>
      </c>
      <c r="B149" s="43">
        <v>3</v>
      </c>
      <c r="C149" s="43" t="s">
        <v>2544</v>
      </c>
      <c r="D149" s="43" t="s">
        <v>2228</v>
      </c>
      <c r="E149" s="43" t="s">
        <v>2277</v>
      </c>
      <c r="F149" s="43" t="s">
        <v>2308</v>
      </c>
      <c r="G149" s="43" t="s">
        <v>2545</v>
      </c>
      <c r="H149" s="38">
        <f>MATCH(A149,'Filtered G500'!$B$2:$B$999,)</f>
        <v>148</v>
      </c>
      <c r="J149" s="40"/>
    </row>
    <row r="150" spans="1:10" ht="14">
      <c r="A150" s="38" t="s">
        <v>158</v>
      </c>
      <c r="B150" s="38">
        <v>1</v>
      </c>
      <c r="C150" s="38" t="s">
        <v>2546</v>
      </c>
      <c r="D150" s="38" t="s">
        <v>2547</v>
      </c>
      <c r="E150" s="38" t="s">
        <v>2548</v>
      </c>
      <c r="F150" s="38" t="s">
        <v>2549</v>
      </c>
      <c r="G150" s="38" t="s">
        <v>2550</v>
      </c>
      <c r="H150" s="38">
        <f>MATCH(A150,'Filtered G500'!$B$2:$B$999,)</f>
        <v>149</v>
      </c>
      <c r="J150" s="40"/>
    </row>
    <row r="151" spans="1:10" ht="14">
      <c r="A151" s="38" t="s">
        <v>70</v>
      </c>
      <c r="B151" s="38">
        <v>2</v>
      </c>
      <c r="C151" s="38" t="s">
        <v>2551</v>
      </c>
      <c r="D151" s="38" t="s">
        <v>2552</v>
      </c>
      <c r="E151" s="38" t="s">
        <v>2553</v>
      </c>
      <c r="F151" s="38" t="s">
        <v>2554</v>
      </c>
      <c r="G151" s="38" t="s">
        <v>2555</v>
      </c>
      <c r="H151" s="38">
        <f>MATCH(A151,'Filtered G500'!$B$2:$B$999,)</f>
        <v>150</v>
      </c>
      <c r="J151" s="40"/>
    </row>
    <row r="152" spans="1:10" ht="14">
      <c r="A152" s="38" t="s">
        <v>211</v>
      </c>
      <c r="B152" s="38">
        <v>2</v>
      </c>
      <c r="C152" s="38" t="s">
        <v>2556</v>
      </c>
      <c r="D152" s="38" t="s">
        <v>2557</v>
      </c>
      <c r="E152" s="38" t="s">
        <v>2558</v>
      </c>
      <c r="F152" s="38" t="s">
        <v>2559</v>
      </c>
      <c r="G152" s="38" t="s">
        <v>2560</v>
      </c>
      <c r="H152" s="38">
        <f>MATCH(A152,'Filtered G500'!$B$2:$B$999,)</f>
        <v>151</v>
      </c>
      <c r="J152" s="40"/>
    </row>
    <row r="153" spans="1:10" ht="14">
      <c r="A153" s="38" t="s">
        <v>915</v>
      </c>
      <c r="B153" s="38">
        <v>2</v>
      </c>
      <c r="C153" s="38" t="s">
        <v>2561</v>
      </c>
      <c r="D153" s="38" t="s">
        <v>2562</v>
      </c>
      <c r="E153" s="38" t="s">
        <v>2563</v>
      </c>
      <c r="F153" s="38" t="s">
        <v>2564</v>
      </c>
      <c r="G153" s="38" t="s">
        <v>2565</v>
      </c>
      <c r="H153" s="38">
        <f>MATCH(A153,'Filtered G500'!$B$2:$B$999,)</f>
        <v>152</v>
      </c>
      <c r="J153" s="40"/>
    </row>
    <row r="154" spans="1:10" ht="14">
      <c r="A154" s="43" t="s">
        <v>968</v>
      </c>
      <c r="B154" s="43">
        <v>1</v>
      </c>
      <c r="C154" s="43" t="s">
        <v>2566</v>
      </c>
      <c r="D154" s="43" t="s">
        <v>2567</v>
      </c>
      <c r="E154" s="43" t="s">
        <v>2277</v>
      </c>
      <c r="F154" s="43" t="s">
        <v>2568</v>
      </c>
      <c r="G154" s="43" t="s">
        <v>2569</v>
      </c>
      <c r="H154" s="38">
        <f>MATCH(A154,'Filtered G500'!$B$2:$B$999,)</f>
        <v>153</v>
      </c>
      <c r="J154" s="40"/>
    </row>
    <row r="155" spans="1:10" ht="14">
      <c r="A155" s="43" t="s">
        <v>1369</v>
      </c>
      <c r="B155" s="43">
        <v>3</v>
      </c>
      <c r="C155" s="43" t="s">
        <v>2570</v>
      </c>
      <c r="D155" s="43" t="s">
        <v>2228</v>
      </c>
      <c r="E155" s="43" t="s">
        <v>2277</v>
      </c>
      <c r="F155" s="43" t="s">
        <v>2279</v>
      </c>
      <c r="G155" s="43" t="s">
        <v>2571</v>
      </c>
      <c r="H155" s="38">
        <f>MATCH(A155,'Filtered G500'!$B$2:$B$999,)</f>
        <v>154</v>
      </c>
      <c r="J155" s="40"/>
    </row>
    <row r="156" spans="1:10" ht="14">
      <c r="A156" s="43" t="s">
        <v>415</v>
      </c>
      <c r="B156" s="43">
        <v>3</v>
      </c>
      <c r="C156" s="43" t="s">
        <v>2572</v>
      </c>
      <c r="D156" s="43" t="s">
        <v>2228</v>
      </c>
      <c r="E156" s="43" t="s">
        <v>2277</v>
      </c>
      <c r="F156" s="43" t="s">
        <v>2279</v>
      </c>
      <c r="G156" s="43" t="s">
        <v>2280</v>
      </c>
      <c r="H156" s="38">
        <f>MATCH(A156,'Filtered G500'!$B$2:$B$999,)</f>
        <v>155</v>
      </c>
      <c r="J156" s="40"/>
    </row>
    <row r="157" spans="1:10" ht="14">
      <c r="A157" s="43" t="s">
        <v>420</v>
      </c>
      <c r="B157" s="43">
        <v>3</v>
      </c>
      <c r="C157" s="43" t="s">
        <v>2573</v>
      </c>
      <c r="D157" s="43" t="s">
        <v>2228</v>
      </c>
      <c r="E157" s="43" t="s">
        <v>2277</v>
      </c>
      <c r="F157" s="43" t="s">
        <v>2279</v>
      </c>
      <c r="G157" s="43" t="s">
        <v>2574</v>
      </c>
      <c r="H157" s="38">
        <f>MATCH(A157,'Filtered G500'!$B$2:$B$999,)</f>
        <v>156</v>
      </c>
      <c r="J157" s="40"/>
    </row>
    <row r="158" spans="1:10" ht="14">
      <c r="A158" s="38" t="s">
        <v>265</v>
      </c>
      <c r="B158" s="38">
        <v>0</v>
      </c>
      <c r="C158" s="38"/>
      <c r="D158" s="38" t="s">
        <v>2228</v>
      </c>
      <c r="E158" s="39" t="s">
        <v>3049</v>
      </c>
      <c r="F158" s="38" t="s">
        <v>3050</v>
      </c>
      <c r="G158" s="38" t="s">
        <v>3051</v>
      </c>
      <c r="H158" s="38">
        <f>MATCH(A158,'Filtered G500'!$B$2:$B$999,)</f>
        <v>157</v>
      </c>
      <c r="J158" s="40"/>
    </row>
    <row r="159" spans="1:10" ht="14">
      <c r="A159" s="43" t="s">
        <v>1227</v>
      </c>
      <c r="B159" s="43">
        <v>3</v>
      </c>
      <c r="C159" s="43" t="s">
        <v>2575</v>
      </c>
      <c r="D159" s="43" t="s">
        <v>2228</v>
      </c>
      <c r="E159" s="43" t="s">
        <v>2277</v>
      </c>
      <c r="F159" s="43" t="s">
        <v>2279</v>
      </c>
      <c r="G159" s="43" t="s">
        <v>2280</v>
      </c>
      <c r="H159" s="38">
        <f>MATCH(A159,'Filtered G500'!$B$2:$B$999,)</f>
        <v>158</v>
      </c>
      <c r="J159" s="40"/>
    </row>
    <row r="160" spans="1:10" ht="14">
      <c r="A160" s="43" t="s">
        <v>750</v>
      </c>
      <c r="B160" s="43">
        <v>3</v>
      </c>
      <c r="C160" s="43" t="s">
        <v>2576</v>
      </c>
      <c r="D160" s="43" t="s">
        <v>2228</v>
      </c>
      <c r="E160" s="43" t="s">
        <v>2277</v>
      </c>
      <c r="F160" s="43" t="s">
        <v>2279</v>
      </c>
      <c r="G160" s="43" t="s">
        <v>2577</v>
      </c>
      <c r="H160" s="38">
        <f>MATCH(A160,'Filtered G500'!$B$2:$B$999,)</f>
        <v>159</v>
      </c>
      <c r="J160" s="40"/>
    </row>
    <row r="161" spans="1:10" ht="14">
      <c r="A161" s="43" t="s">
        <v>593</v>
      </c>
      <c r="B161" s="43">
        <v>3</v>
      </c>
      <c r="C161" s="43" t="s">
        <v>2578</v>
      </c>
      <c r="D161" s="43" t="s">
        <v>2228</v>
      </c>
      <c r="E161" s="43" t="s">
        <v>2277</v>
      </c>
      <c r="F161" s="43" t="s">
        <v>2308</v>
      </c>
      <c r="G161" s="43" t="s">
        <v>2579</v>
      </c>
      <c r="H161" s="38">
        <f>MATCH(A161,'Filtered G500'!$B$2:$B$999,)</f>
        <v>160</v>
      </c>
      <c r="J161" s="40"/>
    </row>
    <row r="162" spans="1:10" ht="14">
      <c r="A162" s="43" t="s">
        <v>1007</v>
      </c>
      <c r="B162" s="43">
        <v>3</v>
      </c>
      <c r="C162" s="43" t="s">
        <v>2580</v>
      </c>
      <c r="D162" s="43" t="s">
        <v>2228</v>
      </c>
      <c r="E162" s="43" t="s">
        <v>2277</v>
      </c>
      <c r="F162" s="43" t="s">
        <v>2581</v>
      </c>
      <c r="G162" s="43" t="s">
        <v>2582</v>
      </c>
      <c r="H162" s="38">
        <f>MATCH(A162,'Filtered G500'!$B$2:$B$999,)</f>
        <v>161</v>
      </c>
      <c r="J162" s="40"/>
    </row>
    <row r="163" spans="1:10" ht="14">
      <c r="A163" s="43" t="s">
        <v>1232</v>
      </c>
      <c r="B163" s="43">
        <v>3</v>
      </c>
      <c r="C163" s="43" t="s">
        <v>2583</v>
      </c>
      <c r="D163" s="43" t="s">
        <v>2228</v>
      </c>
      <c r="E163" s="43" t="s">
        <v>2277</v>
      </c>
      <c r="F163" s="43" t="s">
        <v>2308</v>
      </c>
      <c r="G163" s="43" t="s">
        <v>2584</v>
      </c>
      <c r="H163" s="38">
        <f>MATCH(A163,'Filtered G500'!$B$2:$B$999,)</f>
        <v>162</v>
      </c>
      <c r="J163" s="40"/>
    </row>
    <row r="164" spans="1:10" ht="14">
      <c r="A164" s="43" t="s">
        <v>458</v>
      </c>
      <c r="B164" s="43">
        <v>3</v>
      </c>
      <c r="C164" s="43" t="s">
        <v>2585</v>
      </c>
      <c r="D164" s="43" t="s">
        <v>2228</v>
      </c>
      <c r="E164" s="43" t="s">
        <v>2277</v>
      </c>
      <c r="F164" s="43" t="s">
        <v>2308</v>
      </c>
      <c r="G164" s="43" t="s">
        <v>2586</v>
      </c>
      <c r="H164" s="38">
        <f>MATCH(A164,'Filtered G500'!$B$2:$B$999,)</f>
        <v>163</v>
      </c>
      <c r="J164" s="40"/>
    </row>
    <row r="165" spans="1:10" ht="14">
      <c r="A165" s="43" t="s">
        <v>913</v>
      </c>
      <c r="B165" s="43">
        <v>3</v>
      </c>
      <c r="C165" s="43" t="s">
        <v>2587</v>
      </c>
      <c r="D165" s="43" t="s">
        <v>2228</v>
      </c>
      <c r="E165" s="43" t="s">
        <v>2277</v>
      </c>
      <c r="F165" s="43" t="s">
        <v>2279</v>
      </c>
      <c r="G165" s="43" t="s">
        <v>2588</v>
      </c>
      <c r="H165" s="38">
        <f>MATCH(A165,'Filtered G500'!$B$2:$B$999,)</f>
        <v>164</v>
      </c>
      <c r="J165" s="40"/>
    </row>
    <row r="166" spans="1:10" ht="14">
      <c r="A166" s="43" t="s">
        <v>359</v>
      </c>
      <c r="B166" s="43">
        <v>3</v>
      </c>
      <c r="C166" s="43" t="s">
        <v>2589</v>
      </c>
      <c r="D166" s="43" t="s">
        <v>2228</v>
      </c>
      <c r="E166" s="43" t="s">
        <v>2277</v>
      </c>
      <c r="F166" s="43" t="s">
        <v>2279</v>
      </c>
      <c r="G166" s="43" t="s">
        <v>2280</v>
      </c>
      <c r="H166" s="38">
        <f>MATCH(A166,'Filtered G500'!$B$2:$B$999,)</f>
        <v>165</v>
      </c>
      <c r="J166" s="40"/>
    </row>
    <row r="167" spans="1:10" ht="14">
      <c r="A167" s="43" t="s">
        <v>1072</v>
      </c>
      <c r="B167" s="43">
        <v>1</v>
      </c>
      <c r="C167" s="43" t="s">
        <v>2590</v>
      </c>
      <c r="D167" s="43" t="s">
        <v>2591</v>
      </c>
      <c r="E167" s="43" t="s">
        <v>2492</v>
      </c>
      <c r="F167" s="43" t="s">
        <v>2592</v>
      </c>
      <c r="G167" s="43" t="s">
        <v>2280</v>
      </c>
      <c r="H167" s="38">
        <f>MATCH(A167,'Filtered G500'!$B$2:$B$999,)</f>
        <v>166</v>
      </c>
      <c r="J167" s="40"/>
    </row>
    <row r="168" spans="1:10" ht="14">
      <c r="A168" s="43" t="s">
        <v>853</v>
      </c>
      <c r="B168" s="43">
        <v>1</v>
      </c>
      <c r="C168" s="43" t="s">
        <v>2593</v>
      </c>
      <c r="D168" s="43" t="s">
        <v>2594</v>
      </c>
      <c r="E168" s="43" t="s">
        <v>2277</v>
      </c>
      <c r="F168" s="43" t="s">
        <v>2595</v>
      </c>
      <c r="G168" s="43" t="s">
        <v>2280</v>
      </c>
      <c r="H168" s="38">
        <f>MATCH(A168,'Filtered G500'!$B$2:$B$999,)</f>
        <v>167</v>
      </c>
      <c r="J168" s="40"/>
    </row>
    <row r="169" spans="1:10" ht="14">
      <c r="A169" s="43" t="s">
        <v>1217</v>
      </c>
      <c r="B169" s="43">
        <v>2</v>
      </c>
      <c r="C169" s="43" t="s">
        <v>2596</v>
      </c>
      <c r="D169" s="43" t="s">
        <v>2597</v>
      </c>
      <c r="E169" s="43" t="s">
        <v>2277</v>
      </c>
      <c r="F169" s="43" t="s">
        <v>2598</v>
      </c>
      <c r="G169" s="43" t="s">
        <v>2599</v>
      </c>
      <c r="H169" s="38">
        <f>MATCH(A169,'Filtered G500'!$B$2:$B$999,)</f>
        <v>168</v>
      </c>
      <c r="J169" s="40"/>
    </row>
    <row r="170" spans="1:10" ht="14">
      <c r="A170" s="38" t="s">
        <v>719</v>
      </c>
      <c r="B170" s="38">
        <v>1</v>
      </c>
      <c r="C170" s="38" t="s">
        <v>2600</v>
      </c>
      <c r="D170" s="38" t="s">
        <v>2601</v>
      </c>
      <c r="E170" s="38" t="s">
        <v>2602</v>
      </c>
      <c r="F170" s="38" t="s">
        <v>2603</v>
      </c>
      <c r="G170" s="38" t="s">
        <v>2604</v>
      </c>
      <c r="H170" s="38">
        <f>MATCH(A170,'Filtered G500'!$B$2:$B$999,)</f>
        <v>169</v>
      </c>
      <c r="J170" s="40"/>
    </row>
    <row r="171" spans="1:10" ht="14">
      <c r="A171" s="43" t="s">
        <v>793</v>
      </c>
      <c r="B171" s="43">
        <v>2</v>
      </c>
      <c r="C171" s="43" t="s">
        <v>2605</v>
      </c>
      <c r="D171" s="43" t="s">
        <v>2378</v>
      </c>
      <c r="E171" s="43" t="s">
        <v>2492</v>
      </c>
      <c r="F171" s="43" t="s">
        <v>2606</v>
      </c>
      <c r="G171" s="43" t="s">
        <v>2607</v>
      </c>
      <c r="H171" s="38">
        <f>MATCH(A171,'Filtered G500'!$B$2:$B$999,)</f>
        <v>170</v>
      </c>
      <c r="J171" s="40"/>
    </row>
    <row r="172" spans="1:10" ht="14">
      <c r="A172" s="38" t="s">
        <v>129</v>
      </c>
      <c r="B172" s="38">
        <v>3</v>
      </c>
      <c r="C172" s="38" t="s">
        <v>2608</v>
      </c>
      <c r="D172" s="38" t="s">
        <v>2228</v>
      </c>
      <c r="E172" s="38" t="s">
        <v>2609</v>
      </c>
      <c r="F172" s="38" t="s">
        <v>2610</v>
      </c>
      <c r="G172" s="38" t="s">
        <v>2611</v>
      </c>
      <c r="H172" s="38">
        <f>MATCH(A172,'Filtered G500'!$B$2:$B$999,)</f>
        <v>171</v>
      </c>
      <c r="J172" s="40"/>
    </row>
    <row r="173" spans="1:10" ht="14">
      <c r="A173" s="38" t="s">
        <v>311</v>
      </c>
      <c r="B173" s="38">
        <v>2</v>
      </c>
      <c r="C173" s="38" t="s">
        <v>2612</v>
      </c>
      <c r="D173" s="38" t="s">
        <v>2613</v>
      </c>
      <c r="E173" s="38" t="s">
        <v>2614</v>
      </c>
      <c r="F173" s="38" t="s">
        <v>2615</v>
      </c>
      <c r="G173" s="38" t="s">
        <v>2616</v>
      </c>
      <c r="H173" s="38">
        <f>MATCH(A173,'Filtered G500'!$B$2:$B$999,)</f>
        <v>172</v>
      </c>
      <c r="J173" s="40"/>
    </row>
    <row r="174" spans="1:10" ht="14">
      <c r="A174" s="38" t="s">
        <v>293</v>
      </c>
      <c r="B174" s="38">
        <v>2</v>
      </c>
      <c r="C174" s="38" t="s">
        <v>2617</v>
      </c>
      <c r="D174" s="38" t="s">
        <v>2618</v>
      </c>
      <c r="E174" s="38" t="s">
        <v>2619</v>
      </c>
      <c r="F174" s="38" t="s">
        <v>2620</v>
      </c>
      <c r="G174" s="38" t="s">
        <v>2621</v>
      </c>
      <c r="H174" s="38">
        <f>MATCH(A174,'Filtered G500'!$B$2:$B$999,)</f>
        <v>173</v>
      </c>
      <c r="J174" s="40"/>
    </row>
    <row r="175" spans="1:10" ht="14">
      <c r="A175" s="43" t="s">
        <v>772</v>
      </c>
      <c r="B175" s="43">
        <v>3</v>
      </c>
      <c r="C175" s="43" t="s">
        <v>2622</v>
      </c>
      <c r="D175" s="43" t="s">
        <v>2228</v>
      </c>
      <c r="E175" s="43" t="s">
        <v>2277</v>
      </c>
      <c r="F175" s="43" t="s">
        <v>2279</v>
      </c>
      <c r="G175" s="43" t="s">
        <v>2623</v>
      </c>
      <c r="H175" s="38">
        <f>MATCH(A175,'Filtered G500'!$B$2:$B$999,)</f>
        <v>174</v>
      </c>
      <c r="J175" s="40"/>
    </row>
    <row r="176" spans="1:10" ht="14">
      <c r="A176" s="43" t="s">
        <v>357</v>
      </c>
      <c r="B176" s="43">
        <v>2</v>
      </c>
      <c r="C176" s="43" t="s">
        <v>2624</v>
      </c>
      <c r="D176" s="43" t="s">
        <v>2625</v>
      </c>
      <c r="E176" s="43" t="s">
        <v>2277</v>
      </c>
      <c r="F176" s="43" t="s">
        <v>2626</v>
      </c>
      <c r="G176" s="43" t="s">
        <v>2627</v>
      </c>
      <c r="H176" s="38">
        <f>MATCH(A176,'Filtered G500'!$B$2:$B$999,)</f>
        <v>175</v>
      </c>
      <c r="J176" s="40"/>
    </row>
    <row r="177" spans="1:10" ht="14">
      <c r="A177" s="43" t="s">
        <v>430</v>
      </c>
      <c r="B177" s="43">
        <v>3</v>
      </c>
      <c r="C177" s="43" t="s">
        <v>2628</v>
      </c>
      <c r="D177" s="43" t="s">
        <v>2228</v>
      </c>
      <c r="E177" s="43" t="s">
        <v>2277</v>
      </c>
      <c r="F177" s="43" t="s">
        <v>2308</v>
      </c>
      <c r="G177" s="43" t="s">
        <v>2629</v>
      </c>
      <c r="H177" s="38">
        <f>MATCH(A177,'Filtered G500'!$B$2:$B$999,)</f>
        <v>176</v>
      </c>
      <c r="J177" s="40"/>
    </row>
    <row r="178" spans="1:10" ht="14">
      <c r="A178" s="43" t="s">
        <v>778</v>
      </c>
      <c r="B178" s="43">
        <v>3</v>
      </c>
      <c r="C178" s="43" t="s">
        <v>2630</v>
      </c>
      <c r="D178" s="43" t="s">
        <v>2631</v>
      </c>
      <c r="E178" s="43" t="s">
        <v>2277</v>
      </c>
      <c r="F178" s="43" t="s">
        <v>2632</v>
      </c>
      <c r="G178" s="43" t="s">
        <v>2633</v>
      </c>
      <c r="H178" s="38">
        <f>MATCH(A178,'Filtered G500'!$B$2:$B$999,)</f>
        <v>177</v>
      </c>
      <c r="J178" s="40"/>
    </row>
    <row r="179" spans="1:10" ht="14">
      <c r="A179" s="38" t="s">
        <v>283</v>
      </c>
      <c r="B179" s="38">
        <v>1</v>
      </c>
      <c r="C179" s="38" t="s">
        <v>2634</v>
      </c>
      <c r="D179" s="38" t="s">
        <v>2635</v>
      </c>
      <c r="E179" s="38" t="s">
        <v>2636</v>
      </c>
      <c r="F179" s="38" t="s">
        <v>2637</v>
      </c>
      <c r="G179" s="38" t="s">
        <v>2638</v>
      </c>
      <c r="H179" s="38">
        <f>MATCH(A179,'Filtered G500'!$B$2:$B$999,)</f>
        <v>178</v>
      </c>
      <c r="J179" s="40"/>
    </row>
    <row r="180" spans="1:10" ht="14">
      <c r="A180" s="38" t="s">
        <v>525</v>
      </c>
      <c r="B180" s="38">
        <v>1</v>
      </c>
      <c r="C180" s="38" t="s">
        <v>1477</v>
      </c>
      <c r="D180" s="38" t="s">
        <v>2345</v>
      </c>
      <c r="E180" s="38" t="s">
        <v>2376</v>
      </c>
      <c r="F180" s="38" t="s">
        <v>2639</v>
      </c>
      <c r="G180" s="38" t="s">
        <v>2640</v>
      </c>
      <c r="H180" s="38">
        <f>MATCH(A180,'Filtered G500'!$B$2:$B$999,)</f>
        <v>179</v>
      </c>
      <c r="J180" s="40"/>
    </row>
    <row r="181" spans="1:10" ht="14">
      <c r="A181" s="43" t="s">
        <v>1416</v>
      </c>
      <c r="B181" s="43">
        <v>1</v>
      </c>
      <c r="C181" s="43" t="s">
        <v>2641</v>
      </c>
      <c r="D181" s="43" t="s">
        <v>2642</v>
      </c>
      <c r="E181" s="43" t="s">
        <v>2277</v>
      </c>
      <c r="F181" s="43" t="s">
        <v>2643</v>
      </c>
      <c r="G181" s="43" t="s">
        <v>2280</v>
      </c>
      <c r="H181" s="38">
        <f>MATCH(A181,'Filtered G500'!$B$2:$B$999,)</f>
        <v>180</v>
      </c>
      <c r="J181" s="40"/>
    </row>
    <row r="182" spans="1:10" ht="14">
      <c r="A182" s="43" t="s">
        <v>869</v>
      </c>
      <c r="B182" s="43">
        <v>1</v>
      </c>
      <c r="C182" s="43" t="s">
        <v>2644</v>
      </c>
      <c r="D182" s="43" t="s">
        <v>2645</v>
      </c>
      <c r="E182" s="43" t="s">
        <v>2277</v>
      </c>
      <c r="F182" s="43" t="s">
        <v>2455</v>
      </c>
      <c r="G182" s="43" t="s">
        <v>2280</v>
      </c>
      <c r="H182" s="38">
        <f>MATCH(A182,'Filtered G500'!$B$2:$B$999,)</f>
        <v>181</v>
      </c>
      <c r="J182" s="40"/>
    </row>
    <row r="183" spans="1:10" ht="14">
      <c r="A183" s="43" t="s">
        <v>1001</v>
      </c>
      <c r="B183" s="43">
        <v>1</v>
      </c>
      <c r="C183" s="43" t="s">
        <v>2646</v>
      </c>
      <c r="D183" s="43" t="s">
        <v>2647</v>
      </c>
      <c r="E183" s="43" t="s">
        <v>2277</v>
      </c>
      <c r="F183" s="43" t="s">
        <v>2568</v>
      </c>
      <c r="G183" s="43" t="s">
        <v>2648</v>
      </c>
      <c r="H183" s="38">
        <f>MATCH(A183,'Filtered G500'!$B$2:$B$999,)</f>
        <v>182</v>
      </c>
      <c r="J183" s="40"/>
    </row>
    <row r="184" spans="1:10" ht="14">
      <c r="A184" s="43" t="s">
        <v>634</v>
      </c>
      <c r="B184" s="43">
        <v>2</v>
      </c>
      <c r="C184" s="43" t="s">
        <v>2649</v>
      </c>
      <c r="D184" s="43" t="s">
        <v>2650</v>
      </c>
      <c r="E184" s="43" t="s">
        <v>2277</v>
      </c>
      <c r="F184" s="43" t="s">
        <v>2651</v>
      </c>
      <c r="G184" s="43" t="s">
        <v>2652</v>
      </c>
      <c r="H184" s="38">
        <f>MATCH(A184,'Filtered G500'!$B$2:$B$999,)</f>
        <v>183</v>
      </c>
      <c r="J184" s="40"/>
    </row>
    <row r="185" spans="1:10" ht="14">
      <c r="A185" s="43" t="s">
        <v>608</v>
      </c>
      <c r="B185" s="43">
        <v>2</v>
      </c>
      <c r="C185" s="43" t="s">
        <v>2653</v>
      </c>
      <c r="D185" s="43" t="s">
        <v>2654</v>
      </c>
      <c r="E185" s="43" t="s">
        <v>2380</v>
      </c>
      <c r="F185" s="43" t="s">
        <v>2655</v>
      </c>
      <c r="G185" s="43" t="s">
        <v>2656</v>
      </c>
      <c r="H185" s="38">
        <f>MATCH(A185,'Filtered G500'!$B$2:$B$999,)</f>
        <v>184</v>
      </c>
      <c r="J185" s="40"/>
    </row>
    <row r="186" spans="1:10" ht="14">
      <c r="A186" s="43" t="s">
        <v>998</v>
      </c>
      <c r="B186" s="43">
        <v>1</v>
      </c>
      <c r="C186" s="43" t="s">
        <v>2657</v>
      </c>
      <c r="D186" s="43" t="s">
        <v>2658</v>
      </c>
      <c r="E186" s="43" t="s">
        <v>2277</v>
      </c>
      <c r="F186" s="43" t="s">
        <v>2659</v>
      </c>
      <c r="G186" s="43" t="s">
        <v>2660</v>
      </c>
      <c r="H186" s="38">
        <f>MATCH(A186,'Filtered G500'!$B$2:$B$999,)</f>
        <v>185</v>
      </c>
      <c r="J186" s="40"/>
    </row>
    <row r="187" spans="1:10" ht="14">
      <c r="A187" s="43" t="s">
        <v>999</v>
      </c>
      <c r="B187" s="43">
        <v>1</v>
      </c>
      <c r="C187" s="43" t="s">
        <v>2661</v>
      </c>
      <c r="D187" s="43" t="s">
        <v>2662</v>
      </c>
      <c r="E187" s="43" t="s">
        <v>2496</v>
      </c>
      <c r="F187" s="43" t="s">
        <v>2663</v>
      </c>
      <c r="G187" s="43" t="s">
        <v>2280</v>
      </c>
      <c r="H187" s="38">
        <f>MATCH(A187,'Filtered G500'!$B$2:$B$999,)</f>
        <v>186</v>
      </c>
      <c r="J187" s="40"/>
    </row>
    <row r="188" spans="1:10" ht="14">
      <c r="A188" s="43" t="s">
        <v>752</v>
      </c>
      <c r="B188" s="43">
        <v>3</v>
      </c>
      <c r="C188" s="43" t="s">
        <v>2664</v>
      </c>
      <c r="D188" s="43" t="s">
        <v>2228</v>
      </c>
      <c r="E188" s="43" t="s">
        <v>2277</v>
      </c>
      <c r="F188" s="43" t="s">
        <v>2665</v>
      </c>
      <c r="G188" s="43" t="s">
        <v>2666</v>
      </c>
      <c r="H188" s="38">
        <f>MATCH(A188,'Filtered G500'!$B$2:$B$999,)</f>
        <v>187</v>
      </c>
      <c r="J188" s="40"/>
    </row>
    <row r="189" spans="1:10" ht="14">
      <c r="A189" s="43" t="s">
        <v>1353</v>
      </c>
      <c r="B189" s="43">
        <v>2</v>
      </c>
      <c r="C189" s="43" t="s">
        <v>2667</v>
      </c>
      <c r="D189" s="43" t="s">
        <v>2668</v>
      </c>
      <c r="E189" s="43" t="s">
        <v>2277</v>
      </c>
      <c r="F189" s="43" t="s">
        <v>2669</v>
      </c>
      <c r="G189" s="43" t="s">
        <v>2670</v>
      </c>
      <c r="H189" s="38">
        <f>MATCH(A189,'Filtered G500'!$B$2:$B$999,)</f>
        <v>188</v>
      </c>
      <c r="J189" s="40"/>
    </row>
    <row r="190" spans="1:10" ht="14">
      <c r="A190" s="43" t="s">
        <v>354</v>
      </c>
      <c r="B190" s="43">
        <v>3</v>
      </c>
      <c r="C190" s="43" t="s">
        <v>2671</v>
      </c>
      <c r="D190" s="43" t="s">
        <v>2228</v>
      </c>
      <c r="E190" s="43" t="s">
        <v>2277</v>
      </c>
      <c r="F190" s="43" t="s">
        <v>2279</v>
      </c>
      <c r="G190" s="43" t="s">
        <v>2672</v>
      </c>
      <c r="H190" s="38">
        <f>MATCH(A190,'Filtered G500'!$B$2:$B$999,)</f>
        <v>189</v>
      </c>
      <c r="J190" s="40"/>
    </row>
    <row r="191" spans="1:10" ht="14">
      <c r="A191" s="43" t="s">
        <v>574</v>
      </c>
      <c r="B191" s="43">
        <v>1</v>
      </c>
      <c r="C191" s="43" t="s">
        <v>2673</v>
      </c>
      <c r="D191" s="43" t="s">
        <v>2674</v>
      </c>
      <c r="E191" s="43" t="s">
        <v>2277</v>
      </c>
      <c r="F191" s="43" t="s">
        <v>2675</v>
      </c>
      <c r="G191" s="43" t="s">
        <v>2676</v>
      </c>
      <c r="H191" s="38">
        <f>MATCH(A191,'Filtered G500'!$B$2:$B$999,)</f>
        <v>190</v>
      </c>
      <c r="J191" s="40"/>
    </row>
    <row r="192" spans="1:10" ht="14">
      <c r="A192" s="43" t="s">
        <v>601</v>
      </c>
      <c r="B192" s="43">
        <v>3</v>
      </c>
      <c r="C192" s="43" t="s">
        <v>2677</v>
      </c>
      <c r="D192" s="43" t="s">
        <v>2228</v>
      </c>
      <c r="E192" s="43" t="s">
        <v>2277</v>
      </c>
      <c r="F192" s="43" t="s">
        <v>2308</v>
      </c>
      <c r="G192" s="43" t="s">
        <v>2678</v>
      </c>
      <c r="H192" s="38">
        <f>MATCH(A192,'Filtered G500'!$B$2:$B$999,)</f>
        <v>191</v>
      </c>
      <c r="J192" s="40"/>
    </row>
    <row r="193" spans="1:10" ht="14">
      <c r="A193" s="43" t="s">
        <v>669</v>
      </c>
      <c r="B193" s="43">
        <v>1</v>
      </c>
      <c r="C193" s="43" t="s">
        <v>2679</v>
      </c>
      <c r="D193" s="43" t="s">
        <v>2642</v>
      </c>
      <c r="E193" s="43" t="s">
        <v>2277</v>
      </c>
      <c r="F193" s="43" t="s">
        <v>2680</v>
      </c>
      <c r="G193" s="43" t="s">
        <v>2681</v>
      </c>
      <c r="H193" s="38">
        <f>MATCH(A193,'Filtered G500'!$B$2:$B$999,)</f>
        <v>192</v>
      </c>
      <c r="J193" s="40"/>
    </row>
    <row r="194" spans="1:10" ht="14">
      <c r="A194" s="43" t="s">
        <v>186</v>
      </c>
      <c r="B194" s="43">
        <v>3</v>
      </c>
      <c r="C194" s="43" t="s">
        <v>2682</v>
      </c>
      <c r="D194" s="43" t="s">
        <v>2228</v>
      </c>
      <c r="E194" s="43" t="s">
        <v>2277</v>
      </c>
      <c r="F194" s="43" t="s">
        <v>2279</v>
      </c>
      <c r="G194" s="43" t="s">
        <v>2683</v>
      </c>
      <c r="H194" s="38">
        <f>MATCH(A194,'Filtered G500'!$B$2:$B$999,)</f>
        <v>193</v>
      </c>
      <c r="J194" s="40"/>
    </row>
    <row r="195" spans="1:10" ht="14">
      <c r="A195" s="43" t="s">
        <v>372</v>
      </c>
      <c r="B195" s="43">
        <v>1</v>
      </c>
      <c r="C195" s="43" t="s">
        <v>2684</v>
      </c>
      <c r="D195" s="43" t="s">
        <v>2591</v>
      </c>
      <c r="E195" s="43" t="s">
        <v>2496</v>
      </c>
      <c r="F195" s="43" t="s">
        <v>2592</v>
      </c>
      <c r="G195" s="43" t="s">
        <v>2280</v>
      </c>
      <c r="H195" s="38">
        <f>MATCH(A195,'Filtered G500'!$B$2:$B$999,)</f>
        <v>194</v>
      </c>
      <c r="J195" s="40"/>
    </row>
    <row r="196" spans="1:10" ht="14">
      <c r="A196" s="43" t="s">
        <v>1107</v>
      </c>
      <c r="B196" s="43">
        <v>1</v>
      </c>
      <c r="C196" s="43" t="s">
        <v>2685</v>
      </c>
      <c r="D196" s="43" t="s">
        <v>2686</v>
      </c>
      <c r="E196" s="43" t="s">
        <v>2277</v>
      </c>
      <c r="F196" s="43" t="s">
        <v>2687</v>
      </c>
      <c r="G196" s="43" t="s">
        <v>2688</v>
      </c>
      <c r="H196" s="38">
        <f>MATCH(A196,'Filtered G500'!$B$2:$B$999,)</f>
        <v>195</v>
      </c>
      <c r="J196" s="40"/>
    </row>
    <row r="197" spans="1:10" ht="14">
      <c r="A197" s="43" t="s">
        <v>888</v>
      </c>
      <c r="B197" s="43">
        <v>1</v>
      </c>
      <c r="C197" s="43" t="s">
        <v>2689</v>
      </c>
      <c r="D197" s="43" t="s">
        <v>2642</v>
      </c>
      <c r="E197" s="43" t="s">
        <v>2277</v>
      </c>
      <c r="F197" s="43" t="s">
        <v>2690</v>
      </c>
      <c r="G197" s="43" t="s">
        <v>2691</v>
      </c>
      <c r="H197" s="38">
        <f>MATCH(A197,'Filtered G500'!$B$2:$B$999,)</f>
        <v>196</v>
      </c>
      <c r="J197" s="40"/>
    </row>
    <row r="198" spans="1:10" ht="14">
      <c r="A198" s="43" t="s">
        <v>754</v>
      </c>
      <c r="B198" s="43">
        <v>1</v>
      </c>
      <c r="C198" s="43" t="s">
        <v>2692</v>
      </c>
      <c r="D198" s="43" t="s">
        <v>2693</v>
      </c>
      <c r="E198" s="43" t="s">
        <v>2277</v>
      </c>
      <c r="F198" s="43" t="s">
        <v>2694</v>
      </c>
      <c r="G198" s="43" t="s">
        <v>2695</v>
      </c>
      <c r="H198" s="38">
        <f>MATCH(A198,'Filtered G500'!$B$2:$B$999,)</f>
        <v>197</v>
      </c>
      <c r="J198" s="40"/>
    </row>
    <row r="199" spans="1:10" ht="14">
      <c r="A199" s="38" t="s">
        <v>172</v>
      </c>
      <c r="B199" s="38">
        <v>2</v>
      </c>
      <c r="C199" s="38" t="s">
        <v>2696</v>
      </c>
      <c r="D199" s="38" t="s">
        <v>2697</v>
      </c>
      <c r="E199" s="38" t="s">
        <v>2698</v>
      </c>
      <c r="F199" s="38" t="s">
        <v>2699</v>
      </c>
      <c r="G199" s="38" t="s">
        <v>2700</v>
      </c>
      <c r="H199" s="38">
        <f>MATCH(A199,'Filtered G500'!$B$2:$B$999,)</f>
        <v>198</v>
      </c>
      <c r="J199" s="40"/>
    </row>
    <row r="200" spans="1:10" ht="14">
      <c r="A200" s="38" t="s">
        <v>320</v>
      </c>
      <c r="B200" s="38">
        <v>1</v>
      </c>
      <c r="C200" s="38" t="s">
        <v>2701</v>
      </c>
      <c r="D200" s="38" t="s">
        <v>2702</v>
      </c>
      <c r="E200" s="38" t="s">
        <v>2703</v>
      </c>
      <c r="F200" s="38" t="s">
        <v>2704</v>
      </c>
      <c r="G200" s="38" t="s">
        <v>2705</v>
      </c>
      <c r="H200" s="38">
        <f>MATCH(A200,'Filtered G500'!$B$2:$B$999,)</f>
        <v>199</v>
      </c>
      <c r="J200" s="40"/>
    </row>
    <row r="201" spans="1:10" ht="14">
      <c r="A201" s="38" t="s">
        <v>235</v>
      </c>
      <c r="B201" s="38">
        <v>2</v>
      </c>
      <c r="C201" s="38" t="s">
        <v>2706</v>
      </c>
      <c r="D201" s="38" t="s">
        <v>2707</v>
      </c>
      <c r="E201" s="38" t="s">
        <v>2708</v>
      </c>
      <c r="F201" s="38" t="s">
        <v>2709</v>
      </c>
      <c r="G201" s="38" t="s">
        <v>2710</v>
      </c>
      <c r="H201" s="38">
        <f>MATCH(A201,'Filtered G500'!$B$2:$B$999,)</f>
        <v>200</v>
      </c>
      <c r="J201" s="40"/>
    </row>
    <row r="202" spans="1:10" ht="14">
      <c r="A202" s="43" t="s">
        <v>785</v>
      </c>
      <c r="B202" s="43">
        <v>1</v>
      </c>
      <c r="C202" s="43" t="s">
        <v>2711</v>
      </c>
      <c r="D202" s="43" t="s">
        <v>2712</v>
      </c>
      <c r="E202" s="43" t="s">
        <v>2496</v>
      </c>
      <c r="F202" s="43" t="s">
        <v>2713</v>
      </c>
      <c r="G202" s="43" t="s">
        <v>2280</v>
      </c>
      <c r="H202" s="38">
        <f>MATCH(A202,'Filtered G500'!$B$2:$B$999,)</f>
        <v>201</v>
      </c>
      <c r="J202" s="40"/>
    </row>
    <row r="203" spans="1:10" ht="14">
      <c r="A203" s="43" t="s">
        <v>691</v>
      </c>
      <c r="B203" s="43">
        <v>1</v>
      </c>
      <c r="C203" s="43" t="s">
        <v>2714</v>
      </c>
      <c r="D203" s="43" t="s">
        <v>2715</v>
      </c>
      <c r="E203" s="43" t="s">
        <v>2716</v>
      </c>
      <c r="F203" s="43" t="s">
        <v>2717</v>
      </c>
      <c r="G203" s="43" t="s">
        <v>2718</v>
      </c>
      <c r="H203" s="38">
        <f>MATCH(A203,'Filtered G500'!$B$2:$B$999,)</f>
        <v>202</v>
      </c>
      <c r="J203" s="40"/>
    </row>
    <row r="204" spans="1:10" ht="14">
      <c r="A204" s="43" t="s">
        <v>432</v>
      </c>
      <c r="B204" s="43">
        <v>1</v>
      </c>
      <c r="C204" s="43" t="s">
        <v>2719</v>
      </c>
      <c r="D204" s="43" t="s">
        <v>2486</v>
      </c>
      <c r="E204" s="43" t="s">
        <v>2496</v>
      </c>
      <c r="F204" s="43" t="s">
        <v>2720</v>
      </c>
      <c r="G204" s="43" t="s">
        <v>2721</v>
      </c>
      <c r="H204" s="38">
        <f>MATCH(A204,'Filtered G500'!$B$2:$B$999,)</f>
        <v>203</v>
      </c>
      <c r="J204" s="40"/>
    </row>
    <row r="205" spans="1:10" ht="14">
      <c r="A205" s="43" t="s">
        <v>697</v>
      </c>
      <c r="B205" s="43">
        <v>1</v>
      </c>
      <c r="C205" s="43" t="s">
        <v>2722</v>
      </c>
      <c r="D205" s="43" t="s">
        <v>2642</v>
      </c>
      <c r="E205" s="43" t="s">
        <v>2277</v>
      </c>
      <c r="F205" s="43" t="s">
        <v>2680</v>
      </c>
      <c r="G205" s="43" t="s">
        <v>2723</v>
      </c>
      <c r="H205" s="38">
        <f>MATCH(A205,'Filtered G500'!$B$2:$B$999,)</f>
        <v>204</v>
      </c>
      <c r="J205" s="40"/>
    </row>
    <row r="206" spans="1:10" ht="14">
      <c r="A206" s="43" t="s">
        <v>726</v>
      </c>
      <c r="B206" s="43">
        <v>3</v>
      </c>
      <c r="C206" s="43" t="s">
        <v>2724</v>
      </c>
      <c r="D206" s="43" t="s">
        <v>2228</v>
      </c>
      <c r="E206" s="43" t="s">
        <v>2277</v>
      </c>
      <c r="F206" s="43" t="s">
        <v>2308</v>
      </c>
      <c r="G206" s="43" t="s">
        <v>2725</v>
      </c>
      <c r="H206" s="38">
        <f>MATCH(A206,'Filtered G500'!$B$2:$B$999,)</f>
        <v>205</v>
      </c>
      <c r="J206" s="40"/>
    </row>
    <row r="207" spans="1:10" ht="14">
      <c r="A207" s="43" t="s">
        <v>976</v>
      </c>
      <c r="B207" s="43">
        <v>3</v>
      </c>
      <c r="C207" s="43" t="s">
        <v>2726</v>
      </c>
      <c r="D207" s="43" t="s">
        <v>2228</v>
      </c>
      <c r="E207" s="43" t="s">
        <v>2277</v>
      </c>
      <c r="F207" s="43" t="s">
        <v>2279</v>
      </c>
      <c r="G207" s="43" t="s">
        <v>2727</v>
      </c>
      <c r="H207" s="38">
        <f>MATCH(A207,'Filtered G500'!$B$2:$B$999,)</f>
        <v>206</v>
      </c>
      <c r="J207" s="40"/>
    </row>
    <row r="208" spans="1:10" ht="14">
      <c r="A208" s="43" t="s">
        <v>663</v>
      </c>
      <c r="B208" s="43">
        <v>1</v>
      </c>
      <c r="C208" s="43" t="s">
        <v>2728</v>
      </c>
      <c r="D208" s="43" t="s">
        <v>2729</v>
      </c>
      <c r="E208" s="43" t="s">
        <v>2277</v>
      </c>
      <c r="F208" s="43" t="s">
        <v>2730</v>
      </c>
      <c r="G208" s="43" t="s">
        <v>2731</v>
      </c>
      <c r="H208" s="38">
        <f>MATCH(A208,'Filtered G500'!$B$2:$B$999,)</f>
        <v>207</v>
      </c>
      <c r="J208" s="40"/>
    </row>
    <row r="209" spans="1:10" ht="14">
      <c r="A209" s="43" t="s">
        <v>399</v>
      </c>
      <c r="B209" s="43">
        <v>3</v>
      </c>
      <c r="C209" s="43" t="s">
        <v>2732</v>
      </c>
      <c r="D209" s="43" t="s">
        <v>2228</v>
      </c>
      <c r="E209" s="43" t="s">
        <v>2277</v>
      </c>
      <c r="F209" s="43" t="s">
        <v>2733</v>
      </c>
      <c r="G209" s="43" t="s">
        <v>2734</v>
      </c>
      <c r="H209" s="38">
        <f>MATCH(A209,'Filtered G500'!$B$2:$B$999,)</f>
        <v>208</v>
      </c>
      <c r="J209" s="40"/>
    </row>
    <row r="210" spans="1:10" ht="14">
      <c r="A210" s="43" t="s">
        <v>1024</v>
      </c>
      <c r="B210" s="43">
        <v>1</v>
      </c>
      <c r="C210" s="43" t="s">
        <v>2735</v>
      </c>
      <c r="D210" s="43" t="s">
        <v>2736</v>
      </c>
      <c r="E210" s="43" t="s">
        <v>2277</v>
      </c>
      <c r="F210" s="43" t="s">
        <v>2737</v>
      </c>
      <c r="G210" s="43" t="s">
        <v>2738</v>
      </c>
      <c r="H210" s="38">
        <f>MATCH(A210,'Filtered G500'!$B$2:$B$999,)</f>
        <v>209</v>
      </c>
      <c r="J210" s="40"/>
    </row>
    <row r="211" spans="1:10" ht="14">
      <c r="A211" s="43" t="s">
        <v>647</v>
      </c>
      <c r="B211" s="43">
        <v>2</v>
      </c>
      <c r="C211" s="43" t="s">
        <v>2739</v>
      </c>
      <c r="D211" s="43" t="s">
        <v>2740</v>
      </c>
      <c r="E211" s="43" t="s">
        <v>2741</v>
      </c>
      <c r="F211" s="43" t="s">
        <v>2742</v>
      </c>
      <c r="G211" s="43" t="s">
        <v>2743</v>
      </c>
      <c r="H211" s="38">
        <f>MATCH(A211,'Filtered G500'!$B$2:$B$999,)</f>
        <v>210</v>
      </c>
      <c r="J211" s="40"/>
    </row>
    <row r="212" spans="1:10" ht="14">
      <c r="A212" s="38" t="s">
        <v>269</v>
      </c>
      <c r="B212" s="38">
        <v>2</v>
      </c>
      <c r="C212" s="38" t="s">
        <v>2744</v>
      </c>
      <c r="D212" s="38" t="s">
        <v>2745</v>
      </c>
      <c r="E212" s="38" t="s">
        <v>2746</v>
      </c>
      <c r="F212" s="38" t="s">
        <v>2747</v>
      </c>
      <c r="G212" s="38" t="s">
        <v>2748</v>
      </c>
      <c r="H212" s="38">
        <f>MATCH(A212,'Filtered G500'!$B$2:$B$999,)</f>
        <v>211</v>
      </c>
      <c r="J212" s="40"/>
    </row>
    <row r="213" spans="1:10" ht="14">
      <c r="A213" s="43" t="s">
        <v>984</v>
      </c>
      <c r="B213" s="43">
        <v>1</v>
      </c>
      <c r="C213" s="43" t="s">
        <v>2749</v>
      </c>
      <c r="D213" s="43" t="s">
        <v>2712</v>
      </c>
      <c r="E213" s="43" t="s">
        <v>2496</v>
      </c>
      <c r="F213" s="43" t="s">
        <v>2750</v>
      </c>
      <c r="G213" s="43" t="s">
        <v>2751</v>
      </c>
      <c r="H213" s="38">
        <f>MATCH(A213,'Filtered G500'!$B$2:$B$999,)</f>
        <v>212</v>
      </c>
      <c r="J213" s="40"/>
    </row>
    <row r="214" spans="1:10" ht="14">
      <c r="A214" s="43" t="s">
        <v>940</v>
      </c>
      <c r="B214" s="43">
        <v>1</v>
      </c>
      <c r="C214" s="43" t="s">
        <v>2752</v>
      </c>
      <c r="D214" s="43" t="s">
        <v>2591</v>
      </c>
      <c r="E214" s="43" t="s">
        <v>2753</v>
      </c>
      <c r="F214" s="43" t="s">
        <v>2754</v>
      </c>
      <c r="G214" s="43" t="s">
        <v>2755</v>
      </c>
      <c r="H214" s="38">
        <f>MATCH(A214,'Filtered G500'!$B$2:$B$999,)</f>
        <v>213</v>
      </c>
      <c r="J214" s="40"/>
    </row>
    <row r="215" spans="1:10" ht="14">
      <c r="A215" s="43" t="s">
        <v>799</v>
      </c>
      <c r="B215" s="43">
        <v>1</v>
      </c>
      <c r="C215" s="43" t="s">
        <v>2756</v>
      </c>
      <c r="D215" s="43" t="s">
        <v>2625</v>
      </c>
      <c r="E215" s="43" t="s">
        <v>2277</v>
      </c>
      <c r="F215" s="43" t="s">
        <v>2730</v>
      </c>
      <c r="G215" s="43" t="s">
        <v>2757</v>
      </c>
      <c r="H215" s="38">
        <f>MATCH(A215,'Filtered G500'!$B$2:$B$999,)</f>
        <v>214</v>
      </c>
      <c r="J215" s="40"/>
    </row>
    <row r="216" spans="1:10" ht="14">
      <c r="A216" s="43" t="s">
        <v>567</v>
      </c>
      <c r="B216" s="43">
        <v>1</v>
      </c>
      <c r="C216" s="43" t="s">
        <v>2758</v>
      </c>
      <c r="D216" s="43" t="s">
        <v>2645</v>
      </c>
      <c r="E216" s="43" t="s">
        <v>2492</v>
      </c>
      <c r="F216" s="43" t="s">
        <v>2455</v>
      </c>
      <c r="G216" s="43" t="s">
        <v>2759</v>
      </c>
      <c r="H216" s="38">
        <f>MATCH(A216,'Filtered G500'!$B$2:$B$999,)</f>
        <v>215</v>
      </c>
      <c r="J216" s="40"/>
    </row>
    <row r="217" spans="1:10" ht="14">
      <c r="A217" s="43" t="s">
        <v>1329</v>
      </c>
      <c r="B217" s="43">
        <v>3</v>
      </c>
      <c r="C217" s="43" t="s">
        <v>2760</v>
      </c>
      <c r="D217" s="43" t="s">
        <v>2228</v>
      </c>
      <c r="E217" s="43" t="s">
        <v>2277</v>
      </c>
      <c r="F217" s="43" t="s">
        <v>2308</v>
      </c>
      <c r="G217" s="43" t="s">
        <v>2761</v>
      </c>
      <c r="H217" s="38">
        <f>MATCH(A217,'Filtered G500'!$B$2:$B$999,)</f>
        <v>216</v>
      </c>
      <c r="J217" s="40"/>
    </row>
    <row r="218" spans="1:10" ht="14">
      <c r="A218" s="43" t="s">
        <v>1159</v>
      </c>
      <c r="B218" s="43">
        <v>3</v>
      </c>
      <c r="C218" s="43" t="s">
        <v>2762</v>
      </c>
      <c r="D218" s="43" t="s">
        <v>2228</v>
      </c>
      <c r="E218" s="43" t="s">
        <v>2277</v>
      </c>
      <c r="F218" s="43" t="s">
        <v>2763</v>
      </c>
      <c r="G218" s="43" t="s">
        <v>2764</v>
      </c>
      <c r="H218" s="38">
        <f>MATCH(A218,'Filtered G500'!$B$2:$B$999,)</f>
        <v>217</v>
      </c>
      <c r="J218" s="40"/>
    </row>
    <row r="219" spans="1:10" ht="14">
      <c r="A219" s="43" t="s">
        <v>907</v>
      </c>
      <c r="B219" s="43">
        <v>1</v>
      </c>
      <c r="C219" s="43" t="s">
        <v>2765</v>
      </c>
      <c r="D219" s="43" t="s">
        <v>2625</v>
      </c>
      <c r="E219" s="43" t="s">
        <v>2277</v>
      </c>
      <c r="F219" s="43" t="s">
        <v>2730</v>
      </c>
      <c r="G219" s="43" t="s">
        <v>2766</v>
      </c>
      <c r="H219" s="38">
        <f>MATCH(A219,'Filtered G500'!$B$2:$B$999,)</f>
        <v>218</v>
      </c>
      <c r="J219" s="40"/>
    </row>
    <row r="220" spans="1:10" ht="14">
      <c r="A220" s="43" t="s">
        <v>1165</v>
      </c>
      <c r="B220" s="43">
        <v>1</v>
      </c>
      <c r="C220" s="43" t="s">
        <v>2767</v>
      </c>
      <c r="D220" s="43" t="s">
        <v>2768</v>
      </c>
      <c r="E220" s="43" t="s">
        <v>2277</v>
      </c>
      <c r="F220" s="43" t="s">
        <v>2769</v>
      </c>
      <c r="G220" s="43" t="s">
        <v>2770</v>
      </c>
      <c r="H220" s="38">
        <f>MATCH(A220,'Filtered G500'!$B$2:$B$999,)</f>
        <v>219</v>
      </c>
      <c r="J220" s="40"/>
    </row>
    <row r="221" spans="1:10" ht="14">
      <c r="A221" s="43" t="s">
        <v>449</v>
      </c>
      <c r="B221" s="43">
        <v>1</v>
      </c>
      <c r="C221" s="43" t="s">
        <v>2771</v>
      </c>
      <c r="D221" s="43" t="s">
        <v>2772</v>
      </c>
      <c r="E221" s="43" t="s">
        <v>2277</v>
      </c>
      <c r="F221" s="43" t="s">
        <v>2773</v>
      </c>
      <c r="G221" s="43" t="s">
        <v>2774</v>
      </c>
      <c r="H221" s="38">
        <f>MATCH(A221,'Filtered G500'!$B$2:$B$999,)</f>
        <v>220</v>
      </c>
      <c r="J221" s="40"/>
    </row>
    <row r="222" spans="1:10" ht="14">
      <c r="A222" s="38" t="s">
        <v>452</v>
      </c>
      <c r="B222" s="38">
        <v>1</v>
      </c>
      <c r="C222" s="38" t="s">
        <v>2775</v>
      </c>
      <c r="D222" s="38" t="s">
        <v>2776</v>
      </c>
      <c r="E222" s="38" t="s">
        <v>2777</v>
      </c>
      <c r="F222" s="38" t="s">
        <v>2778</v>
      </c>
      <c r="G222" s="38" t="s">
        <v>2779</v>
      </c>
      <c r="H222" s="38">
        <f>MATCH(A222,'Filtered G500'!$B$2:$B$999,)</f>
        <v>221</v>
      </c>
      <c r="J222" s="40"/>
    </row>
    <row r="223" spans="1:10" ht="14">
      <c r="A223" s="43" t="s">
        <v>1130</v>
      </c>
      <c r="B223" s="43">
        <v>1</v>
      </c>
      <c r="C223" s="43" t="s">
        <v>2780</v>
      </c>
      <c r="D223" s="43" t="s">
        <v>2781</v>
      </c>
      <c r="E223" s="43" t="s">
        <v>2277</v>
      </c>
      <c r="F223" s="43" t="s">
        <v>2782</v>
      </c>
      <c r="G223" s="43" t="s">
        <v>2783</v>
      </c>
      <c r="H223" s="38">
        <f>MATCH(A223,'Filtered G500'!$B$2:$B$999,)</f>
        <v>222</v>
      </c>
      <c r="J223" s="40"/>
    </row>
    <row r="224" spans="1:10" ht="14">
      <c r="A224" s="43" t="s">
        <v>988</v>
      </c>
      <c r="B224" s="43">
        <v>1</v>
      </c>
      <c r="C224" s="43" t="s">
        <v>2784</v>
      </c>
      <c r="D224" s="43" t="s">
        <v>2729</v>
      </c>
      <c r="E224" s="43" t="s">
        <v>2277</v>
      </c>
      <c r="F224" s="43" t="s">
        <v>2785</v>
      </c>
      <c r="G224" s="43" t="s">
        <v>2786</v>
      </c>
      <c r="H224" s="38">
        <f>MATCH(A224,'Filtered G500'!$B$2:$B$999,)</f>
        <v>223</v>
      </c>
      <c r="J224" s="40"/>
    </row>
    <row r="225" spans="1:10" ht="14">
      <c r="A225" s="43" t="s">
        <v>599</v>
      </c>
      <c r="B225" s="43">
        <v>2</v>
      </c>
      <c r="C225" s="43" t="s">
        <v>2787</v>
      </c>
      <c r="D225" s="43" t="s">
        <v>2788</v>
      </c>
      <c r="E225" s="43" t="s">
        <v>2277</v>
      </c>
      <c r="F225" s="43" t="s">
        <v>2789</v>
      </c>
      <c r="G225" s="43" t="s">
        <v>2790</v>
      </c>
      <c r="H225" s="38">
        <f>MATCH(A225,'Filtered G500'!$B$2:$B$999,)</f>
        <v>224</v>
      </c>
      <c r="J225" s="40"/>
    </row>
    <row r="226" spans="1:10" ht="14">
      <c r="A226" s="43" t="s">
        <v>560</v>
      </c>
      <c r="B226" s="43">
        <v>1</v>
      </c>
      <c r="C226" s="43" t="s">
        <v>2791</v>
      </c>
      <c r="D226" s="43" t="s">
        <v>2792</v>
      </c>
      <c r="E226" s="43" t="s">
        <v>2277</v>
      </c>
      <c r="F226" s="43" t="s">
        <v>2793</v>
      </c>
      <c r="G226" s="43" t="s">
        <v>2794</v>
      </c>
      <c r="H226" s="38">
        <f>MATCH(A226,'Filtered G500'!$B$2:$B$999,)</f>
        <v>225</v>
      </c>
      <c r="J226" s="40"/>
    </row>
    <row r="227" spans="1:10" ht="14">
      <c r="A227" s="43" t="s">
        <v>787</v>
      </c>
      <c r="B227" s="43">
        <v>2</v>
      </c>
      <c r="C227" s="43" t="s">
        <v>2795</v>
      </c>
      <c r="D227" s="43" t="s">
        <v>2796</v>
      </c>
      <c r="E227" s="43" t="s">
        <v>2277</v>
      </c>
      <c r="F227" s="43" t="s">
        <v>2797</v>
      </c>
      <c r="G227" s="43" t="s">
        <v>2798</v>
      </c>
      <c r="H227" s="38">
        <f>MATCH(A227,'Filtered G500'!$B$2:$B$999,)</f>
        <v>226</v>
      </c>
      <c r="J227" s="40"/>
    </row>
    <row r="228" spans="1:10" ht="14">
      <c r="A228" s="43" t="s">
        <v>508</v>
      </c>
      <c r="B228" s="43">
        <v>1</v>
      </c>
      <c r="C228" s="43" t="s">
        <v>2799</v>
      </c>
      <c r="D228" s="43" t="s">
        <v>2768</v>
      </c>
      <c r="E228" s="43" t="s">
        <v>2277</v>
      </c>
      <c r="F228" s="43" t="s">
        <v>2769</v>
      </c>
      <c r="G228" s="43" t="s">
        <v>2800</v>
      </c>
      <c r="H228" s="38">
        <f>MATCH(A228,'Filtered G500'!$B$2:$B$999,)</f>
        <v>227</v>
      </c>
      <c r="J228" s="40"/>
    </row>
    <row r="229" spans="1:10" ht="14">
      <c r="A229" s="43" t="s">
        <v>417</v>
      </c>
      <c r="B229" s="43">
        <v>1</v>
      </c>
      <c r="C229" s="43" t="s">
        <v>2801</v>
      </c>
      <c r="D229" s="43" t="s">
        <v>2802</v>
      </c>
      <c r="E229" s="43" t="s">
        <v>2803</v>
      </c>
      <c r="F229" s="43" t="s">
        <v>2804</v>
      </c>
      <c r="G229" s="43" t="s">
        <v>2280</v>
      </c>
      <c r="H229" s="38">
        <f>MATCH(A229,'Filtered G500'!$B$2:$B$999,)</f>
        <v>228</v>
      </c>
      <c r="J229" s="40"/>
    </row>
    <row r="230" spans="1:10" ht="14">
      <c r="A230" s="43" t="s">
        <v>851</v>
      </c>
      <c r="B230" s="43">
        <v>1</v>
      </c>
      <c r="C230" s="43" t="s">
        <v>2805</v>
      </c>
      <c r="D230" s="43" t="s">
        <v>2642</v>
      </c>
      <c r="E230" s="43" t="s">
        <v>2277</v>
      </c>
      <c r="F230" s="43" t="s">
        <v>2680</v>
      </c>
      <c r="G230" s="43" t="s">
        <v>2806</v>
      </c>
      <c r="H230" s="38">
        <f>MATCH(A230,'Filtered G500'!$B$2:$B$999,)</f>
        <v>229</v>
      </c>
      <c r="J230" s="40"/>
    </row>
    <row r="231" spans="1:10" ht="14">
      <c r="A231" s="43" t="s">
        <v>766</v>
      </c>
      <c r="B231" s="43">
        <v>1</v>
      </c>
      <c r="C231" s="43" t="s">
        <v>2807</v>
      </c>
      <c r="D231" s="43" t="s">
        <v>2808</v>
      </c>
      <c r="E231" s="43" t="s">
        <v>2277</v>
      </c>
      <c r="F231" s="43" t="s">
        <v>2809</v>
      </c>
      <c r="G231" s="43" t="s">
        <v>2810</v>
      </c>
      <c r="H231" s="38">
        <f>MATCH(A231,'Filtered G500'!$B$2:$B$999,)</f>
        <v>230</v>
      </c>
      <c r="J231" s="40"/>
    </row>
    <row r="232" spans="1:10" ht="14">
      <c r="A232" s="43"/>
      <c r="B232" s="43"/>
      <c r="C232" s="43"/>
      <c r="D232" s="43"/>
      <c r="E232" s="43"/>
      <c r="F232" s="43"/>
      <c r="G232" s="43"/>
      <c r="H232" s="38"/>
      <c r="J232" s="40"/>
    </row>
    <row r="233" spans="1:10" ht="14">
      <c r="A233" s="43"/>
      <c r="B233" s="43"/>
      <c r="C233" s="43"/>
      <c r="D233" s="43"/>
      <c r="E233" s="43"/>
      <c r="F233" s="43"/>
      <c r="G233" s="43"/>
      <c r="H233" s="38"/>
      <c r="J233" s="40"/>
    </row>
    <row r="234" spans="1:10" ht="14">
      <c r="A234" s="43"/>
      <c r="B234" s="43"/>
      <c r="C234" s="43"/>
      <c r="D234" s="43"/>
      <c r="E234" s="43"/>
      <c r="F234" s="43"/>
      <c r="G234" s="43"/>
      <c r="H234" s="38"/>
      <c r="J234" s="40"/>
    </row>
    <row r="235" spans="1:10" ht="14">
      <c r="A235" s="43"/>
      <c r="B235" s="43"/>
      <c r="C235" s="43"/>
      <c r="D235" s="43"/>
      <c r="E235" s="43"/>
      <c r="F235" s="43"/>
      <c r="G235" s="43"/>
      <c r="H235" s="38"/>
      <c r="J235" s="40"/>
    </row>
    <row r="236" spans="1:10" ht="14">
      <c r="A236" s="43"/>
      <c r="B236" s="43"/>
      <c r="C236" s="43"/>
      <c r="D236" s="43"/>
      <c r="E236" s="43"/>
      <c r="F236" s="43"/>
      <c r="G236" s="43"/>
      <c r="H236" s="43"/>
      <c r="J236" s="40"/>
    </row>
    <row r="237" spans="1:10" ht="14">
      <c r="A237" s="43"/>
      <c r="B237" s="43"/>
      <c r="C237" s="43"/>
      <c r="D237" s="43"/>
      <c r="E237" s="43"/>
      <c r="F237" s="43"/>
      <c r="G237" s="43"/>
      <c r="H237" s="43"/>
      <c r="J237" s="40"/>
    </row>
    <row r="238" spans="1:10" ht="14">
      <c r="A238" s="43"/>
      <c r="B238" s="43"/>
      <c r="C238" s="43"/>
      <c r="D238" s="43"/>
      <c r="E238" s="43"/>
      <c r="F238" s="43"/>
      <c r="G238" s="43"/>
      <c r="H238" s="43"/>
      <c r="J238" s="40"/>
    </row>
    <row r="239" spans="1:10" ht="14">
      <c r="A239" s="43"/>
      <c r="B239" s="43"/>
      <c r="C239" s="43"/>
      <c r="D239" s="43"/>
      <c r="E239" s="43"/>
      <c r="F239" s="43"/>
      <c r="G239" s="43"/>
      <c r="H239" s="43"/>
      <c r="J239" s="40"/>
    </row>
    <row r="240" spans="1:10" ht="14">
      <c r="A240" s="43"/>
      <c r="B240" s="43"/>
      <c r="C240" s="43"/>
      <c r="D240" s="43"/>
      <c r="E240" s="43"/>
      <c r="F240" s="43"/>
      <c r="G240" s="43"/>
      <c r="H240" s="43"/>
      <c r="J240" s="40"/>
    </row>
    <row r="241" spans="1:10" ht="14">
      <c r="A241" s="43"/>
      <c r="B241" s="43"/>
      <c r="C241" s="43"/>
      <c r="D241" s="43"/>
      <c r="E241" s="43"/>
      <c r="F241" s="43"/>
      <c r="G241" s="43"/>
      <c r="H241" s="43"/>
      <c r="J241" s="40"/>
    </row>
    <row r="242" spans="1:10" ht="14">
      <c r="A242" s="43"/>
      <c r="B242" s="43"/>
      <c r="C242" s="43"/>
      <c r="D242" s="43"/>
      <c r="E242" s="43"/>
      <c r="F242" s="43"/>
      <c r="G242" s="43"/>
      <c r="H242" s="43"/>
      <c r="J242" s="40"/>
    </row>
    <row r="243" spans="1:10" ht="14">
      <c r="A243" s="43"/>
      <c r="B243" s="43"/>
      <c r="C243" s="43"/>
      <c r="D243" s="43"/>
      <c r="E243" s="43"/>
      <c r="F243" s="43"/>
      <c r="G243" s="43"/>
      <c r="H243" s="43"/>
      <c r="J243" s="40"/>
    </row>
    <row r="244" spans="1:10" ht="14">
      <c r="A244" s="43"/>
      <c r="B244" s="43"/>
      <c r="C244" s="43"/>
      <c r="D244" s="43"/>
      <c r="E244" s="43"/>
      <c r="F244" s="43"/>
      <c r="G244" s="43"/>
      <c r="H244" s="43"/>
      <c r="J244" s="40"/>
    </row>
    <row r="245" spans="1:10" ht="14">
      <c r="A245" s="43"/>
      <c r="B245" s="43"/>
      <c r="C245" s="43"/>
      <c r="D245" s="43"/>
      <c r="E245" s="43"/>
      <c r="F245" s="43"/>
      <c r="G245" s="43"/>
      <c r="H245" s="43"/>
      <c r="J245" s="40"/>
    </row>
    <row r="246" spans="1:10" ht="14">
      <c r="A246" s="43"/>
      <c r="B246" s="43"/>
      <c r="C246" s="43"/>
      <c r="D246" s="43"/>
      <c r="E246" s="43"/>
      <c r="F246" s="43"/>
      <c r="G246" s="43"/>
      <c r="H246" s="43"/>
      <c r="J246" s="40"/>
    </row>
    <row r="247" spans="1:10" ht="14">
      <c r="A247" s="43"/>
      <c r="B247" s="43"/>
      <c r="C247" s="43"/>
      <c r="D247" s="43"/>
      <c r="E247" s="43"/>
      <c r="F247" s="43"/>
      <c r="G247" s="43"/>
      <c r="H247" s="43"/>
      <c r="J247" s="40"/>
    </row>
    <row r="248" spans="1:10" ht="14">
      <c r="A248" s="43"/>
      <c r="B248" s="43"/>
      <c r="C248" s="43"/>
      <c r="D248" s="43"/>
      <c r="E248" s="43"/>
      <c r="F248" s="43"/>
      <c r="G248" s="43"/>
      <c r="H248" s="43"/>
      <c r="J248" s="40"/>
    </row>
    <row r="249" spans="1:10" ht="14">
      <c r="A249" s="43"/>
      <c r="B249" s="43"/>
      <c r="C249" s="43"/>
      <c r="D249" s="43"/>
      <c r="E249" s="43"/>
      <c r="F249" s="43"/>
      <c r="G249" s="43"/>
      <c r="H249" s="43"/>
      <c r="J249" s="40"/>
    </row>
    <row r="250" spans="1:10" ht="14">
      <c r="A250" s="43"/>
      <c r="B250" s="43"/>
      <c r="C250" s="43"/>
      <c r="D250" s="43"/>
      <c r="E250" s="43"/>
      <c r="F250" s="43"/>
      <c r="G250" s="43"/>
      <c r="H250" s="43"/>
      <c r="J250" s="40"/>
    </row>
    <row r="251" spans="1:10" ht="14">
      <c r="A251" s="43"/>
      <c r="B251" s="43"/>
      <c r="C251" s="43"/>
      <c r="D251" s="43"/>
      <c r="E251" s="43"/>
      <c r="F251" s="43"/>
      <c r="G251" s="43"/>
      <c r="H251" s="43"/>
      <c r="J251" s="40"/>
    </row>
    <row r="252" spans="1:10" ht="14">
      <c r="A252" s="43"/>
      <c r="B252" s="43"/>
      <c r="C252" s="43"/>
      <c r="D252" s="43"/>
      <c r="E252" s="43"/>
      <c r="F252" s="43"/>
      <c r="G252" s="43"/>
      <c r="H252" s="43"/>
      <c r="J252" s="40"/>
    </row>
    <row r="253" spans="1:10" ht="14">
      <c r="A253" s="43"/>
      <c r="B253" s="43"/>
      <c r="C253" s="43"/>
      <c r="D253" s="43"/>
      <c r="E253" s="43"/>
      <c r="F253" s="43"/>
      <c r="G253" s="43"/>
      <c r="H253" s="43"/>
      <c r="J253" s="40"/>
    </row>
    <row r="254" spans="1:10" ht="14">
      <c r="A254" s="43"/>
      <c r="B254" s="43"/>
      <c r="C254" s="43"/>
      <c r="D254" s="43"/>
      <c r="E254" s="43"/>
      <c r="F254" s="43"/>
      <c r="G254" s="43"/>
      <c r="H254" s="43"/>
      <c r="J254" s="40"/>
    </row>
    <row r="255" spans="1:10" ht="14">
      <c r="A255" s="43"/>
      <c r="B255" s="43"/>
      <c r="C255" s="43"/>
      <c r="D255" s="43"/>
      <c r="E255" s="43"/>
      <c r="F255" s="43"/>
      <c r="G255" s="43"/>
      <c r="H255" s="43"/>
      <c r="J255" s="40"/>
    </row>
    <row r="256" spans="1:10" ht="14">
      <c r="A256" s="43"/>
      <c r="B256" s="43"/>
      <c r="C256" s="43"/>
      <c r="D256" s="43"/>
      <c r="E256" s="43"/>
      <c r="F256" s="43"/>
      <c r="G256" s="43"/>
      <c r="H256" s="43"/>
      <c r="J256" s="40"/>
    </row>
    <row r="257" spans="1:10" ht="14">
      <c r="A257" s="43"/>
      <c r="B257" s="43"/>
      <c r="C257" s="43"/>
      <c r="D257" s="43"/>
      <c r="E257" s="43"/>
      <c r="F257" s="43"/>
      <c r="G257" s="43"/>
      <c r="H257" s="43"/>
      <c r="J257" s="40"/>
    </row>
    <row r="258" spans="1:10" ht="14">
      <c r="A258" s="43"/>
      <c r="B258" s="43"/>
      <c r="C258" s="43"/>
      <c r="D258" s="43"/>
      <c r="E258" s="43"/>
      <c r="F258" s="43"/>
      <c r="G258" s="43"/>
      <c r="H258" s="43"/>
      <c r="J258" s="40"/>
    </row>
    <row r="259" spans="1:10" ht="14">
      <c r="A259" s="43"/>
      <c r="B259" s="43"/>
      <c r="C259" s="43"/>
      <c r="D259" s="43"/>
      <c r="E259" s="43"/>
      <c r="F259" s="43"/>
      <c r="G259" s="43"/>
      <c r="H259" s="43"/>
      <c r="J259" s="40"/>
    </row>
    <row r="260" spans="1:10" ht="14">
      <c r="A260" s="43"/>
      <c r="B260" s="43"/>
      <c r="C260" s="43"/>
      <c r="D260" s="43"/>
      <c r="E260" s="43"/>
      <c r="F260" s="43"/>
      <c r="G260" s="43"/>
      <c r="H260" s="43"/>
      <c r="J260" s="40"/>
    </row>
    <row r="261" spans="1:10" ht="14">
      <c r="A261" s="43"/>
      <c r="B261" s="43"/>
      <c r="C261" s="43"/>
      <c r="D261" s="43"/>
      <c r="E261" s="43"/>
      <c r="F261" s="43"/>
      <c r="G261" s="43"/>
      <c r="H261" s="43"/>
      <c r="J261" s="40"/>
    </row>
    <row r="262" spans="1:10" ht="14">
      <c r="A262" s="43"/>
      <c r="B262" s="43"/>
      <c r="C262" s="43"/>
      <c r="D262" s="43"/>
      <c r="E262" s="43"/>
      <c r="F262" s="43"/>
      <c r="G262" s="43"/>
      <c r="H262" s="43"/>
      <c r="J262" s="40"/>
    </row>
    <row r="263" spans="1:10" ht="14">
      <c r="A263" s="43"/>
      <c r="B263" s="43"/>
      <c r="C263" s="43"/>
      <c r="D263" s="43"/>
      <c r="E263" s="43"/>
      <c r="F263" s="43"/>
      <c r="G263" s="43"/>
      <c r="H263" s="43"/>
      <c r="J263" s="40"/>
    </row>
    <row r="264" spans="1:10" ht="14">
      <c r="A264" s="43"/>
      <c r="B264" s="43"/>
      <c r="C264" s="43"/>
      <c r="D264" s="43"/>
      <c r="E264" s="43"/>
      <c r="F264" s="43"/>
      <c r="G264" s="43"/>
      <c r="H264" s="43"/>
      <c r="J264" s="40"/>
    </row>
    <row r="265" spans="1:10" ht="14">
      <c r="A265" s="43"/>
      <c r="B265" s="43"/>
      <c r="C265" s="43"/>
      <c r="D265" s="43"/>
      <c r="E265" s="43"/>
      <c r="F265" s="43"/>
      <c r="G265" s="43"/>
      <c r="H265" s="43"/>
      <c r="J265" s="40"/>
    </row>
    <row r="266" spans="1:10" ht="14">
      <c r="A266" s="43"/>
      <c r="B266" s="43"/>
      <c r="C266" s="43"/>
      <c r="D266" s="43"/>
      <c r="E266" s="43"/>
      <c r="F266" s="43"/>
      <c r="G266" s="43"/>
      <c r="H266" s="43"/>
      <c r="J266" s="40"/>
    </row>
    <row r="267" spans="1:10" ht="14">
      <c r="A267" s="43"/>
      <c r="B267" s="43"/>
      <c r="C267" s="43"/>
      <c r="D267" s="43"/>
      <c r="E267" s="43"/>
      <c r="F267" s="43"/>
      <c r="G267" s="43"/>
      <c r="H267" s="43"/>
      <c r="J267" s="40"/>
    </row>
    <row r="268" spans="1:10" ht="14">
      <c r="A268" s="43"/>
      <c r="B268" s="43"/>
      <c r="C268" s="43"/>
      <c r="D268" s="43"/>
      <c r="E268" s="43"/>
      <c r="F268" s="43"/>
      <c r="G268" s="43"/>
      <c r="H268" s="43"/>
      <c r="J268" s="40"/>
    </row>
    <row r="269" spans="1:10" ht="14">
      <c r="A269" s="43"/>
      <c r="B269" s="43"/>
      <c r="C269" s="43"/>
      <c r="D269" s="43"/>
      <c r="E269" s="43"/>
      <c r="F269" s="43"/>
      <c r="G269" s="43"/>
      <c r="H269" s="43"/>
      <c r="J269" s="40"/>
    </row>
    <row r="270" spans="1:10" ht="14">
      <c r="A270" s="43"/>
      <c r="B270" s="43"/>
      <c r="C270" s="43"/>
      <c r="D270" s="43"/>
      <c r="E270" s="43"/>
      <c r="F270" s="43"/>
      <c r="G270" s="43"/>
      <c r="H270" s="43"/>
      <c r="J270" s="40"/>
    </row>
    <row r="271" spans="1:10" ht="14">
      <c r="A271" s="43"/>
      <c r="B271" s="43"/>
      <c r="C271" s="43"/>
      <c r="D271" s="43"/>
      <c r="E271" s="43"/>
      <c r="F271" s="43"/>
      <c r="G271" s="43"/>
      <c r="H271" s="43"/>
      <c r="J271" s="40"/>
    </row>
    <row r="272" spans="1:10" ht="14">
      <c r="A272" s="43"/>
      <c r="B272" s="43"/>
      <c r="C272" s="43"/>
      <c r="D272" s="43"/>
      <c r="E272" s="43"/>
      <c r="F272" s="43"/>
      <c r="G272" s="43"/>
      <c r="H272" s="43"/>
      <c r="J272" s="40"/>
    </row>
    <row r="273" spans="1:10" ht="14">
      <c r="A273" s="43"/>
      <c r="B273" s="43"/>
      <c r="C273" s="43"/>
      <c r="D273" s="43"/>
      <c r="E273" s="43"/>
      <c r="F273" s="43"/>
      <c r="G273" s="43"/>
      <c r="H273" s="43"/>
      <c r="J273" s="40"/>
    </row>
    <row r="274" spans="1:10" ht="14">
      <c r="A274" s="43"/>
      <c r="B274" s="43"/>
      <c r="C274" s="43"/>
      <c r="D274" s="43"/>
      <c r="E274" s="43"/>
      <c r="F274" s="43"/>
      <c r="G274" s="43"/>
      <c r="H274" s="43"/>
      <c r="J274" s="40"/>
    </row>
    <row r="275" spans="1:10" ht="14">
      <c r="A275" s="43"/>
      <c r="B275" s="43"/>
      <c r="C275" s="43"/>
      <c r="D275" s="43"/>
      <c r="E275" s="43"/>
      <c r="F275" s="43"/>
      <c r="G275" s="43"/>
      <c r="H275" s="43"/>
      <c r="J275" s="40"/>
    </row>
    <row r="276" spans="1:10" ht="14">
      <c r="A276" s="43"/>
      <c r="B276" s="43"/>
      <c r="C276" s="43"/>
      <c r="D276" s="43"/>
      <c r="E276" s="43"/>
      <c r="F276" s="43"/>
      <c r="G276" s="43"/>
      <c r="H276" s="43"/>
      <c r="J276" s="40"/>
    </row>
    <row r="277" spans="1:10" ht="14">
      <c r="A277" s="43"/>
      <c r="B277" s="43"/>
      <c r="C277" s="43"/>
      <c r="D277" s="43"/>
      <c r="E277" s="43"/>
      <c r="F277" s="43"/>
      <c r="G277" s="43"/>
      <c r="H277" s="43"/>
      <c r="J277" s="40"/>
    </row>
    <row r="278" spans="1:10" ht="14">
      <c r="A278" s="43"/>
      <c r="B278" s="43"/>
      <c r="C278" s="43"/>
      <c r="D278" s="43"/>
      <c r="E278" s="43"/>
      <c r="F278" s="43"/>
      <c r="G278" s="43"/>
      <c r="H278" s="43"/>
      <c r="J278" s="40"/>
    </row>
    <row r="279" spans="1:10" ht="14">
      <c r="A279" s="43"/>
      <c r="B279" s="43"/>
      <c r="C279" s="43"/>
      <c r="D279" s="43"/>
      <c r="E279" s="43"/>
      <c r="F279" s="43"/>
      <c r="G279" s="43"/>
      <c r="H279" s="43"/>
      <c r="J279" s="40"/>
    </row>
    <row r="280" spans="1:10" ht="14">
      <c r="A280" s="43"/>
      <c r="B280" s="43"/>
      <c r="C280" s="43"/>
      <c r="D280" s="43"/>
      <c r="E280" s="43"/>
      <c r="F280" s="43"/>
      <c r="G280" s="43"/>
      <c r="H280" s="43"/>
      <c r="J280" s="40"/>
    </row>
    <row r="281" spans="1:10" ht="14">
      <c r="A281" s="43"/>
      <c r="B281" s="43"/>
      <c r="C281" s="43"/>
      <c r="D281" s="43"/>
      <c r="E281" s="43"/>
      <c r="F281" s="43"/>
      <c r="G281" s="43"/>
      <c r="H281" s="43"/>
      <c r="J281" s="40"/>
    </row>
    <row r="282" spans="1:10" ht="14">
      <c r="A282" s="43"/>
      <c r="B282" s="43"/>
      <c r="C282" s="43"/>
      <c r="D282" s="43"/>
      <c r="E282" s="43"/>
      <c r="F282" s="43"/>
      <c r="G282" s="43"/>
      <c r="H282" s="43"/>
      <c r="J282" s="40"/>
    </row>
    <row r="283" spans="1:10" ht="14">
      <c r="A283" s="43"/>
      <c r="B283" s="43"/>
      <c r="C283" s="43"/>
      <c r="D283" s="43"/>
      <c r="E283" s="43"/>
      <c r="F283" s="43"/>
      <c r="G283" s="43"/>
      <c r="H283" s="43"/>
      <c r="J283" s="40"/>
    </row>
    <row r="284" spans="1:10" ht="14">
      <c r="A284" s="43"/>
      <c r="B284" s="43"/>
      <c r="C284" s="43"/>
      <c r="D284" s="43"/>
      <c r="E284" s="43"/>
      <c r="F284" s="43"/>
      <c r="G284" s="43"/>
      <c r="H284" s="43"/>
      <c r="J284" s="40"/>
    </row>
    <row r="285" spans="1:10" ht="14">
      <c r="A285" s="43"/>
      <c r="B285" s="43"/>
      <c r="C285" s="43"/>
      <c r="D285" s="43"/>
      <c r="E285" s="43"/>
      <c r="F285" s="43"/>
      <c r="G285" s="43"/>
      <c r="H285" s="43"/>
      <c r="J285" s="40"/>
    </row>
    <row r="286" spans="1:10" ht="14">
      <c r="A286" s="43"/>
      <c r="B286" s="43"/>
      <c r="C286" s="43"/>
      <c r="D286" s="43"/>
      <c r="E286" s="43"/>
      <c r="F286" s="43"/>
      <c r="G286" s="43"/>
      <c r="H286" s="43"/>
      <c r="J286" s="40"/>
    </row>
    <row r="287" spans="1:10" ht="14">
      <c r="A287" s="43"/>
      <c r="B287" s="43"/>
      <c r="C287" s="43"/>
      <c r="D287" s="43"/>
      <c r="E287" s="43"/>
      <c r="F287" s="43"/>
      <c r="G287" s="43"/>
      <c r="H287" s="43"/>
      <c r="J287" s="40"/>
    </row>
    <row r="288" spans="1:10" ht="14">
      <c r="A288" s="43"/>
      <c r="B288" s="43"/>
      <c r="C288" s="43"/>
      <c r="D288" s="43"/>
      <c r="E288" s="43"/>
      <c r="F288" s="43"/>
      <c r="G288" s="43"/>
      <c r="H288" s="43"/>
      <c r="J288" s="40"/>
    </row>
    <row r="289" spans="1:10" ht="14">
      <c r="A289" s="43"/>
      <c r="B289" s="43"/>
      <c r="C289" s="43"/>
      <c r="D289" s="43"/>
      <c r="E289" s="43"/>
      <c r="F289" s="43"/>
      <c r="G289" s="43"/>
      <c r="H289" s="43"/>
      <c r="J289" s="40"/>
    </row>
    <row r="290" spans="1:10" ht="14">
      <c r="A290" s="43"/>
      <c r="B290" s="43"/>
      <c r="C290" s="43"/>
      <c r="D290" s="43"/>
      <c r="E290" s="43"/>
      <c r="F290" s="43"/>
      <c r="G290" s="43"/>
      <c r="H290" s="43"/>
      <c r="J290" s="40"/>
    </row>
    <row r="291" spans="1:10" ht="14">
      <c r="A291" s="43"/>
      <c r="B291" s="43"/>
      <c r="C291" s="43"/>
      <c r="D291" s="43"/>
      <c r="E291" s="43"/>
      <c r="F291" s="43"/>
      <c r="G291" s="43"/>
      <c r="H291" s="43"/>
      <c r="J291" s="40"/>
    </row>
    <row r="292" spans="1:10" ht="14">
      <c r="A292" s="43"/>
      <c r="B292" s="43"/>
      <c r="C292" s="43"/>
      <c r="D292" s="43"/>
      <c r="E292" s="43"/>
      <c r="F292" s="43"/>
      <c r="G292" s="43"/>
      <c r="H292" s="43"/>
      <c r="J292" s="40"/>
    </row>
    <row r="293" spans="1:10" ht="14">
      <c r="A293" s="43"/>
      <c r="B293" s="43"/>
      <c r="C293" s="43"/>
      <c r="D293" s="43"/>
      <c r="E293" s="43"/>
      <c r="F293" s="43"/>
      <c r="G293" s="43"/>
      <c r="H293" s="43"/>
      <c r="J293" s="40"/>
    </row>
    <row r="294" spans="1:10" ht="14">
      <c r="A294" s="43"/>
      <c r="B294" s="43"/>
      <c r="C294" s="43"/>
      <c r="D294" s="43"/>
      <c r="E294" s="43"/>
      <c r="F294" s="43"/>
      <c r="G294" s="43"/>
      <c r="H294" s="43"/>
      <c r="J294" s="40"/>
    </row>
    <row r="295" spans="1:10" ht="14">
      <c r="A295" s="43"/>
      <c r="B295" s="43"/>
      <c r="C295" s="43"/>
      <c r="D295" s="43"/>
      <c r="E295" s="43"/>
      <c r="F295" s="43"/>
      <c r="G295" s="43"/>
      <c r="H295" s="43"/>
      <c r="J295" s="40"/>
    </row>
    <row r="296" spans="1:10" ht="14">
      <c r="A296" s="43"/>
      <c r="B296" s="43"/>
      <c r="C296" s="43"/>
      <c r="D296" s="43"/>
      <c r="E296" s="43"/>
      <c r="F296" s="43"/>
      <c r="G296" s="43"/>
      <c r="H296" s="43"/>
      <c r="J296" s="40"/>
    </row>
    <row r="297" spans="1:10" ht="14">
      <c r="A297" s="43"/>
      <c r="B297" s="43"/>
      <c r="C297" s="43"/>
      <c r="D297" s="43"/>
      <c r="E297" s="43"/>
      <c r="F297" s="43"/>
      <c r="G297" s="43"/>
      <c r="H297" s="43"/>
      <c r="J297" s="40"/>
    </row>
    <row r="298" spans="1:10" ht="14">
      <c r="A298" s="43"/>
      <c r="B298" s="43"/>
      <c r="C298" s="43"/>
      <c r="D298" s="43"/>
      <c r="E298" s="43"/>
      <c r="F298" s="43"/>
      <c r="G298" s="43"/>
      <c r="H298" s="43"/>
      <c r="J298" s="40"/>
    </row>
    <row r="299" spans="1:10" ht="14">
      <c r="A299" s="43"/>
      <c r="B299" s="43"/>
      <c r="C299" s="43"/>
      <c r="D299" s="43"/>
      <c r="E299" s="43"/>
      <c r="F299" s="43"/>
      <c r="G299" s="43"/>
      <c r="H299" s="43"/>
      <c r="J299" s="40"/>
    </row>
    <row r="300" spans="1:10" ht="14">
      <c r="A300" s="43"/>
      <c r="B300" s="43"/>
      <c r="C300" s="43"/>
      <c r="D300" s="43"/>
      <c r="E300" s="43"/>
      <c r="F300" s="43"/>
      <c r="G300" s="43"/>
      <c r="H300" s="43"/>
      <c r="J300" s="40"/>
    </row>
    <row r="301" spans="1:10" ht="14">
      <c r="A301" s="43"/>
      <c r="B301" s="43"/>
      <c r="C301" s="43"/>
      <c r="D301" s="43"/>
      <c r="E301" s="43"/>
      <c r="F301" s="43"/>
      <c r="G301" s="43"/>
      <c r="H301" s="43"/>
      <c r="J301" s="40"/>
    </row>
    <row r="302" spans="1:10" ht="14">
      <c r="A302" s="43"/>
      <c r="B302" s="43"/>
      <c r="C302" s="43"/>
      <c r="D302" s="43"/>
      <c r="E302" s="43"/>
      <c r="F302" s="43"/>
      <c r="G302" s="43"/>
      <c r="H302" s="43"/>
      <c r="J302" s="40"/>
    </row>
    <row r="303" spans="1:10" ht="14">
      <c r="A303" s="43"/>
      <c r="B303" s="43"/>
      <c r="C303" s="43"/>
      <c r="D303" s="43"/>
      <c r="E303" s="43"/>
      <c r="F303" s="43"/>
      <c r="G303" s="43"/>
      <c r="H303" s="43"/>
      <c r="J303" s="40"/>
    </row>
    <row r="304" spans="1:10" ht="14">
      <c r="A304" s="43"/>
      <c r="B304" s="43"/>
      <c r="C304" s="43"/>
      <c r="D304" s="43"/>
      <c r="E304" s="43"/>
      <c r="F304" s="43"/>
      <c r="G304" s="43"/>
      <c r="H304" s="43"/>
      <c r="J304" s="40"/>
    </row>
    <row r="305" spans="1:10" ht="14">
      <c r="A305" s="43"/>
      <c r="B305" s="43"/>
      <c r="C305" s="43"/>
      <c r="D305" s="43"/>
      <c r="E305" s="43"/>
      <c r="F305" s="43"/>
      <c r="G305" s="43"/>
      <c r="H305" s="43"/>
      <c r="J305" s="40"/>
    </row>
    <row r="306" spans="1:10" ht="14">
      <c r="A306" s="43"/>
      <c r="B306" s="43"/>
      <c r="C306" s="43"/>
      <c r="D306" s="43"/>
      <c r="E306" s="43"/>
      <c r="F306" s="43"/>
      <c r="G306" s="43"/>
      <c r="H306" s="43"/>
      <c r="J306" s="40"/>
    </row>
    <row r="307" spans="1:10" ht="14">
      <c r="A307" s="43"/>
      <c r="B307" s="43"/>
      <c r="C307" s="43"/>
      <c r="D307" s="43"/>
      <c r="E307" s="43"/>
      <c r="F307" s="43"/>
      <c r="G307" s="43"/>
      <c r="H307" s="43"/>
      <c r="J307" s="40"/>
    </row>
    <row r="308" spans="1:10" ht="14">
      <c r="A308" s="43"/>
      <c r="B308" s="43"/>
      <c r="C308" s="43"/>
      <c r="D308" s="43"/>
      <c r="E308" s="43"/>
      <c r="F308" s="43"/>
      <c r="G308" s="43"/>
      <c r="H308" s="43"/>
      <c r="J308" s="40"/>
    </row>
    <row r="309" spans="1:10" ht="14">
      <c r="A309" s="43"/>
      <c r="B309" s="43"/>
      <c r="C309" s="43"/>
      <c r="D309" s="43"/>
      <c r="E309" s="43"/>
      <c r="F309" s="43"/>
      <c r="G309" s="43"/>
      <c r="H309" s="43"/>
      <c r="J309" s="40"/>
    </row>
    <row r="310" spans="1:10" ht="14">
      <c r="A310" s="43"/>
      <c r="B310" s="43"/>
      <c r="C310" s="43"/>
      <c r="D310" s="43"/>
      <c r="E310" s="43"/>
      <c r="F310" s="43"/>
      <c r="G310" s="43"/>
      <c r="H310" s="43"/>
      <c r="J310" s="40"/>
    </row>
    <row r="311" spans="1:10" ht="14">
      <c r="A311" s="43"/>
      <c r="B311" s="43"/>
      <c r="C311" s="43"/>
      <c r="D311" s="43"/>
      <c r="E311" s="43"/>
      <c r="F311" s="43"/>
      <c r="G311" s="43"/>
      <c r="H311" s="43"/>
      <c r="J311" s="40"/>
    </row>
    <row r="312" spans="1:10" ht="14">
      <c r="A312" s="43"/>
      <c r="B312" s="43"/>
      <c r="C312" s="43"/>
      <c r="D312" s="43"/>
      <c r="E312" s="43"/>
      <c r="F312" s="43"/>
      <c r="G312" s="43"/>
      <c r="H312" s="43"/>
      <c r="J312" s="40"/>
    </row>
    <row r="313" spans="1:10" ht="14">
      <c r="A313" s="43"/>
      <c r="B313" s="43"/>
      <c r="C313" s="43"/>
      <c r="D313" s="43"/>
      <c r="E313" s="43"/>
      <c r="F313" s="43"/>
      <c r="G313" s="43"/>
      <c r="H313" s="43"/>
      <c r="J313" s="40"/>
    </row>
    <row r="314" spans="1:10" ht="14">
      <c r="A314" s="43"/>
      <c r="B314" s="43"/>
      <c r="C314" s="43"/>
      <c r="D314" s="43"/>
      <c r="E314" s="43"/>
      <c r="F314" s="43"/>
      <c r="G314" s="43"/>
      <c r="H314" s="43"/>
      <c r="J314" s="40"/>
    </row>
    <row r="315" spans="1:10" ht="14">
      <c r="A315" s="43"/>
      <c r="B315" s="43"/>
      <c r="C315" s="43"/>
      <c r="D315" s="43"/>
      <c r="E315" s="43"/>
      <c r="F315" s="43"/>
      <c r="G315" s="43"/>
      <c r="H315" s="43"/>
      <c r="J315" s="40"/>
    </row>
    <row r="316" spans="1:10" ht="14">
      <c r="A316" s="43"/>
      <c r="B316" s="43"/>
      <c r="C316" s="43"/>
      <c r="D316" s="43"/>
      <c r="E316" s="43"/>
      <c r="F316" s="43"/>
      <c r="G316" s="43"/>
      <c r="H316" s="43"/>
      <c r="J316" s="40"/>
    </row>
    <row r="317" spans="1:10" ht="14">
      <c r="A317" s="43"/>
      <c r="B317" s="43"/>
      <c r="C317" s="43"/>
      <c r="D317" s="43"/>
      <c r="E317" s="43"/>
      <c r="F317" s="43"/>
      <c r="G317" s="43"/>
      <c r="H317" s="43"/>
      <c r="J317" s="40"/>
    </row>
    <row r="318" spans="1:10" ht="14">
      <c r="A318" s="43"/>
      <c r="B318" s="43"/>
      <c r="C318" s="43"/>
      <c r="D318" s="43"/>
      <c r="E318" s="43"/>
      <c r="F318" s="43"/>
      <c r="G318" s="43"/>
      <c r="H318" s="43"/>
      <c r="J318" s="40"/>
    </row>
    <row r="319" spans="1:10" ht="14">
      <c r="A319" s="43"/>
      <c r="B319" s="43"/>
      <c r="C319" s="43"/>
      <c r="D319" s="43"/>
      <c r="E319" s="43"/>
      <c r="F319" s="43"/>
      <c r="G319" s="43"/>
      <c r="H319" s="43"/>
      <c r="J319" s="40"/>
    </row>
    <row r="320" spans="1:10" ht="14">
      <c r="A320" s="43"/>
      <c r="B320" s="43"/>
      <c r="C320" s="43"/>
      <c r="D320" s="43"/>
      <c r="E320" s="43"/>
      <c r="F320" s="43"/>
      <c r="G320" s="43"/>
      <c r="H320" s="43"/>
      <c r="J320" s="40"/>
    </row>
    <row r="321" spans="1:10" ht="14">
      <c r="A321" s="43"/>
      <c r="B321" s="43"/>
      <c r="C321" s="43"/>
      <c r="D321" s="43"/>
      <c r="E321" s="43"/>
      <c r="F321" s="43"/>
      <c r="G321" s="43"/>
      <c r="H321" s="43"/>
      <c r="J321" s="40"/>
    </row>
    <row r="322" spans="1:10" ht="14">
      <c r="A322" s="43"/>
      <c r="B322" s="43"/>
      <c r="C322" s="43"/>
      <c r="D322" s="43"/>
      <c r="E322" s="43"/>
      <c r="F322" s="43"/>
      <c r="G322" s="43"/>
      <c r="H322" s="43"/>
      <c r="J322" s="40"/>
    </row>
    <row r="323" spans="1:10" ht="14">
      <c r="A323" s="43"/>
      <c r="B323" s="43"/>
      <c r="C323" s="43"/>
      <c r="D323" s="43"/>
      <c r="E323" s="43"/>
      <c r="F323" s="43"/>
      <c r="G323" s="43"/>
      <c r="H323" s="43"/>
      <c r="J323" s="40"/>
    </row>
    <row r="324" spans="1:10" ht="14">
      <c r="A324" s="43"/>
      <c r="B324" s="43"/>
      <c r="C324" s="43"/>
      <c r="D324" s="43"/>
      <c r="E324" s="43"/>
      <c r="F324" s="43"/>
      <c r="G324" s="43"/>
      <c r="H324" s="43"/>
      <c r="J324" s="40"/>
    </row>
    <row r="325" spans="1:10" ht="14">
      <c r="A325" s="43"/>
      <c r="B325" s="43"/>
      <c r="C325" s="43"/>
      <c r="D325" s="43"/>
      <c r="E325" s="43"/>
      <c r="F325" s="43"/>
      <c r="G325" s="43"/>
      <c r="H325" s="43"/>
      <c r="J325" s="40"/>
    </row>
    <row r="326" spans="1:10" ht="14">
      <c r="A326" s="43"/>
      <c r="B326" s="43"/>
      <c r="C326" s="43"/>
      <c r="D326" s="43"/>
      <c r="E326" s="43"/>
      <c r="F326" s="43"/>
      <c r="G326" s="43"/>
      <c r="H326" s="43"/>
      <c r="J326" s="40"/>
    </row>
    <row r="327" spans="1:10" ht="14">
      <c r="A327" s="43"/>
      <c r="B327" s="43"/>
      <c r="C327" s="43"/>
      <c r="D327" s="43"/>
      <c r="E327" s="43"/>
      <c r="F327" s="43"/>
      <c r="G327" s="43"/>
      <c r="H327" s="43"/>
      <c r="J327" s="40"/>
    </row>
    <row r="328" spans="1:10" ht="14">
      <c r="A328" s="43"/>
      <c r="B328" s="43"/>
      <c r="C328" s="43"/>
      <c r="D328" s="43"/>
      <c r="E328" s="43"/>
      <c r="F328" s="43"/>
      <c r="G328" s="43"/>
      <c r="H328" s="43"/>
      <c r="J328" s="40"/>
    </row>
    <row r="329" spans="1:10" ht="14">
      <c r="A329" s="43"/>
      <c r="B329" s="43"/>
      <c r="C329" s="43"/>
      <c r="D329" s="43"/>
      <c r="E329" s="43"/>
      <c r="F329" s="43"/>
      <c r="G329" s="43"/>
      <c r="H329" s="43"/>
      <c r="J329" s="40"/>
    </row>
    <row r="330" spans="1:10" ht="14">
      <c r="A330" s="43"/>
      <c r="B330" s="43"/>
      <c r="C330" s="43"/>
      <c r="D330" s="43"/>
      <c r="E330" s="43"/>
      <c r="F330" s="43"/>
      <c r="G330" s="43"/>
      <c r="H330" s="43"/>
      <c r="J330" s="40"/>
    </row>
    <row r="331" spans="1:10" ht="14">
      <c r="A331" s="43"/>
      <c r="B331" s="43"/>
      <c r="C331" s="43"/>
      <c r="D331" s="43"/>
      <c r="E331" s="43"/>
      <c r="F331" s="43"/>
      <c r="G331" s="43"/>
      <c r="H331" s="43"/>
      <c r="J331" s="40"/>
    </row>
    <row r="332" spans="1:10" ht="14">
      <c r="A332" s="43"/>
      <c r="B332" s="43"/>
      <c r="C332" s="43"/>
      <c r="D332" s="43"/>
      <c r="E332" s="43"/>
      <c r="F332" s="43"/>
      <c r="G332" s="43"/>
      <c r="H332" s="43"/>
      <c r="J332" s="40"/>
    </row>
    <row r="333" spans="1:10" ht="14">
      <c r="A333" s="43"/>
      <c r="B333" s="43"/>
      <c r="C333" s="43"/>
      <c r="D333" s="43"/>
      <c r="E333" s="43"/>
      <c r="F333" s="43"/>
      <c r="G333" s="43"/>
      <c r="H333" s="43"/>
      <c r="J333" s="40"/>
    </row>
    <row r="334" spans="1:10" ht="14">
      <c r="A334" s="43"/>
      <c r="B334" s="43"/>
      <c r="C334" s="43"/>
      <c r="D334" s="43"/>
      <c r="E334" s="43"/>
      <c r="F334" s="43"/>
      <c r="G334" s="43"/>
      <c r="H334" s="43"/>
      <c r="J334" s="40"/>
    </row>
    <row r="335" spans="1:10" ht="14">
      <c r="A335" s="43"/>
      <c r="B335" s="43"/>
      <c r="C335" s="43"/>
      <c r="D335" s="43"/>
      <c r="E335" s="43"/>
      <c r="F335" s="43"/>
      <c r="G335" s="43"/>
      <c r="H335" s="43"/>
      <c r="J335" s="40"/>
    </row>
    <row r="336" spans="1:10" ht="14">
      <c r="A336" s="43"/>
      <c r="B336" s="43"/>
      <c r="C336" s="43"/>
      <c r="D336" s="43"/>
      <c r="E336" s="43"/>
      <c r="F336" s="43"/>
      <c r="G336" s="43"/>
      <c r="H336" s="43"/>
      <c r="J336" s="40"/>
    </row>
    <row r="337" spans="1:10" ht="14">
      <c r="A337" s="43"/>
      <c r="B337" s="43"/>
      <c r="C337" s="43"/>
      <c r="D337" s="43"/>
      <c r="E337" s="43"/>
      <c r="F337" s="43"/>
      <c r="G337" s="43"/>
      <c r="H337" s="43"/>
      <c r="J337" s="40"/>
    </row>
    <row r="338" spans="1:10" ht="14">
      <c r="A338" s="43"/>
      <c r="B338" s="43"/>
      <c r="C338" s="43"/>
      <c r="D338" s="43"/>
      <c r="E338" s="43"/>
      <c r="F338" s="43"/>
      <c r="G338" s="43"/>
      <c r="H338" s="43"/>
      <c r="J338" s="40"/>
    </row>
    <row r="339" spans="1:10" ht="14">
      <c r="A339" s="43"/>
      <c r="B339" s="43"/>
      <c r="C339" s="43"/>
      <c r="D339" s="43"/>
      <c r="E339" s="43"/>
      <c r="F339" s="43"/>
      <c r="G339" s="43"/>
      <c r="H339" s="43"/>
      <c r="J339" s="40"/>
    </row>
    <row r="340" spans="1:10" ht="14">
      <c r="A340" s="43"/>
      <c r="B340" s="43"/>
      <c r="C340" s="43"/>
      <c r="D340" s="43"/>
      <c r="E340" s="43"/>
      <c r="F340" s="43"/>
      <c r="G340" s="43"/>
      <c r="H340" s="43"/>
      <c r="J340" s="40"/>
    </row>
    <row r="341" spans="1:10" ht="14">
      <c r="A341" s="43"/>
      <c r="B341" s="43"/>
      <c r="C341" s="43"/>
      <c r="D341" s="43"/>
      <c r="E341" s="43"/>
      <c r="F341" s="43"/>
      <c r="G341" s="43"/>
      <c r="H341" s="43"/>
      <c r="J341" s="40"/>
    </row>
    <row r="342" spans="1:10" ht="14">
      <c r="A342" s="43"/>
      <c r="B342" s="43"/>
      <c r="C342" s="43"/>
      <c r="D342" s="43"/>
      <c r="E342" s="43"/>
      <c r="F342" s="43"/>
      <c r="G342" s="43"/>
      <c r="H342" s="43"/>
      <c r="J342" s="40"/>
    </row>
    <row r="343" spans="1:10" ht="14">
      <c r="A343" s="43"/>
      <c r="B343" s="43"/>
      <c r="C343" s="43"/>
      <c r="D343" s="43"/>
      <c r="E343" s="43"/>
      <c r="F343" s="43"/>
      <c r="G343" s="43"/>
      <c r="H343" s="43"/>
      <c r="J343" s="40"/>
    </row>
    <row r="344" spans="1:10" ht="14">
      <c r="A344" s="43"/>
      <c r="B344" s="43"/>
      <c r="C344" s="43"/>
      <c r="D344" s="43"/>
      <c r="E344" s="43"/>
      <c r="F344" s="43"/>
      <c r="G344" s="43"/>
      <c r="H344" s="43"/>
      <c r="J344" s="40"/>
    </row>
    <row r="345" spans="1:10" ht="14">
      <c r="A345" s="43"/>
      <c r="B345" s="43"/>
      <c r="C345" s="43"/>
      <c r="D345" s="43"/>
      <c r="E345" s="43"/>
      <c r="F345" s="43"/>
      <c r="G345" s="43"/>
      <c r="H345" s="43"/>
      <c r="J345" s="40"/>
    </row>
    <row r="346" spans="1:10" ht="14">
      <c r="A346" s="43"/>
      <c r="B346" s="43"/>
      <c r="C346" s="43"/>
      <c r="D346" s="43"/>
      <c r="E346" s="43"/>
      <c r="F346" s="43"/>
      <c r="G346" s="43"/>
      <c r="H346" s="43"/>
      <c r="J346" s="40"/>
    </row>
    <row r="347" spans="1:10" ht="14">
      <c r="A347" s="43"/>
      <c r="B347" s="43"/>
      <c r="C347" s="43"/>
      <c r="D347" s="43"/>
      <c r="E347" s="43"/>
      <c r="F347" s="43"/>
      <c r="G347" s="43"/>
      <c r="H347" s="43"/>
      <c r="J347" s="40"/>
    </row>
    <row r="348" spans="1:10" ht="14">
      <c r="A348" s="43"/>
      <c r="B348" s="43"/>
      <c r="C348" s="43"/>
      <c r="D348" s="43"/>
      <c r="E348" s="43"/>
      <c r="F348" s="43"/>
      <c r="G348" s="43"/>
      <c r="H348" s="43"/>
      <c r="J348" s="40"/>
    </row>
    <row r="349" spans="1:10" ht="14">
      <c r="A349" s="43"/>
      <c r="B349" s="43"/>
      <c r="C349" s="43"/>
      <c r="D349" s="43"/>
      <c r="E349" s="43"/>
      <c r="F349" s="43"/>
      <c r="G349" s="43"/>
      <c r="H349" s="43"/>
      <c r="J349" s="40"/>
    </row>
    <row r="350" spans="1:10" ht="14">
      <c r="A350" s="43"/>
      <c r="B350" s="43"/>
      <c r="C350" s="43"/>
      <c r="D350" s="43"/>
      <c r="E350" s="43"/>
      <c r="F350" s="43"/>
      <c r="G350" s="43"/>
      <c r="H350" s="43"/>
      <c r="J350" s="40"/>
    </row>
    <row r="351" spans="1:10" ht="14">
      <c r="A351" s="43"/>
      <c r="B351" s="43"/>
      <c r="C351" s="43"/>
      <c r="D351" s="43"/>
      <c r="E351" s="43"/>
      <c r="F351" s="43"/>
      <c r="G351" s="43"/>
      <c r="H351" s="43"/>
      <c r="J351" s="40"/>
    </row>
    <row r="352" spans="1:10" ht="14">
      <c r="A352" s="43"/>
      <c r="B352" s="43"/>
      <c r="C352" s="43"/>
      <c r="D352" s="43"/>
      <c r="E352" s="43"/>
      <c r="F352" s="43"/>
      <c r="G352" s="43"/>
      <c r="H352" s="43"/>
      <c r="J352" s="40"/>
    </row>
    <row r="353" spans="1:10" ht="14">
      <c r="A353" s="43"/>
      <c r="B353" s="43"/>
      <c r="C353" s="43"/>
      <c r="D353" s="43"/>
      <c r="E353" s="43"/>
      <c r="F353" s="43"/>
      <c r="G353" s="43"/>
      <c r="H353" s="43"/>
      <c r="J353" s="40"/>
    </row>
    <row r="354" spans="1:10" ht="14">
      <c r="A354" s="43"/>
      <c r="B354" s="43"/>
      <c r="C354" s="43"/>
      <c r="D354" s="43"/>
      <c r="E354" s="43"/>
      <c r="F354" s="43"/>
      <c r="G354" s="43"/>
      <c r="H354" s="43"/>
      <c r="J354" s="40"/>
    </row>
    <row r="355" spans="1:10" ht="14">
      <c r="A355" s="43"/>
      <c r="B355" s="43"/>
      <c r="C355" s="43"/>
      <c r="D355" s="43"/>
      <c r="E355" s="43"/>
      <c r="F355" s="43"/>
      <c r="G355" s="43"/>
      <c r="H355" s="43"/>
      <c r="J355" s="40"/>
    </row>
    <row r="356" spans="1:10" ht="14">
      <c r="A356" s="43"/>
      <c r="B356" s="43"/>
      <c r="C356" s="43"/>
      <c r="D356" s="43"/>
      <c r="E356" s="43"/>
      <c r="F356" s="43"/>
      <c r="G356" s="43"/>
      <c r="H356" s="43"/>
      <c r="J356" s="40"/>
    </row>
    <row r="357" spans="1:10" ht="14">
      <c r="A357" s="43"/>
      <c r="B357" s="43"/>
      <c r="C357" s="43"/>
      <c r="D357" s="43"/>
      <c r="E357" s="43"/>
      <c r="F357" s="43"/>
      <c r="G357" s="43"/>
      <c r="H357" s="43"/>
      <c r="J357" s="40"/>
    </row>
    <row r="358" spans="1:10" ht="14">
      <c r="A358" s="43"/>
      <c r="B358" s="43"/>
      <c r="C358" s="43"/>
      <c r="D358" s="43"/>
      <c r="E358" s="43"/>
      <c r="F358" s="43"/>
      <c r="G358" s="43"/>
      <c r="H358" s="43"/>
      <c r="J358" s="40"/>
    </row>
    <row r="359" spans="1:10" ht="14">
      <c r="A359" s="43"/>
      <c r="B359" s="43"/>
      <c r="C359" s="43"/>
      <c r="D359" s="43"/>
      <c r="E359" s="43"/>
      <c r="F359" s="43"/>
      <c r="G359" s="43"/>
      <c r="H359" s="43"/>
      <c r="J359" s="40"/>
    </row>
    <row r="360" spans="1:10" ht="14">
      <c r="A360" s="43"/>
      <c r="B360" s="43"/>
      <c r="C360" s="43"/>
      <c r="D360" s="43"/>
      <c r="E360" s="43"/>
      <c r="F360" s="43"/>
      <c r="G360" s="43"/>
      <c r="H360" s="43"/>
      <c r="J360" s="40"/>
    </row>
    <row r="361" spans="1:10" ht="14">
      <c r="A361" s="43"/>
      <c r="B361" s="43"/>
      <c r="C361" s="43"/>
      <c r="D361" s="43"/>
      <c r="E361" s="43"/>
      <c r="F361" s="43"/>
      <c r="G361" s="43"/>
      <c r="H361" s="43"/>
      <c r="J361" s="40"/>
    </row>
    <row r="362" spans="1:10" ht="14">
      <c r="A362" s="43"/>
      <c r="B362" s="43"/>
      <c r="C362" s="43"/>
      <c r="D362" s="43"/>
      <c r="E362" s="43"/>
      <c r="F362" s="43"/>
      <c r="G362" s="43"/>
      <c r="H362" s="43"/>
      <c r="J362" s="40"/>
    </row>
    <row r="363" spans="1:10" ht="14">
      <c r="A363" s="43"/>
      <c r="B363" s="43"/>
      <c r="C363" s="43"/>
      <c r="D363" s="43"/>
      <c r="E363" s="43"/>
      <c r="F363" s="43"/>
      <c r="G363" s="43"/>
      <c r="H363" s="43"/>
      <c r="J363" s="40"/>
    </row>
    <row r="364" spans="1:10" ht="14">
      <c r="A364" s="43"/>
      <c r="B364" s="43"/>
      <c r="C364" s="43"/>
      <c r="D364" s="43"/>
      <c r="E364" s="43"/>
      <c r="F364" s="43"/>
      <c r="G364" s="43"/>
      <c r="H364" s="43"/>
      <c r="J364" s="40"/>
    </row>
    <row r="365" spans="1:10" ht="14">
      <c r="A365" s="43"/>
      <c r="B365" s="43"/>
      <c r="C365" s="43"/>
      <c r="D365" s="43"/>
      <c r="E365" s="43"/>
      <c r="F365" s="43"/>
      <c r="G365" s="43"/>
      <c r="H365" s="43"/>
      <c r="J365" s="40"/>
    </row>
    <row r="366" spans="1:10" ht="14">
      <c r="A366" s="43"/>
      <c r="B366" s="43"/>
      <c r="C366" s="43"/>
      <c r="D366" s="43"/>
      <c r="E366" s="43"/>
      <c r="F366" s="43"/>
      <c r="G366" s="43"/>
      <c r="H366" s="43"/>
      <c r="J366" s="40"/>
    </row>
    <row r="367" spans="1:10" ht="14">
      <c r="A367" s="43"/>
      <c r="B367" s="43"/>
      <c r="C367" s="43"/>
      <c r="D367" s="43"/>
      <c r="E367" s="43"/>
      <c r="F367" s="43"/>
      <c r="G367" s="43"/>
      <c r="H367" s="43"/>
      <c r="J367" s="40"/>
    </row>
    <row r="368" spans="1:10" ht="14">
      <c r="A368" s="43"/>
      <c r="B368" s="43"/>
      <c r="C368" s="43"/>
      <c r="D368" s="43"/>
      <c r="E368" s="43"/>
      <c r="F368" s="43"/>
      <c r="G368" s="43"/>
      <c r="H368" s="43"/>
      <c r="J368" s="40"/>
    </row>
    <row r="369" spans="1:10" ht="14">
      <c r="A369" s="43"/>
      <c r="B369" s="43"/>
      <c r="C369" s="43"/>
      <c r="D369" s="43"/>
      <c r="E369" s="43"/>
      <c r="F369" s="43"/>
      <c r="G369" s="43"/>
      <c r="H369" s="43"/>
      <c r="J369" s="40"/>
    </row>
    <row r="370" spans="1:10" ht="14">
      <c r="A370" s="43"/>
      <c r="B370" s="43"/>
      <c r="C370" s="43"/>
      <c r="D370" s="43"/>
      <c r="E370" s="43"/>
      <c r="F370" s="43"/>
      <c r="G370" s="43"/>
      <c r="H370" s="43"/>
      <c r="J370" s="40"/>
    </row>
    <row r="371" spans="1:10" ht="14">
      <c r="A371" s="43"/>
      <c r="B371" s="43"/>
      <c r="C371" s="43"/>
      <c r="D371" s="43"/>
      <c r="E371" s="43"/>
      <c r="F371" s="43"/>
      <c r="G371" s="43"/>
      <c r="H371" s="43"/>
      <c r="J371" s="40"/>
    </row>
    <row r="372" spans="1:10" ht="14">
      <c r="A372" s="43"/>
      <c r="B372" s="43"/>
      <c r="C372" s="43"/>
      <c r="D372" s="43"/>
      <c r="E372" s="43"/>
      <c r="F372" s="43"/>
      <c r="G372" s="43"/>
      <c r="H372" s="43"/>
      <c r="J372" s="40"/>
    </row>
    <row r="373" spans="1:10" ht="14">
      <c r="A373" s="43"/>
      <c r="B373" s="43"/>
      <c r="C373" s="43"/>
      <c r="D373" s="43"/>
      <c r="E373" s="43"/>
      <c r="F373" s="43"/>
      <c r="G373" s="43"/>
      <c r="H373" s="43"/>
      <c r="J373" s="40"/>
    </row>
    <row r="374" spans="1:10" ht="14">
      <c r="A374" s="43"/>
      <c r="B374" s="43"/>
      <c r="C374" s="43"/>
      <c r="D374" s="43"/>
      <c r="E374" s="43"/>
      <c r="F374" s="43"/>
      <c r="G374" s="43"/>
      <c r="H374" s="43"/>
      <c r="J374" s="40"/>
    </row>
    <row r="375" spans="1:10" ht="14">
      <c r="A375" s="43"/>
      <c r="B375" s="43"/>
      <c r="C375" s="43"/>
      <c r="D375" s="43"/>
      <c r="E375" s="43"/>
      <c r="F375" s="43"/>
      <c r="G375" s="43"/>
      <c r="H375" s="43"/>
      <c r="J375" s="40"/>
    </row>
    <row r="376" spans="1:10" ht="14">
      <c r="A376" s="43"/>
      <c r="B376" s="43"/>
      <c r="C376" s="43"/>
      <c r="D376" s="43"/>
      <c r="E376" s="43"/>
      <c r="F376" s="43"/>
      <c r="G376" s="43"/>
      <c r="H376" s="43"/>
      <c r="J376" s="40"/>
    </row>
    <row r="377" spans="1:10" ht="14">
      <c r="A377" s="43"/>
      <c r="B377" s="43"/>
      <c r="C377" s="43"/>
      <c r="D377" s="43"/>
      <c r="E377" s="43"/>
      <c r="F377" s="43"/>
      <c r="G377" s="43"/>
      <c r="H377" s="43"/>
      <c r="J377" s="40"/>
    </row>
    <row r="378" spans="1:10" ht="14">
      <c r="A378" s="43"/>
      <c r="B378" s="43"/>
      <c r="C378" s="43"/>
      <c r="D378" s="43"/>
      <c r="E378" s="43"/>
      <c r="F378" s="43"/>
      <c r="G378" s="43"/>
      <c r="H378" s="43"/>
      <c r="J378" s="40"/>
    </row>
    <row r="379" spans="1:10" ht="14">
      <c r="A379" s="43"/>
      <c r="B379" s="43"/>
      <c r="C379" s="43"/>
      <c r="D379" s="43"/>
      <c r="E379" s="43"/>
      <c r="F379" s="43"/>
      <c r="G379" s="43"/>
      <c r="H379" s="43"/>
      <c r="J379" s="40"/>
    </row>
    <row r="380" spans="1:10" ht="14">
      <c r="A380" s="43"/>
      <c r="B380" s="43"/>
      <c r="C380" s="43"/>
      <c r="D380" s="43"/>
      <c r="E380" s="43"/>
      <c r="F380" s="43"/>
      <c r="G380" s="43"/>
      <c r="H380" s="43"/>
      <c r="J380" s="40"/>
    </row>
    <row r="381" spans="1:10" ht="14">
      <c r="A381" s="43"/>
      <c r="B381" s="43"/>
      <c r="C381" s="43"/>
      <c r="D381" s="43"/>
      <c r="E381" s="43"/>
      <c r="F381" s="43"/>
      <c r="G381" s="43"/>
      <c r="H381" s="43"/>
      <c r="J381" s="40"/>
    </row>
    <row r="382" spans="1:10" ht="14">
      <c r="A382" s="43"/>
      <c r="B382" s="43"/>
      <c r="C382" s="43"/>
      <c r="D382" s="43"/>
      <c r="E382" s="43"/>
      <c r="F382" s="43"/>
      <c r="G382" s="43"/>
      <c r="H382" s="43"/>
      <c r="J382" s="40"/>
    </row>
    <row r="383" spans="1:10" ht="14">
      <c r="A383" s="43"/>
      <c r="B383" s="43"/>
      <c r="C383" s="43"/>
      <c r="D383" s="43"/>
      <c r="E383" s="43"/>
      <c r="F383" s="43"/>
      <c r="G383" s="43"/>
      <c r="H383" s="43"/>
      <c r="J383" s="40"/>
    </row>
    <row r="384" spans="1:10" ht="14">
      <c r="A384" s="43"/>
      <c r="B384" s="43"/>
      <c r="C384" s="43"/>
      <c r="D384" s="43"/>
      <c r="E384" s="43"/>
      <c r="F384" s="43"/>
      <c r="G384" s="43"/>
      <c r="H384" s="43"/>
      <c r="J384" s="40"/>
    </row>
    <row r="385" spans="1:10" ht="14">
      <c r="A385" s="43"/>
      <c r="B385" s="43"/>
      <c r="C385" s="43"/>
      <c r="D385" s="43"/>
      <c r="E385" s="43"/>
      <c r="F385" s="43"/>
      <c r="G385" s="43"/>
      <c r="H385" s="43"/>
      <c r="J385" s="40"/>
    </row>
    <row r="386" spans="1:10" ht="14">
      <c r="A386" s="43"/>
      <c r="B386" s="43"/>
      <c r="C386" s="43"/>
      <c r="D386" s="43"/>
      <c r="E386" s="43"/>
      <c r="F386" s="43"/>
      <c r="G386" s="43"/>
      <c r="H386" s="43"/>
      <c r="J386" s="40"/>
    </row>
    <row r="387" spans="1:10" ht="14">
      <c r="A387" s="43"/>
      <c r="B387" s="43"/>
      <c r="C387" s="43"/>
      <c r="D387" s="43"/>
      <c r="E387" s="43"/>
      <c r="F387" s="43"/>
      <c r="G387" s="43"/>
      <c r="H387" s="43"/>
      <c r="J387" s="40"/>
    </row>
    <row r="388" spans="1:10" ht="14">
      <c r="A388" s="43"/>
      <c r="B388" s="43"/>
      <c r="C388" s="43"/>
      <c r="D388" s="43"/>
      <c r="E388" s="43"/>
      <c r="F388" s="43"/>
      <c r="G388" s="43"/>
      <c r="H388" s="43"/>
      <c r="J388" s="40"/>
    </row>
    <row r="389" spans="1:10" ht="14">
      <c r="A389" s="43"/>
      <c r="B389" s="43"/>
      <c r="C389" s="43"/>
      <c r="D389" s="43"/>
      <c r="E389" s="43"/>
      <c r="F389" s="43"/>
      <c r="G389" s="43"/>
      <c r="H389" s="43"/>
      <c r="J389" s="40"/>
    </row>
    <row r="390" spans="1:10" ht="14">
      <c r="A390" s="43"/>
      <c r="B390" s="43"/>
      <c r="C390" s="43"/>
      <c r="D390" s="43"/>
      <c r="E390" s="43"/>
      <c r="F390" s="43"/>
      <c r="G390" s="43"/>
      <c r="H390" s="43"/>
      <c r="J390" s="40"/>
    </row>
    <row r="391" spans="1:10" ht="14">
      <c r="A391" s="43"/>
      <c r="B391" s="43"/>
      <c r="C391" s="43"/>
      <c r="D391" s="43"/>
      <c r="E391" s="43"/>
      <c r="F391" s="43"/>
      <c r="G391" s="43"/>
      <c r="H391" s="43"/>
      <c r="J391" s="40"/>
    </row>
    <row r="392" spans="1:10" ht="14">
      <c r="A392" s="43"/>
      <c r="B392" s="43"/>
      <c r="C392" s="43"/>
      <c r="D392" s="43"/>
      <c r="E392" s="43"/>
      <c r="F392" s="43"/>
      <c r="G392" s="43"/>
      <c r="H392" s="43"/>
      <c r="J392" s="40"/>
    </row>
    <row r="393" spans="1:10" ht="14">
      <c r="A393" s="43"/>
      <c r="B393" s="43"/>
      <c r="C393" s="43"/>
      <c r="D393" s="43"/>
      <c r="E393" s="43"/>
      <c r="F393" s="43"/>
      <c r="G393" s="43"/>
      <c r="H393" s="43"/>
      <c r="J393" s="40"/>
    </row>
    <row r="394" spans="1:10" ht="14">
      <c r="A394" s="43"/>
      <c r="B394" s="43"/>
      <c r="C394" s="43"/>
      <c r="D394" s="43"/>
      <c r="E394" s="43"/>
      <c r="F394" s="43"/>
      <c r="G394" s="43"/>
      <c r="H394" s="43"/>
      <c r="J394" s="40"/>
    </row>
    <row r="395" spans="1:10" ht="14">
      <c r="A395" s="43"/>
      <c r="B395" s="43"/>
      <c r="C395" s="43"/>
      <c r="D395" s="43"/>
      <c r="E395" s="43"/>
      <c r="F395" s="43"/>
      <c r="G395" s="43"/>
      <c r="H395" s="43"/>
      <c r="J395" s="40"/>
    </row>
    <row r="396" spans="1:10" ht="14">
      <c r="A396" s="43"/>
      <c r="B396" s="43"/>
      <c r="C396" s="43"/>
      <c r="D396" s="43"/>
      <c r="E396" s="43"/>
      <c r="F396" s="43"/>
      <c r="G396" s="43"/>
      <c r="H396" s="43"/>
      <c r="J396" s="40"/>
    </row>
    <row r="397" spans="1:10" ht="14">
      <c r="A397" s="43"/>
      <c r="B397" s="43"/>
      <c r="C397" s="43"/>
      <c r="D397" s="43"/>
      <c r="E397" s="43"/>
      <c r="F397" s="43"/>
      <c r="G397" s="43"/>
      <c r="H397" s="43"/>
      <c r="J397" s="40"/>
    </row>
    <row r="398" spans="1:10" ht="14">
      <c r="A398" s="43"/>
      <c r="B398" s="43"/>
      <c r="C398" s="43"/>
      <c r="D398" s="43"/>
      <c r="E398" s="43"/>
      <c r="F398" s="43"/>
      <c r="G398" s="43"/>
      <c r="H398" s="43"/>
      <c r="J398" s="40"/>
    </row>
    <row r="399" spans="1:10" ht="14">
      <c r="A399" s="43"/>
      <c r="B399" s="43"/>
      <c r="C399" s="43"/>
      <c r="D399" s="43"/>
      <c r="E399" s="43"/>
      <c r="F399" s="43"/>
      <c r="G399" s="43"/>
      <c r="H399" s="43"/>
      <c r="J399" s="40"/>
    </row>
    <row r="400" spans="1:10" ht="14">
      <c r="A400" s="43"/>
      <c r="B400" s="43"/>
      <c r="C400" s="43"/>
      <c r="D400" s="43"/>
      <c r="E400" s="43"/>
      <c r="F400" s="43"/>
      <c r="G400" s="43"/>
      <c r="H400" s="43"/>
      <c r="J400" s="40"/>
    </row>
    <row r="401" spans="1:10" ht="14">
      <c r="A401" s="43"/>
      <c r="B401" s="43"/>
      <c r="C401" s="43"/>
      <c r="D401" s="43"/>
      <c r="E401" s="43"/>
      <c r="F401" s="43"/>
      <c r="G401" s="43"/>
      <c r="H401" s="43"/>
      <c r="J401" s="40"/>
    </row>
    <row r="402" spans="1:10" ht="14">
      <c r="A402" s="43"/>
      <c r="B402" s="43"/>
      <c r="C402" s="43"/>
      <c r="D402" s="43"/>
      <c r="E402" s="43"/>
      <c r="F402" s="43"/>
      <c r="G402" s="43"/>
      <c r="H402" s="43"/>
      <c r="J402" s="40"/>
    </row>
    <row r="403" spans="1:10" ht="14">
      <c r="A403" s="43"/>
      <c r="B403" s="43"/>
      <c r="C403" s="43"/>
      <c r="D403" s="43"/>
      <c r="E403" s="43"/>
      <c r="F403" s="43"/>
      <c r="G403" s="43"/>
      <c r="H403" s="43"/>
      <c r="J403" s="40"/>
    </row>
    <row r="404" spans="1:10" ht="14">
      <c r="A404" s="43"/>
      <c r="B404" s="43"/>
      <c r="C404" s="43"/>
      <c r="D404" s="43"/>
      <c r="E404" s="43"/>
      <c r="F404" s="43"/>
      <c r="G404" s="43"/>
      <c r="H404" s="43"/>
      <c r="J404" s="40"/>
    </row>
    <row r="405" spans="1:10" ht="14">
      <c r="A405" s="43"/>
      <c r="B405" s="43"/>
      <c r="C405" s="43"/>
      <c r="D405" s="43"/>
      <c r="E405" s="43"/>
      <c r="F405" s="43"/>
      <c r="G405" s="43"/>
      <c r="H405" s="43"/>
      <c r="J405" s="40"/>
    </row>
    <row r="406" spans="1:10" ht="14">
      <c r="A406" s="43"/>
      <c r="B406" s="43"/>
      <c r="C406" s="43"/>
      <c r="D406" s="43"/>
      <c r="E406" s="43"/>
      <c r="F406" s="43"/>
      <c r="G406" s="43"/>
      <c r="H406" s="43"/>
      <c r="J406" s="40"/>
    </row>
    <row r="407" spans="1:10" ht="14">
      <c r="A407" s="43"/>
      <c r="B407" s="43"/>
      <c r="C407" s="43"/>
      <c r="D407" s="43"/>
      <c r="E407" s="43"/>
      <c r="F407" s="43"/>
      <c r="G407" s="43"/>
      <c r="H407" s="43"/>
      <c r="J407" s="40"/>
    </row>
    <row r="408" spans="1:10" ht="14">
      <c r="A408" s="43"/>
      <c r="B408" s="43"/>
      <c r="C408" s="43"/>
      <c r="D408" s="43"/>
      <c r="E408" s="43"/>
      <c r="F408" s="43"/>
      <c r="G408" s="43"/>
      <c r="H408" s="43"/>
      <c r="J408" s="40"/>
    </row>
    <row r="409" spans="1:10" ht="14">
      <c r="A409" s="43"/>
      <c r="B409" s="43"/>
      <c r="C409" s="43"/>
      <c r="D409" s="43"/>
      <c r="E409" s="43"/>
      <c r="F409" s="43"/>
      <c r="G409" s="43"/>
      <c r="H409" s="43"/>
      <c r="J409" s="40"/>
    </row>
    <row r="410" spans="1:10" ht="14">
      <c r="A410" s="43"/>
      <c r="B410" s="43"/>
      <c r="C410" s="43"/>
      <c r="D410" s="43"/>
      <c r="E410" s="43"/>
      <c r="F410" s="43"/>
      <c r="G410" s="43"/>
      <c r="H410" s="43"/>
      <c r="J410" s="40"/>
    </row>
    <row r="411" spans="1:10" ht="14">
      <c r="A411" s="43"/>
      <c r="B411" s="43"/>
      <c r="C411" s="43"/>
      <c r="D411" s="43"/>
      <c r="E411" s="43"/>
      <c r="F411" s="43"/>
      <c r="G411" s="43"/>
      <c r="H411" s="43"/>
      <c r="J411" s="40"/>
    </row>
    <row r="412" spans="1:10" ht="14">
      <c r="A412" s="43"/>
      <c r="B412" s="43"/>
      <c r="C412" s="43"/>
      <c r="D412" s="43"/>
      <c r="E412" s="43"/>
      <c r="F412" s="43"/>
      <c r="G412" s="43"/>
      <c r="H412" s="43"/>
      <c r="J412" s="40"/>
    </row>
    <row r="413" spans="1:10" ht="14">
      <c r="A413" s="43"/>
      <c r="B413" s="43"/>
      <c r="C413" s="43"/>
      <c r="D413" s="43"/>
      <c r="E413" s="43"/>
      <c r="F413" s="43"/>
      <c r="G413" s="43"/>
      <c r="H413" s="43"/>
      <c r="J413" s="40"/>
    </row>
    <row r="414" spans="1:10" ht="14">
      <c r="A414" s="43"/>
      <c r="B414" s="43"/>
      <c r="C414" s="43"/>
      <c r="D414" s="43"/>
      <c r="E414" s="43"/>
      <c r="F414" s="43"/>
      <c r="G414" s="43"/>
      <c r="H414" s="43"/>
      <c r="J414" s="40"/>
    </row>
    <row r="415" spans="1:10" ht="14">
      <c r="A415" s="43"/>
      <c r="B415" s="43"/>
      <c r="C415" s="43"/>
      <c r="D415" s="43"/>
      <c r="E415" s="43"/>
      <c r="F415" s="43"/>
      <c r="G415" s="43"/>
      <c r="H415" s="43"/>
      <c r="J415" s="40"/>
    </row>
    <row r="416" spans="1:10" ht="14">
      <c r="A416" s="43"/>
      <c r="B416" s="43"/>
      <c r="C416" s="43"/>
      <c r="D416" s="43"/>
      <c r="E416" s="43"/>
      <c r="F416" s="43"/>
      <c r="G416" s="43"/>
      <c r="H416" s="43"/>
      <c r="J416" s="40"/>
    </row>
    <row r="417" spans="1:10" ht="14">
      <c r="A417" s="43"/>
      <c r="B417" s="43"/>
      <c r="C417" s="43"/>
      <c r="D417" s="43"/>
      <c r="E417" s="43"/>
      <c r="F417" s="43"/>
      <c r="G417" s="43"/>
      <c r="H417" s="43"/>
      <c r="J417" s="40"/>
    </row>
    <row r="418" spans="1:10" ht="14">
      <c r="A418" s="43"/>
      <c r="B418" s="43"/>
      <c r="C418" s="43"/>
      <c r="D418" s="43"/>
      <c r="E418" s="43"/>
      <c r="F418" s="43"/>
      <c r="G418" s="43"/>
      <c r="H418" s="43"/>
      <c r="J418" s="40"/>
    </row>
    <row r="419" spans="1:10" ht="14">
      <c r="A419" s="43"/>
      <c r="B419" s="43"/>
      <c r="C419" s="43"/>
      <c r="D419" s="43"/>
      <c r="E419" s="43"/>
      <c r="F419" s="43"/>
      <c r="G419" s="43"/>
      <c r="H419" s="43"/>
      <c r="J419" s="40"/>
    </row>
    <row r="420" spans="1:10" ht="14">
      <c r="A420" s="43"/>
      <c r="B420" s="43"/>
      <c r="C420" s="43"/>
      <c r="D420" s="43"/>
      <c r="E420" s="43"/>
      <c r="F420" s="43"/>
      <c r="G420" s="43"/>
      <c r="H420" s="43"/>
      <c r="J420" s="40"/>
    </row>
    <row r="421" spans="1:10" ht="14">
      <c r="A421" s="43"/>
      <c r="B421" s="43"/>
      <c r="C421" s="43"/>
      <c r="D421" s="43"/>
      <c r="E421" s="43"/>
      <c r="F421" s="43"/>
      <c r="G421" s="43"/>
      <c r="H421" s="43"/>
      <c r="J421" s="40"/>
    </row>
    <row r="422" spans="1:10" ht="14">
      <c r="A422" s="43"/>
      <c r="B422" s="43"/>
      <c r="C422" s="43"/>
      <c r="D422" s="43"/>
      <c r="E422" s="43"/>
      <c r="F422" s="43"/>
      <c r="G422" s="43"/>
      <c r="H422" s="43"/>
      <c r="J422" s="40"/>
    </row>
    <row r="423" spans="1:10" ht="14">
      <c r="A423" s="43"/>
      <c r="B423" s="43"/>
      <c r="C423" s="43"/>
      <c r="D423" s="43"/>
      <c r="E423" s="43"/>
      <c r="F423" s="43"/>
      <c r="G423" s="43"/>
      <c r="H423" s="43"/>
      <c r="J423" s="40"/>
    </row>
    <row r="424" spans="1:10" ht="14">
      <c r="A424" s="43"/>
      <c r="B424" s="43"/>
      <c r="C424" s="43"/>
      <c r="D424" s="43"/>
      <c r="E424" s="43"/>
      <c r="F424" s="43"/>
      <c r="G424" s="43"/>
      <c r="H424" s="43"/>
      <c r="J424" s="40"/>
    </row>
    <row r="425" spans="1:10" ht="14">
      <c r="A425" s="43"/>
      <c r="B425" s="43"/>
      <c r="C425" s="43"/>
      <c r="D425" s="43"/>
      <c r="E425" s="43"/>
      <c r="F425" s="43"/>
      <c r="G425" s="43"/>
      <c r="H425" s="43"/>
      <c r="J425" s="40"/>
    </row>
    <row r="426" spans="1:10" ht="14">
      <c r="A426" s="43"/>
      <c r="B426" s="43"/>
      <c r="C426" s="43"/>
      <c r="D426" s="43"/>
      <c r="E426" s="43"/>
      <c r="F426" s="43"/>
      <c r="G426" s="43"/>
      <c r="H426" s="43"/>
      <c r="J426" s="40"/>
    </row>
    <row r="427" spans="1:10" ht="14">
      <c r="A427" s="43"/>
      <c r="B427" s="43"/>
      <c r="C427" s="43"/>
      <c r="D427" s="43"/>
      <c r="E427" s="43"/>
      <c r="F427" s="43"/>
      <c r="G427" s="43"/>
      <c r="H427" s="43"/>
      <c r="J427" s="40"/>
    </row>
    <row r="428" spans="1:10" ht="14">
      <c r="A428" s="43"/>
      <c r="B428" s="43"/>
      <c r="C428" s="43"/>
      <c r="D428" s="43"/>
      <c r="E428" s="43"/>
      <c r="F428" s="43"/>
      <c r="G428" s="43"/>
      <c r="H428" s="43"/>
      <c r="J428" s="40"/>
    </row>
    <row r="429" spans="1:10" ht="14">
      <c r="A429" s="43"/>
      <c r="B429" s="43"/>
      <c r="C429" s="43"/>
      <c r="D429" s="43"/>
      <c r="E429" s="43"/>
      <c r="F429" s="43"/>
      <c r="G429" s="43"/>
      <c r="H429" s="43"/>
      <c r="J429" s="40"/>
    </row>
    <row r="430" spans="1:10" ht="14">
      <c r="A430" s="43"/>
      <c r="B430" s="43"/>
      <c r="C430" s="43"/>
      <c r="D430" s="43"/>
      <c r="E430" s="43"/>
      <c r="F430" s="43"/>
      <c r="G430" s="43"/>
      <c r="H430" s="43"/>
      <c r="J430" s="40"/>
    </row>
    <row r="431" spans="1:10" ht="14">
      <c r="A431" s="43"/>
      <c r="B431" s="43"/>
      <c r="C431" s="43"/>
      <c r="D431" s="43"/>
      <c r="E431" s="43"/>
      <c r="F431" s="43"/>
      <c r="G431" s="43"/>
      <c r="H431" s="43"/>
      <c r="J431" s="40"/>
    </row>
    <row r="432" spans="1:10" ht="14">
      <c r="A432" s="43"/>
      <c r="B432" s="43"/>
      <c r="C432" s="43"/>
      <c r="D432" s="43"/>
      <c r="E432" s="43"/>
      <c r="F432" s="43"/>
      <c r="G432" s="43"/>
      <c r="H432" s="43"/>
      <c r="J432" s="40"/>
    </row>
    <row r="433" spans="1:10" ht="14">
      <c r="A433" s="43"/>
      <c r="B433" s="43"/>
      <c r="C433" s="43"/>
      <c r="D433" s="43"/>
      <c r="E433" s="43"/>
      <c r="F433" s="43"/>
      <c r="G433" s="43"/>
      <c r="H433" s="43"/>
      <c r="J433" s="40"/>
    </row>
    <row r="434" spans="1:10" ht="14">
      <c r="A434" s="43"/>
      <c r="B434" s="43"/>
      <c r="C434" s="43"/>
      <c r="D434" s="43"/>
      <c r="E434" s="43"/>
      <c r="F434" s="43"/>
      <c r="G434" s="43"/>
      <c r="H434" s="43"/>
      <c r="J434" s="40"/>
    </row>
    <row r="435" spans="1:10" ht="14">
      <c r="A435" s="43"/>
      <c r="B435" s="43"/>
      <c r="C435" s="43"/>
      <c r="D435" s="43"/>
      <c r="E435" s="43"/>
      <c r="F435" s="43"/>
      <c r="G435" s="43"/>
      <c r="H435" s="43"/>
      <c r="J435" s="40"/>
    </row>
    <row r="436" spans="1:10" ht="14">
      <c r="A436" s="43"/>
      <c r="B436" s="43"/>
      <c r="C436" s="43"/>
      <c r="D436" s="43"/>
      <c r="E436" s="43"/>
      <c r="F436" s="43"/>
      <c r="G436" s="43"/>
      <c r="H436" s="43"/>
      <c r="J436" s="40"/>
    </row>
    <row r="437" spans="1:10" ht="14">
      <c r="A437" s="43"/>
      <c r="B437" s="43"/>
      <c r="C437" s="43"/>
      <c r="D437" s="43"/>
      <c r="E437" s="43"/>
      <c r="F437" s="43"/>
      <c r="G437" s="43"/>
      <c r="H437" s="43"/>
      <c r="J437" s="40"/>
    </row>
    <row r="438" spans="1:10" ht="14">
      <c r="A438" s="43"/>
      <c r="B438" s="43"/>
      <c r="C438" s="43"/>
      <c r="D438" s="43"/>
      <c r="E438" s="43"/>
      <c r="F438" s="43"/>
      <c r="G438" s="43"/>
      <c r="H438" s="43"/>
      <c r="J438" s="40"/>
    </row>
    <row r="439" spans="1:10" ht="14">
      <c r="A439" s="43"/>
      <c r="B439" s="43"/>
      <c r="C439" s="43"/>
      <c r="D439" s="43"/>
      <c r="E439" s="43"/>
      <c r="F439" s="43"/>
      <c r="G439" s="43"/>
      <c r="H439" s="43"/>
      <c r="J439" s="40"/>
    </row>
    <row r="440" spans="1:10" ht="14">
      <c r="A440" s="43"/>
      <c r="B440" s="43"/>
      <c r="C440" s="43"/>
      <c r="D440" s="43"/>
      <c r="E440" s="43"/>
      <c r="F440" s="43"/>
      <c r="G440" s="43"/>
      <c r="H440" s="43"/>
      <c r="J440" s="40"/>
    </row>
    <row r="441" spans="1:10" ht="14">
      <c r="A441" s="43"/>
      <c r="B441" s="43"/>
      <c r="C441" s="43"/>
      <c r="D441" s="43"/>
      <c r="E441" s="43"/>
      <c r="F441" s="43"/>
      <c r="G441" s="43"/>
      <c r="H441" s="43"/>
      <c r="J441" s="40"/>
    </row>
    <row r="442" spans="1:10" ht="14">
      <c r="A442" s="43"/>
      <c r="B442" s="43"/>
      <c r="C442" s="43"/>
      <c r="D442" s="43"/>
      <c r="E442" s="43"/>
      <c r="F442" s="43"/>
      <c r="G442" s="43"/>
      <c r="H442" s="43"/>
      <c r="J442" s="40"/>
    </row>
    <row r="443" spans="1:10" ht="14">
      <c r="A443" s="43"/>
      <c r="B443" s="43"/>
      <c r="C443" s="43"/>
      <c r="D443" s="43"/>
      <c r="E443" s="43"/>
      <c r="F443" s="43"/>
      <c r="G443" s="43"/>
      <c r="H443" s="43"/>
      <c r="J443" s="40"/>
    </row>
    <row r="444" spans="1:10" ht="14">
      <c r="A444" s="43"/>
      <c r="B444" s="43"/>
      <c r="C444" s="43"/>
      <c r="D444" s="43"/>
      <c r="E444" s="43"/>
      <c r="F444" s="43"/>
      <c r="G444" s="43"/>
      <c r="H444" s="43"/>
      <c r="J444" s="40"/>
    </row>
    <row r="445" spans="1:10" ht="14">
      <c r="A445" s="43"/>
      <c r="B445" s="43"/>
      <c r="C445" s="43"/>
      <c r="D445" s="43"/>
      <c r="E445" s="43"/>
      <c r="F445" s="43"/>
      <c r="G445" s="43"/>
      <c r="H445" s="43"/>
      <c r="J445" s="40"/>
    </row>
    <row r="446" spans="1:10" ht="14">
      <c r="A446" s="43"/>
      <c r="B446" s="43"/>
      <c r="C446" s="43"/>
      <c r="D446" s="43"/>
      <c r="E446" s="43"/>
      <c r="F446" s="43"/>
      <c r="G446" s="43"/>
      <c r="H446" s="43"/>
      <c r="J446" s="40"/>
    </row>
    <row r="447" spans="1:10" ht="14">
      <c r="A447" s="43"/>
      <c r="B447" s="43"/>
      <c r="C447" s="43"/>
      <c r="D447" s="43"/>
      <c r="E447" s="43"/>
      <c r="F447" s="43"/>
      <c r="G447" s="43"/>
      <c r="H447" s="43"/>
      <c r="J447" s="40"/>
    </row>
    <row r="448" spans="1:10" ht="14">
      <c r="A448" s="43"/>
      <c r="B448" s="43"/>
      <c r="C448" s="43"/>
      <c r="D448" s="43"/>
      <c r="E448" s="43"/>
      <c r="F448" s="43"/>
      <c r="G448" s="43"/>
      <c r="H448" s="43"/>
      <c r="J448" s="40"/>
    </row>
    <row r="449" spans="1:10" ht="14">
      <c r="A449" s="43"/>
      <c r="B449" s="43"/>
      <c r="C449" s="43"/>
      <c r="D449" s="43"/>
      <c r="E449" s="43"/>
      <c r="F449" s="43"/>
      <c r="G449" s="43"/>
      <c r="H449" s="43"/>
      <c r="J449" s="40"/>
    </row>
    <row r="450" spans="1:10" ht="14">
      <c r="A450" s="43"/>
      <c r="B450" s="43"/>
      <c r="C450" s="43"/>
      <c r="D450" s="43"/>
      <c r="E450" s="43"/>
      <c r="F450" s="43"/>
      <c r="G450" s="43"/>
      <c r="H450" s="43"/>
      <c r="J450" s="40"/>
    </row>
    <row r="451" spans="1:10" ht="14">
      <c r="A451" s="43"/>
      <c r="B451" s="43"/>
      <c r="C451" s="43"/>
      <c r="D451" s="43"/>
      <c r="E451" s="43"/>
      <c r="F451" s="43"/>
      <c r="G451" s="43"/>
      <c r="H451" s="43"/>
      <c r="J451" s="40"/>
    </row>
    <row r="452" spans="1:10" ht="14">
      <c r="A452" s="43"/>
      <c r="B452" s="43"/>
      <c r="C452" s="43"/>
      <c r="D452" s="43"/>
      <c r="E452" s="43"/>
      <c r="F452" s="43"/>
      <c r="G452" s="43"/>
      <c r="H452" s="43"/>
      <c r="J452" s="40"/>
    </row>
    <row r="453" spans="1:10" ht="14">
      <c r="A453" s="43"/>
      <c r="B453" s="43"/>
      <c r="C453" s="43"/>
      <c r="D453" s="43"/>
      <c r="E453" s="43"/>
      <c r="F453" s="43"/>
      <c r="G453" s="43"/>
      <c r="H453" s="43"/>
      <c r="J453" s="40"/>
    </row>
    <row r="454" spans="1:10" ht="14">
      <c r="A454" s="43"/>
      <c r="B454" s="43"/>
      <c r="C454" s="43"/>
      <c r="D454" s="43"/>
      <c r="E454" s="43"/>
      <c r="F454" s="43"/>
      <c r="G454" s="43"/>
      <c r="H454" s="43"/>
      <c r="J454" s="40"/>
    </row>
    <row r="455" spans="1:10" ht="14">
      <c r="A455" s="43"/>
      <c r="B455" s="43"/>
      <c r="C455" s="43"/>
      <c r="D455" s="43"/>
      <c r="E455" s="43"/>
      <c r="F455" s="43"/>
      <c r="G455" s="43"/>
      <c r="H455" s="43"/>
      <c r="J455" s="40"/>
    </row>
    <row r="456" spans="1:10" ht="14">
      <c r="A456" s="43"/>
      <c r="B456" s="43"/>
      <c r="C456" s="43"/>
      <c r="D456" s="43"/>
      <c r="E456" s="43"/>
      <c r="F456" s="43"/>
      <c r="G456" s="43"/>
      <c r="H456" s="43"/>
      <c r="J456" s="40"/>
    </row>
    <row r="457" spans="1:10" ht="14">
      <c r="A457" s="43"/>
      <c r="B457" s="43"/>
      <c r="C457" s="43"/>
      <c r="D457" s="43"/>
      <c r="E457" s="43"/>
      <c r="F457" s="43"/>
      <c r="G457" s="43"/>
      <c r="H457" s="43"/>
      <c r="J457" s="40"/>
    </row>
    <row r="458" spans="1:10" ht="14">
      <c r="A458" s="43"/>
      <c r="B458" s="43"/>
      <c r="C458" s="43"/>
      <c r="D458" s="43"/>
      <c r="E458" s="43"/>
      <c r="F458" s="43"/>
      <c r="G458" s="43"/>
      <c r="H458" s="43"/>
      <c r="J458" s="40"/>
    </row>
    <row r="459" spans="1:10" ht="14">
      <c r="A459" s="43"/>
      <c r="B459" s="43"/>
      <c r="C459" s="43"/>
      <c r="D459" s="43"/>
      <c r="E459" s="43"/>
      <c r="F459" s="43"/>
      <c r="G459" s="43"/>
      <c r="H459" s="43"/>
      <c r="J459" s="40"/>
    </row>
    <row r="460" spans="1:10" ht="14">
      <c r="A460" s="43"/>
      <c r="B460" s="43"/>
      <c r="C460" s="43"/>
      <c r="D460" s="43"/>
      <c r="E460" s="43"/>
      <c r="F460" s="43"/>
      <c r="G460" s="43"/>
      <c r="H460" s="43"/>
      <c r="J460" s="40"/>
    </row>
    <row r="461" spans="1:10" ht="14">
      <c r="A461" s="43"/>
      <c r="B461" s="43"/>
      <c r="C461" s="43"/>
      <c r="D461" s="43"/>
      <c r="E461" s="43"/>
      <c r="F461" s="43"/>
      <c r="G461" s="43"/>
      <c r="H461" s="43"/>
      <c r="J461" s="40"/>
    </row>
    <row r="462" spans="1:10" ht="14">
      <c r="A462" s="43"/>
      <c r="B462" s="43"/>
      <c r="C462" s="43"/>
      <c r="D462" s="43"/>
      <c r="E462" s="43"/>
      <c r="F462" s="43"/>
      <c r="G462" s="43"/>
      <c r="H462" s="43"/>
      <c r="J462" s="40"/>
    </row>
    <row r="463" spans="1:10" ht="14">
      <c r="A463" s="43"/>
      <c r="B463" s="43"/>
      <c r="C463" s="43"/>
      <c r="D463" s="43"/>
      <c r="E463" s="43"/>
      <c r="F463" s="43"/>
      <c r="G463" s="43"/>
      <c r="H463" s="43"/>
      <c r="J463" s="40"/>
    </row>
    <row r="464" spans="1:10" ht="14">
      <c r="A464" s="43"/>
      <c r="B464" s="43"/>
      <c r="C464" s="43"/>
      <c r="D464" s="43"/>
      <c r="E464" s="43"/>
      <c r="F464" s="43"/>
      <c r="G464" s="43"/>
      <c r="H464" s="43"/>
      <c r="J464" s="40"/>
    </row>
    <row r="465" spans="1:10" ht="14">
      <c r="A465" s="43"/>
      <c r="B465" s="43"/>
      <c r="C465" s="43"/>
      <c r="D465" s="43"/>
      <c r="E465" s="43"/>
      <c r="F465" s="43"/>
      <c r="G465" s="43"/>
      <c r="H465" s="43"/>
      <c r="J465" s="40"/>
    </row>
    <row r="466" spans="1:10" ht="14">
      <c r="A466" s="43"/>
      <c r="B466" s="43"/>
      <c r="C466" s="43"/>
      <c r="D466" s="43"/>
      <c r="E466" s="43"/>
      <c r="F466" s="43"/>
      <c r="G466" s="43"/>
      <c r="H466" s="43"/>
      <c r="J466" s="40"/>
    </row>
    <row r="467" spans="1:10" ht="14">
      <c r="A467" s="43"/>
      <c r="B467" s="43"/>
      <c r="C467" s="43"/>
      <c r="D467" s="43"/>
      <c r="E467" s="43"/>
      <c r="F467" s="43"/>
      <c r="G467" s="43"/>
      <c r="H467" s="43"/>
      <c r="J467" s="40"/>
    </row>
    <row r="468" spans="1:10" ht="14">
      <c r="A468" s="43"/>
      <c r="B468" s="43"/>
      <c r="C468" s="43"/>
      <c r="D468" s="43"/>
      <c r="E468" s="43"/>
      <c r="F468" s="43"/>
      <c r="G468" s="43"/>
      <c r="H468" s="43"/>
      <c r="J468" s="40"/>
    </row>
    <row r="469" spans="1:10" ht="14">
      <c r="A469" s="43"/>
      <c r="B469" s="43"/>
      <c r="C469" s="43"/>
      <c r="D469" s="43"/>
      <c r="E469" s="43"/>
      <c r="F469" s="43"/>
      <c r="G469" s="43"/>
      <c r="H469" s="43"/>
      <c r="J469" s="40"/>
    </row>
    <row r="470" spans="1:10" ht="14">
      <c r="A470" s="43"/>
      <c r="B470" s="43"/>
      <c r="C470" s="43"/>
      <c r="D470" s="43"/>
      <c r="E470" s="43"/>
      <c r="F470" s="43"/>
      <c r="G470" s="43"/>
      <c r="H470" s="43"/>
      <c r="J470" s="40"/>
    </row>
    <row r="471" spans="1:10" ht="14">
      <c r="A471" s="43"/>
      <c r="B471" s="43"/>
      <c r="C471" s="43"/>
      <c r="D471" s="43"/>
      <c r="E471" s="43"/>
      <c r="F471" s="43"/>
      <c r="G471" s="43"/>
      <c r="H471" s="43"/>
      <c r="J471" s="40"/>
    </row>
    <row r="472" spans="1:10" ht="14">
      <c r="A472" s="43"/>
      <c r="B472" s="43"/>
      <c r="C472" s="43"/>
      <c r="D472" s="43"/>
      <c r="E472" s="43"/>
      <c r="F472" s="43"/>
      <c r="G472" s="43"/>
      <c r="H472" s="43"/>
      <c r="J472" s="40"/>
    </row>
    <row r="473" spans="1:10" ht="14">
      <c r="A473" s="43"/>
      <c r="B473" s="43"/>
      <c r="C473" s="43"/>
      <c r="D473" s="43"/>
      <c r="E473" s="43"/>
      <c r="F473" s="43"/>
      <c r="G473" s="43"/>
      <c r="H473" s="43"/>
      <c r="J473" s="40"/>
    </row>
    <row r="474" spans="1:10" ht="14">
      <c r="A474" s="43"/>
      <c r="B474" s="43"/>
      <c r="C474" s="43"/>
      <c r="D474" s="43"/>
      <c r="E474" s="43"/>
      <c r="F474" s="43"/>
      <c r="G474" s="43"/>
      <c r="H474" s="43"/>
      <c r="J474" s="40"/>
    </row>
    <row r="475" spans="1:10" ht="14">
      <c r="A475" s="43"/>
      <c r="B475" s="43"/>
      <c r="C475" s="43"/>
      <c r="D475" s="43"/>
      <c r="E475" s="43"/>
      <c r="F475" s="43"/>
      <c r="G475" s="43"/>
      <c r="H475" s="43"/>
      <c r="J475" s="40"/>
    </row>
    <row r="476" spans="1:10" ht="14">
      <c r="A476" s="43"/>
      <c r="B476" s="43"/>
      <c r="C476" s="43"/>
      <c r="D476" s="43"/>
      <c r="E476" s="43"/>
      <c r="F476" s="43"/>
      <c r="G476" s="43"/>
      <c r="H476" s="43"/>
      <c r="J476" s="40"/>
    </row>
    <row r="477" spans="1:10" ht="14">
      <c r="A477" s="43"/>
      <c r="B477" s="43"/>
      <c r="C477" s="43"/>
      <c r="D477" s="43"/>
      <c r="E477" s="43"/>
      <c r="F477" s="43"/>
      <c r="G477" s="43"/>
      <c r="H477" s="43"/>
      <c r="J477" s="40"/>
    </row>
    <row r="478" spans="1:10" ht="14">
      <c r="A478" s="43"/>
      <c r="B478" s="43"/>
      <c r="C478" s="43"/>
      <c r="D478" s="43"/>
      <c r="E478" s="43"/>
      <c r="F478" s="43"/>
      <c r="G478" s="43"/>
      <c r="H478" s="43"/>
      <c r="J478" s="40"/>
    </row>
    <row r="479" spans="1:10" ht="14">
      <c r="A479" s="43"/>
      <c r="B479" s="43"/>
      <c r="C479" s="43"/>
      <c r="D479" s="43"/>
      <c r="E479" s="43"/>
      <c r="F479" s="43"/>
      <c r="G479" s="43"/>
      <c r="H479" s="43"/>
      <c r="J479" s="40"/>
    </row>
    <row r="480" spans="1:10" ht="14">
      <c r="A480" s="43"/>
      <c r="B480" s="43"/>
      <c r="C480" s="43"/>
      <c r="D480" s="43"/>
      <c r="E480" s="43"/>
      <c r="F480" s="43"/>
      <c r="G480" s="43"/>
      <c r="H480" s="43"/>
      <c r="J480" s="40"/>
    </row>
    <row r="481" spans="1:10" ht="14">
      <c r="A481" s="43"/>
      <c r="B481" s="43"/>
      <c r="C481" s="43"/>
      <c r="D481" s="43"/>
      <c r="E481" s="43"/>
      <c r="F481" s="43"/>
      <c r="G481" s="43"/>
      <c r="H481" s="43"/>
      <c r="J481" s="40"/>
    </row>
    <row r="482" spans="1:10" ht="14">
      <c r="A482" s="43"/>
      <c r="B482" s="43"/>
      <c r="C482" s="43"/>
      <c r="D482" s="43"/>
      <c r="E482" s="43"/>
      <c r="F482" s="43"/>
      <c r="G482" s="43"/>
      <c r="H482" s="43"/>
      <c r="J482" s="40"/>
    </row>
    <row r="483" spans="1:10" ht="14">
      <c r="A483" s="43"/>
      <c r="B483" s="43"/>
      <c r="C483" s="43"/>
      <c r="D483" s="43"/>
      <c r="E483" s="43"/>
      <c r="F483" s="43"/>
      <c r="G483" s="43"/>
      <c r="H483" s="43"/>
      <c r="J483" s="40"/>
    </row>
    <row r="484" spans="1:10" ht="14">
      <c r="A484" s="43"/>
      <c r="B484" s="43"/>
      <c r="C484" s="43"/>
      <c r="D484" s="43"/>
      <c r="E484" s="43"/>
      <c r="F484" s="43"/>
      <c r="G484" s="43"/>
      <c r="H484" s="43"/>
      <c r="J484" s="40"/>
    </row>
    <row r="485" spans="1:10" ht="14">
      <c r="A485" s="43"/>
      <c r="B485" s="43"/>
      <c r="C485" s="43"/>
      <c r="D485" s="43"/>
      <c r="E485" s="43"/>
      <c r="F485" s="43"/>
      <c r="G485" s="43"/>
      <c r="H485" s="43"/>
      <c r="J485" s="40"/>
    </row>
    <row r="486" spans="1:10" ht="14">
      <c r="A486" s="43"/>
      <c r="B486" s="43"/>
      <c r="C486" s="43"/>
      <c r="D486" s="43"/>
      <c r="E486" s="43"/>
      <c r="F486" s="43"/>
      <c r="G486" s="43"/>
      <c r="H486" s="43"/>
      <c r="J486" s="40"/>
    </row>
    <row r="487" spans="1:10" ht="14">
      <c r="A487" s="43"/>
      <c r="B487" s="43"/>
      <c r="C487" s="43"/>
      <c r="D487" s="43"/>
      <c r="E487" s="43"/>
      <c r="F487" s="43"/>
      <c r="G487" s="43"/>
      <c r="H487" s="43"/>
      <c r="J487" s="40"/>
    </row>
    <row r="488" spans="1:10" ht="14">
      <c r="A488" s="43"/>
      <c r="B488" s="43"/>
      <c r="C488" s="43"/>
      <c r="D488" s="43"/>
      <c r="E488" s="43"/>
      <c r="F488" s="43"/>
      <c r="G488" s="43"/>
      <c r="H488" s="43"/>
      <c r="J488" s="40"/>
    </row>
    <row r="489" spans="1:10" ht="14">
      <c r="A489" s="43"/>
      <c r="B489" s="43"/>
      <c r="C489" s="43"/>
      <c r="D489" s="43"/>
      <c r="E489" s="43"/>
      <c r="F489" s="43"/>
      <c r="G489" s="43"/>
      <c r="H489" s="43"/>
      <c r="J489" s="40"/>
    </row>
    <row r="490" spans="1:10" ht="14">
      <c r="A490" s="43"/>
      <c r="B490" s="43"/>
      <c r="C490" s="43"/>
      <c r="D490" s="43"/>
      <c r="E490" s="43"/>
      <c r="F490" s="43"/>
      <c r="G490" s="43"/>
      <c r="H490" s="43"/>
      <c r="J490" s="40"/>
    </row>
    <row r="491" spans="1:10" ht="14">
      <c r="A491" s="43"/>
      <c r="B491" s="43"/>
      <c r="C491" s="43"/>
      <c r="D491" s="43"/>
      <c r="E491" s="43"/>
      <c r="F491" s="43"/>
      <c r="G491" s="43"/>
      <c r="H491" s="43"/>
      <c r="J491" s="40"/>
    </row>
    <row r="492" spans="1:10" ht="14">
      <c r="A492" s="43"/>
      <c r="B492" s="43"/>
      <c r="C492" s="43"/>
      <c r="D492" s="43"/>
      <c r="E492" s="43"/>
      <c r="F492" s="43"/>
      <c r="G492" s="43"/>
      <c r="H492" s="43"/>
      <c r="J492" s="40"/>
    </row>
    <row r="493" spans="1:10" ht="14">
      <c r="A493" s="43"/>
      <c r="B493" s="43"/>
      <c r="C493" s="43"/>
      <c r="D493" s="43"/>
      <c r="E493" s="43"/>
      <c r="F493" s="43"/>
      <c r="G493" s="43"/>
      <c r="H493" s="43"/>
      <c r="J493" s="40"/>
    </row>
    <row r="494" spans="1:10" ht="14">
      <c r="A494" s="43"/>
      <c r="B494" s="43"/>
      <c r="C494" s="43"/>
      <c r="D494" s="43"/>
      <c r="E494" s="43"/>
      <c r="F494" s="43"/>
      <c r="G494" s="43"/>
      <c r="H494" s="43"/>
      <c r="J494" s="40"/>
    </row>
    <row r="495" spans="1:10" ht="14">
      <c r="A495" s="43"/>
      <c r="B495" s="43"/>
      <c r="C495" s="43"/>
      <c r="D495" s="43"/>
      <c r="E495" s="43"/>
      <c r="F495" s="43"/>
      <c r="G495" s="43"/>
      <c r="H495" s="43"/>
      <c r="J495" s="40"/>
    </row>
    <row r="496" spans="1:10" ht="14">
      <c r="A496" s="43"/>
      <c r="B496" s="43"/>
      <c r="C496" s="43"/>
      <c r="D496" s="43"/>
      <c r="E496" s="43"/>
      <c r="F496" s="43"/>
      <c r="G496" s="43"/>
      <c r="H496" s="43"/>
      <c r="J496" s="40"/>
    </row>
    <row r="497" spans="1:10" ht="14">
      <c r="A497" s="43"/>
      <c r="B497" s="43"/>
      <c r="C497" s="43"/>
      <c r="D497" s="43"/>
      <c r="E497" s="43"/>
      <c r="F497" s="43"/>
      <c r="G497" s="43"/>
      <c r="H497" s="43"/>
      <c r="J497" s="40"/>
    </row>
    <row r="498" spans="1:10" ht="14">
      <c r="A498" s="43"/>
      <c r="B498" s="43"/>
      <c r="C498" s="43"/>
      <c r="D498" s="43"/>
      <c r="E498" s="43"/>
      <c r="F498" s="43"/>
      <c r="G498" s="43"/>
      <c r="H498" s="43"/>
      <c r="J498" s="40"/>
    </row>
    <row r="499" spans="1:10" ht="14">
      <c r="A499" s="43"/>
      <c r="B499" s="43"/>
      <c r="C499" s="43"/>
      <c r="D499" s="43"/>
      <c r="E499" s="43"/>
      <c r="F499" s="43"/>
      <c r="G499" s="43"/>
      <c r="H499" s="43"/>
      <c r="J499" s="40"/>
    </row>
    <row r="500" spans="1:10" ht="14">
      <c r="A500" s="43"/>
      <c r="B500" s="43"/>
      <c r="C500" s="43"/>
      <c r="D500" s="43"/>
      <c r="E500" s="43"/>
      <c r="F500" s="43"/>
      <c r="G500" s="43"/>
      <c r="H500" s="43"/>
      <c r="J500" s="40"/>
    </row>
    <row r="501" spans="1:10" ht="14">
      <c r="A501" s="43"/>
      <c r="B501" s="43"/>
      <c r="C501" s="43"/>
      <c r="D501" s="43"/>
      <c r="E501" s="43"/>
      <c r="F501" s="43"/>
      <c r="G501" s="43"/>
      <c r="H501" s="43"/>
      <c r="J501" s="40"/>
    </row>
    <row r="502" spans="1:10" ht="14">
      <c r="A502" s="43"/>
      <c r="B502" s="43"/>
      <c r="C502" s="43"/>
      <c r="D502" s="43"/>
      <c r="E502" s="43"/>
      <c r="F502" s="43"/>
      <c r="G502" s="43"/>
      <c r="H502" s="43"/>
      <c r="J502" s="40"/>
    </row>
    <row r="503" spans="1:10" ht="14">
      <c r="A503" s="43"/>
      <c r="B503" s="43"/>
      <c r="C503" s="43"/>
      <c r="D503" s="43"/>
      <c r="E503" s="43"/>
      <c r="F503" s="43"/>
      <c r="G503" s="43"/>
      <c r="H503" s="43"/>
      <c r="J503" s="40"/>
    </row>
    <row r="504" spans="1:10" ht="14">
      <c r="A504" s="43"/>
      <c r="B504" s="43"/>
      <c r="C504" s="43"/>
      <c r="D504" s="43"/>
      <c r="E504" s="43"/>
      <c r="F504" s="43"/>
      <c r="G504" s="43"/>
      <c r="H504" s="43"/>
      <c r="J504" s="40"/>
    </row>
    <row r="505" spans="1:10" ht="14">
      <c r="A505" s="43"/>
      <c r="B505" s="43"/>
      <c r="C505" s="43"/>
      <c r="D505" s="43"/>
      <c r="E505" s="43"/>
      <c r="F505" s="43"/>
      <c r="G505" s="43"/>
      <c r="H505" s="43"/>
      <c r="J505" s="40"/>
    </row>
    <row r="506" spans="1:10" ht="14">
      <c r="A506" s="43"/>
      <c r="B506" s="43"/>
      <c r="C506" s="43"/>
      <c r="D506" s="43"/>
      <c r="E506" s="43"/>
      <c r="F506" s="43"/>
      <c r="G506" s="43"/>
      <c r="H506" s="43"/>
      <c r="J506" s="40"/>
    </row>
    <row r="507" spans="1:10" ht="14">
      <c r="A507" s="43"/>
      <c r="B507" s="43"/>
      <c r="C507" s="43"/>
      <c r="D507" s="43"/>
      <c r="E507" s="43"/>
      <c r="F507" s="43"/>
      <c r="G507" s="43"/>
      <c r="H507" s="43"/>
      <c r="J507" s="40"/>
    </row>
    <row r="508" spans="1:10" ht="14">
      <c r="A508" s="43"/>
      <c r="B508" s="43"/>
      <c r="C508" s="43"/>
      <c r="D508" s="43"/>
      <c r="E508" s="43"/>
      <c r="F508" s="43"/>
      <c r="G508" s="43"/>
      <c r="H508" s="43"/>
      <c r="J508" s="40"/>
    </row>
    <row r="509" spans="1:10" ht="14">
      <c r="A509" s="43"/>
      <c r="B509" s="43"/>
      <c r="C509" s="43"/>
      <c r="D509" s="43"/>
      <c r="E509" s="43"/>
      <c r="F509" s="43"/>
      <c r="G509" s="43"/>
      <c r="H509" s="43"/>
      <c r="J509" s="40"/>
    </row>
    <row r="510" spans="1:10" ht="14">
      <c r="A510" s="43"/>
      <c r="B510" s="43"/>
      <c r="C510" s="43"/>
      <c r="D510" s="43"/>
      <c r="E510" s="43"/>
      <c r="F510" s="43"/>
      <c r="G510" s="43"/>
      <c r="H510" s="43"/>
      <c r="J510" s="40"/>
    </row>
    <row r="511" spans="1:10" ht="14">
      <c r="A511" s="43"/>
      <c r="B511" s="43"/>
      <c r="C511" s="43"/>
      <c r="D511" s="43"/>
      <c r="E511" s="43"/>
      <c r="F511" s="43"/>
      <c r="G511" s="43"/>
      <c r="H511" s="43"/>
      <c r="J511" s="40"/>
    </row>
    <row r="512" spans="1:10" ht="14">
      <c r="A512" s="43"/>
      <c r="B512" s="43"/>
      <c r="C512" s="43"/>
      <c r="D512" s="43"/>
      <c r="E512" s="43"/>
      <c r="F512" s="43"/>
      <c r="G512" s="43"/>
      <c r="H512" s="43"/>
      <c r="J512" s="40"/>
    </row>
    <row r="513" spans="1:10" ht="14">
      <c r="A513" s="43"/>
      <c r="B513" s="43"/>
      <c r="C513" s="43"/>
      <c r="D513" s="43"/>
      <c r="E513" s="43"/>
      <c r="F513" s="43"/>
      <c r="G513" s="43"/>
      <c r="H513" s="43"/>
      <c r="J513" s="40"/>
    </row>
    <row r="514" spans="1:10" ht="14">
      <c r="A514" s="43"/>
      <c r="B514" s="43"/>
      <c r="C514" s="43"/>
      <c r="D514" s="43"/>
      <c r="E514" s="43"/>
      <c r="F514" s="43"/>
      <c r="G514" s="43"/>
      <c r="H514" s="43"/>
      <c r="J514" s="40"/>
    </row>
    <row r="515" spans="1:10" ht="14">
      <c r="A515" s="43"/>
      <c r="B515" s="43"/>
      <c r="C515" s="43"/>
      <c r="D515" s="43"/>
      <c r="E515" s="43"/>
      <c r="F515" s="43"/>
      <c r="G515" s="43"/>
      <c r="H515" s="43"/>
      <c r="J515" s="40"/>
    </row>
    <row r="516" spans="1:10" ht="14">
      <c r="A516" s="43"/>
      <c r="B516" s="43"/>
      <c r="C516" s="43"/>
      <c r="D516" s="43"/>
      <c r="E516" s="43"/>
      <c r="F516" s="43"/>
      <c r="G516" s="43"/>
      <c r="H516" s="43"/>
      <c r="J516" s="40"/>
    </row>
    <row r="517" spans="1:10" ht="14">
      <c r="A517" s="43"/>
      <c r="B517" s="43"/>
      <c r="C517" s="43"/>
      <c r="D517" s="43"/>
      <c r="E517" s="43"/>
      <c r="F517" s="43"/>
      <c r="G517" s="43"/>
      <c r="H517" s="43"/>
      <c r="J517" s="40"/>
    </row>
    <row r="518" spans="1:10" ht="14">
      <c r="A518" s="43"/>
      <c r="B518" s="43"/>
      <c r="C518" s="43"/>
      <c r="D518" s="43"/>
      <c r="E518" s="43"/>
      <c r="F518" s="43"/>
      <c r="G518" s="43"/>
      <c r="H518" s="43"/>
      <c r="J518" s="40"/>
    </row>
    <row r="519" spans="1:10" ht="14">
      <c r="A519" s="43"/>
      <c r="B519" s="43"/>
      <c r="C519" s="43"/>
      <c r="D519" s="43"/>
      <c r="E519" s="43"/>
      <c r="F519" s="43"/>
      <c r="G519" s="43"/>
      <c r="H519" s="43"/>
      <c r="J519" s="40"/>
    </row>
    <row r="520" spans="1:10" ht="14">
      <c r="A520" s="43"/>
      <c r="B520" s="43"/>
      <c r="C520" s="43"/>
      <c r="D520" s="43"/>
      <c r="E520" s="43"/>
      <c r="F520" s="43"/>
      <c r="G520" s="43"/>
      <c r="H520" s="43"/>
      <c r="J520" s="40"/>
    </row>
    <row r="521" spans="1:10" ht="14">
      <c r="A521" s="43"/>
      <c r="B521" s="43"/>
      <c r="C521" s="43"/>
      <c r="D521" s="43"/>
      <c r="E521" s="43"/>
      <c r="F521" s="43"/>
      <c r="G521" s="43"/>
      <c r="H521" s="43"/>
      <c r="J521" s="40"/>
    </row>
    <row r="522" spans="1:10" ht="14">
      <c r="A522" s="43"/>
      <c r="B522" s="43"/>
      <c r="C522" s="43"/>
      <c r="D522" s="43"/>
      <c r="E522" s="43"/>
      <c r="F522" s="43"/>
      <c r="G522" s="43"/>
      <c r="H522" s="43"/>
      <c r="J522" s="40"/>
    </row>
    <row r="523" spans="1:10" ht="14">
      <c r="A523" s="43"/>
      <c r="B523" s="43"/>
      <c r="C523" s="43"/>
      <c r="D523" s="43"/>
      <c r="E523" s="43"/>
      <c r="F523" s="43"/>
      <c r="G523" s="43"/>
      <c r="H523" s="43"/>
      <c r="J523" s="40"/>
    </row>
    <row r="524" spans="1:10" ht="14">
      <c r="A524" s="43"/>
      <c r="B524" s="43"/>
      <c r="C524" s="43"/>
      <c r="D524" s="43"/>
      <c r="E524" s="43"/>
      <c r="F524" s="43"/>
      <c r="G524" s="43"/>
      <c r="H524" s="43"/>
      <c r="J524" s="40"/>
    </row>
    <row r="525" spans="1:10" ht="14">
      <c r="A525" s="43"/>
      <c r="B525" s="43"/>
      <c r="C525" s="43"/>
      <c r="D525" s="43"/>
      <c r="E525" s="43"/>
      <c r="F525" s="43"/>
      <c r="G525" s="43"/>
      <c r="H525" s="43"/>
      <c r="J525" s="40"/>
    </row>
    <row r="526" spans="1:10" ht="14">
      <c r="A526" s="43"/>
      <c r="B526" s="43"/>
      <c r="C526" s="43"/>
      <c r="D526" s="43"/>
      <c r="E526" s="43"/>
      <c r="F526" s="43"/>
      <c r="G526" s="43"/>
      <c r="H526" s="43"/>
      <c r="J526" s="40"/>
    </row>
    <row r="527" spans="1:10" ht="14">
      <c r="A527" s="43"/>
      <c r="B527" s="43"/>
      <c r="C527" s="43"/>
      <c r="D527" s="43"/>
      <c r="E527" s="43"/>
      <c r="F527" s="43"/>
      <c r="G527" s="43"/>
      <c r="H527" s="43"/>
      <c r="J527" s="40"/>
    </row>
    <row r="528" spans="1:10" ht="14">
      <c r="A528" s="43"/>
      <c r="B528" s="43"/>
      <c r="C528" s="43"/>
      <c r="D528" s="43"/>
      <c r="E528" s="43"/>
      <c r="F528" s="43"/>
      <c r="G528" s="43"/>
      <c r="H528" s="43"/>
      <c r="J528" s="40"/>
    </row>
    <row r="529" spans="1:10" ht="14">
      <c r="A529" s="43"/>
      <c r="B529" s="43"/>
      <c r="C529" s="43"/>
      <c r="D529" s="43"/>
      <c r="E529" s="43"/>
      <c r="F529" s="43"/>
      <c r="G529" s="43"/>
      <c r="H529" s="43"/>
      <c r="J529" s="40"/>
    </row>
    <row r="530" spans="1:10" ht="14">
      <c r="A530" s="43"/>
      <c r="B530" s="43"/>
      <c r="C530" s="43"/>
      <c r="D530" s="43"/>
      <c r="E530" s="43"/>
      <c r="F530" s="43"/>
      <c r="G530" s="43"/>
      <c r="H530" s="43"/>
      <c r="J530" s="40"/>
    </row>
    <row r="531" spans="1:10" ht="14">
      <c r="A531" s="43"/>
      <c r="B531" s="43"/>
      <c r="C531" s="43"/>
      <c r="D531" s="43"/>
      <c r="E531" s="43"/>
      <c r="F531" s="43"/>
      <c r="G531" s="43"/>
      <c r="H531" s="43"/>
      <c r="J531" s="40"/>
    </row>
    <row r="532" spans="1:10" ht="14">
      <c r="A532" s="43"/>
      <c r="B532" s="43"/>
      <c r="C532" s="43"/>
      <c r="D532" s="43"/>
      <c r="E532" s="43"/>
      <c r="F532" s="43"/>
      <c r="G532" s="43"/>
      <c r="H532" s="43"/>
      <c r="J532" s="40"/>
    </row>
    <row r="533" spans="1:10" ht="14">
      <c r="A533" s="43"/>
      <c r="B533" s="43"/>
      <c r="C533" s="43"/>
      <c r="D533" s="43"/>
      <c r="E533" s="43"/>
      <c r="F533" s="43"/>
      <c r="G533" s="43"/>
      <c r="H533" s="43"/>
      <c r="J533" s="40"/>
    </row>
    <row r="534" spans="1:10" ht="14">
      <c r="A534" s="43"/>
      <c r="B534" s="43"/>
      <c r="C534" s="43"/>
      <c r="D534" s="43"/>
      <c r="E534" s="43"/>
      <c r="F534" s="43"/>
      <c r="G534" s="43"/>
      <c r="H534" s="43"/>
      <c r="J534" s="40"/>
    </row>
    <row r="535" spans="1:10" ht="14">
      <c r="A535" s="43"/>
      <c r="B535" s="43"/>
      <c r="C535" s="43"/>
      <c r="D535" s="43"/>
      <c r="E535" s="43"/>
      <c r="F535" s="43"/>
      <c r="G535" s="43"/>
      <c r="H535" s="43"/>
      <c r="J535" s="40"/>
    </row>
    <row r="536" spans="1:10" ht="14">
      <c r="A536" s="43"/>
      <c r="B536" s="43"/>
      <c r="C536" s="43"/>
      <c r="D536" s="43"/>
      <c r="E536" s="43"/>
      <c r="F536" s="43"/>
      <c r="G536" s="43"/>
      <c r="H536" s="43"/>
      <c r="J536" s="40"/>
    </row>
    <row r="537" spans="1:10" ht="14">
      <c r="A537" s="43"/>
      <c r="B537" s="43"/>
      <c r="C537" s="43"/>
      <c r="D537" s="43"/>
      <c r="E537" s="43"/>
      <c r="F537" s="43"/>
      <c r="G537" s="43"/>
      <c r="H537" s="43"/>
      <c r="J537" s="40"/>
    </row>
    <row r="538" spans="1:10" ht="14">
      <c r="A538" s="43"/>
      <c r="B538" s="43"/>
      <c r="C538" s="43"/>
      <c r="D538" s="43"/>
      <c r="E538" s="43"/>
      <c r="F538" s="43"/>
      <c r="G538" s="43"/>
      <c r="H538" s="43"/>
      <c r="J538" s="40"/>
    </row>
    <row r="539" spans="1:10" ht="14">
      <c r="A539" s="43"/>
      <c r="B539" s="43"/>
      <c r="C539" s="43"/>
      <c r="D539" s="43"/>
      <c r="E539" s="43"/>
      <c r="F539" s="43"/>
      <c r="G539" s="43"/>
      <c r="H539" s="43"/>
      <c r="J539" s="40"/>
    </row>
    <row r="540" spans="1:10" ht="14">
      <c r="A540" s="43"/>
      <c r="B540" s="43"/>
      <c r="C540" s="43"/>
      <c r="D540" s="43"/>
      <c r="E540" s="43"/>
      <c r="F540" s="43"/>
      <c r="G540" s="43"/>
      <c r="H540" s="43"/>
      <c r="J540" s="40"/>
    </row>
    <row r="541" spans="1:10" ht="14">
      <c r="A541" s="43"/>
      <c r="B541" s="43"/>
      <c r="C541" s="43"/>
      <c r="D541" s="43"/>
      <c r="E541" s="43"/>
      <c r="F541" s="43"/>
      <c r="G541" s="43"/>
      <c r="H541" s="43"/>
      <c r="J541" s="40"/>
    </row>
    <row r="542" spans="1:10" ht="14">
      <c r="A542" s="43"/>
      <c r="B542" s="43"/>
      <c r="C542" s="43"/>
      <c r="D542" s="43"/>
      <c r="E542" s="43"/>
      <c r="F542" s="43"/>
      <c r="G542" s="43"/>
      <c r="H542" s="43"/>
      <c r="J542" s="40"/>
    </row>
    <row r="543" spans="1:10" ht="14">
      <c r="A543" s="43"/>
      <c r="B543" s="43"/>
      <c r="C543" s="43"/>
      <c r="D543" s="43"/>
      <c r="E543" s="43"/>
      <c r="F543" s="43"/>
      <c r="G543" s="43"/>
      <c r="H543" s="43"/>
      <c r="J543" s="40"/>
    </row>
    <row r="544" spans="1:10" ht="14">
      <c r="A544" s="43"/>
      <c r="B544" s="43"/>
      <c r="C544" s="43"/>
      <c r="D544" s="43"/>
      <c r="E544" s="43"/>
      <c r="F544" s="43"/>
      <c r="G544" s="43"/>
      <c r="H544" s="43"/>
      <c r="J544" s="40"/>
    </row>
    <row r="545" spans="1:10" ht="14">
      <c r="A545" s="43"/>
      <c r="B545" s="43"/>
      <c r="C545" s="43"/>
      <c r="D545" s="43"/>
      <c r="E545" s="43"/>
      <c r="F545" s="43"/>
      <c r="G545" s="43"/>
      <c r="H545" s="43"/>
      <c r="J545" s="40"/>
    </row>
    <row r="546" spans="1:10" ht="14">
      <c r="A546" s="43"/>
      <c r="B546" s="43"/>
      <c r="C546" s="43"/>
      <c r="D546" s="43"/>
      <c r="E546" s="43"/>
      <c r="F546" s="43"/>
      <c r="G546" s="43"/>
      <c r="H546" s="43"/>
      <c r="J546" s="40"/>
    </row>
    <row r="547" spans="1:10" ht="14">
      <c r="A547" s="43"/>
      <c r="B547" s="43"/>
      <c r="C547" s="43"/>
      <c r="D547" s="43"/>
      <c r="E547" s="43"/>
      <c r="F547" s="43"/>
      <c r="G547" s="43"/>
      <c r="H547" s="43"/>
      <c r="J547" s="40"/>
    </row>
    <row r="548" spans="1:10" ht="14">
      <c r="A548" s="43"/>
      <c r="B548" s="43"/>
      <c r="C548" s="43"/>
      <c r="D548" s="43"/>
      <c r="E548" s="43"/>
      <c r="F548" s="43"/>
      <c r="G548" s="43"/>
      <c r="H548" s="43"/>
      <c r="J548" s="40"/>
    </row>
    <row r="549" spans="1:10" ht="14">
      <c r="A549" s="43"/>
      <c r="B549" s="43"/>
      <c r="C549" s="43"/>
      <c r="D549" s="43"/>
      <c r="E549" s="43"/>
      <c r="F549" s="43"/>
      <c r="G549" s="43"/>
      <c r="H549" s="43"/>
      <c r="J549" s="40"/>
    </row>
    <row r="550" spans="1:10" ht="14">
      <c r="A550" s="43"/>
      <c r="B550" s="43"/>
      <c r="C550" s="43"/>
      <c r="D550" s="43"/>
      <c r="E550" s="43"/>
      <c r="F550" s="43"/>
      <c r="G550" s="43"/>
      <c r="H550" s="43"/>
      <c r="J550" s="40"/>
    </row>
    <row r="551" spans="1:10" ht="14">
      <c r="A551" s="43"/>
      <c r="B551" s="43"/>
      <c r="C551" s="43"/>
      <c r="D551" s="43"/>
      <c r="E551" s="43"/>
      <c r="F551" s="43"/>
      <c r="G551" s="43"/>
      <c r="H551" s="43"/>
      <c r="J551" s="40"/>
    </row>
    <row r="552" spans="1:10" ht="14">
      <c r="A552" s="43"/>
      <c r="B552" s="43"/>
      <c r="C552" s="43"/>
      <c r="D552" s="43"/>
      <c r="E552" s="43"/>
      <c r="F552" s="43"/>
      <c r="G552" s="43"/>
      <c r="H552" s="43"/>
      <c r="J552" s="40"/>
    </row>
    <row r="553" spans="1:10" ht="14">
      <c r="A553" s="43"/>
      <c r="B553" s="43"/>
      <c r="C553" s="43"/>
      <c r="D553" s="43"/>
      <c r="E553" s="43"/>
      <c r="F553" s="43"/>
      <c r="G553" s="43"/>
      <c r="H553" s="43"/>
      <c r="J553" s="40"/>
    </row>
    <row r="554" spans="1:10" ht="14">
      <c r="A554" s="43"/>
      <c r="B554" s="43"/>
      <c r="C554" s="43"/>
      <c r="D554" s="43"/>
      <c r="E554" s="43"/>
      <c r="F554" s="43"/>
      <c r="G554" s="43"/>
      <c r="H554" s="43"/>
      <c r="J554" s="40"/>
    </row>
    <row r="555" spans="1:10" ht="14">
      <c r="A555" s="43"/>
      <c r="B555" s="43"/>
      <c r="C555" s="43"/>
      <c r="D555" s="43"/>
      <c r="E555" s="43"/>
      <c r="F555" s="43"/>
      <c r="G555" s="43"/>
      <c r="H555" s="43"/>
      <c r="J555" s="40"/>
    </row>
    <row r="556" spans="1:10" ht="14">
      <c r="A556" s="43"/>
      <c r="B556" s="43"/>
      <c r="C556" s="43"/>
      <c r="D556" s="43"/>
      <c r="E556" s="43"/>
      <c r="F556" s="43"/>
      <c r="G556" s="43"/>
      <c r="H556" s="43"/>
      <c r="J556" s="40"/>
    </row>
    <row r="557" spans="1:10" ht="14">
      <c r="A557" s="43"/>
      <c r="B557" s="43"/>
      <c r="C557" s="43"/>
      <c r="D557" s="43"/>
      <c r="E557" s="43"/>
      <c r="F557" s="43"/>
      <c r="G557" s="43"/>
      <c r="H557" s="43"/>
      <c r="J557" s="40"/>
    </row>
    <row r="558" spans="1:10" ht="14">
      <c r="A558" s="43"/>
      <c r="B558" s="43"/>
      <c r="C558" s="43"/>
      <c r="D558" s="43"/>
      <c r="E558" s="43"/>
      <c r="F558" s="43"/>
      <c r="G558" s="43"/>
      <c r="H558" s="43"/>
      <c r="J558" s="40"/>
    </row>
    <row r="559" spans="1:10" ht="14">
      <c r="A559" s="43"/>
      <c r="B559" s="43"/>
      <c r="C559" s="43"/>
      <c r="D559" s="43"/>
      <c r="E559" s="43"/>
      <c r="F559" s="43"/>
      <c r="G559" s="43"/>
      <c r="H559" s="43"/>
      <c r="J559" s="40"/>
    </row>
    <row r="560" spans="1:10" ht="14">
      <c r="A560" s="43"/>
      <c r="B560" s="43"/>
      <c r="C560" s="43"/>
      <c r="D560" s="43"/>
      <c r="E560" s="43"/>
      <c r="F560" s="43"/>
      <c r="G560" s="43"/>
      <c r="H560" s="43"/>
      <c r="J560" s="40"/>
    </row>
    <row r="561" spans="1:10" ht="14">
      <c r="A561" s="43"/>
      <c r="B561" s="43"/>
      <c r="C561" s="43"/>
      <c r="D561" s="43"/>
      <c r="E561" s="43"/>
      <c r="F561" s="43"/>
      <c r="G561" s="43"/>
      <c r="H561" s="43"/>
      <c r="J561" s="40"/>
    </row>
    <row r="562" spans="1:10" ht="14">
      <c r="A562" s="43"/>
      <c r="B562" s="43"/>
      <c r="C562" s="43"/>
      <c r="D562" s="43"/>
      <c r="E562" s="43"/>
      <c r="F562" s="43"/>
      <c r="G562" s="43"/>
      <c r="H562" s="43"/>
      <c r="J562" s="40"/>
    </row>
    <row r="563" spans="1:10" ht="14">
      <c r="A563" s="43"/>
      <c r="B563" s="43"/>
      <c r="C563" s="43"/>
      <c r="D563" s="43"/>
      <c r="E563" s="43"/>
      <c r="F563" s="43"/>
      <c r="G563" s="43"/>
      <c r="H563" s="43"/>
      <c r="J563" s="40"/>
    </row>
    <row r="564" spans="1:10" ht="14">
      <c r="A564" s="43"/>
      <c r="B564" s="43"/>
      <c r="C564" s="43"/>
      <c r="D564" s="43"/>
      <c r="E564" s="43"/>
      <c r="F564" s="43"/>
      <c r="G564" s="43"/>
      <c r="H564" s="43"/>
      <c r="J564" s="40"/>
    </row>
    <row r="565" spans="1:10" ht="14">
      <c r="A565" s="43"/>
      <c r="B565" s="43"/>
      <c r="C565" s="43"/>
      <c r="D565" s="43"/>
      <c r="E565" s="43"/>
      <c r="F565" s="43"/>
      <c r="G565" s="43"/>
      <c r="H565" s="43"/>
      <c r="J565" s="40"/>
    </row>
    <row r="566" spans="1:10" ht="14">
      <c r="A566" s="43"/>
      <c r="B566" s="43"/>
      <c r="C566" s="43"/>
      <c r="D566" s="43"/>
      <c r="E566" s="43"/>
      <c r="F566" s="43"/>
      <c r="G566" s="43"/>
      <c r="H566" s="43"/>
      <c r="J566" s="40"/>
    </row>
    <row r="567" spans="1:10" ht="14">
      <c r="A567" s="43"/>
      <c r="B567" s="43"/>
      <c r="C567" s="43"/>
      <c r="D567" s="43"/>
      <c r="E567" s="43"/>
      <c r="F567" s="43"/>
      <c r="G567" s="43"/>
      <c r="H567" s="43"/>
      <c r="J567" s="40"/>
    </row>
    <row r="568" spans="1:10" ht="14">
      <c r="A568" s="43"/>
      <c r="B568" s="43"/>
      <c r="C568" s="43"/>
      <c r="D568" s="43"/>
      <c r="E568" s="43"/>
      <c r="F568" s="43"/>
      <c r="G568" s="43"/>
      <c r="H568" s="43"/>
      <c r="J568" s="40"/>
    </row>
    <row r="569" spans="1:10" ht="14">
      <c r="A569" s="43"/>
      <c r="B569" s="43"/>
      <c r="C569" s="43"/>
      <c r="D569" s="43"/>
      <c r="E569" s="43"/>
      <c r="F569" s="43"/>
      <c r="G569" s="43"/>
      <c r="H569" s="43"/>
      <c r="J569" s="40"/>
    </row>
    <row r="570" spans="1:10" ht="14">
      <c r="A570" s="43"/>
      <c r="B570" s="43"/>
      <c r="C570" s="43"/>
      <c r="D570" s="43"/>
      <c r="E570" s="43"/>
      <c r="F570" s="43"/>
      <c r="G570" s="43"/>
      <c r="H570" s="43"/>
      <c r="J570" s="40"/>
    </row>
    <row r="571" spans="1:10" ht="14">
      <c r="A571" s="43"/>
      <c r="B571" s="43"/>
      <c r="C571" s="43"/>
      <c r="D571" s="43"/>
      <c r="E571" s="43"/>
      <c r="F571" s="43"/>
      <c r="G571" s="43"/>
      <c r="H571" s="43"/>
      <c r="J571" s="40"/>
    </row>
    <row r="572" spans="1:10" ht="14">
      <c r="A572" s="43"/>
      <c r="B572" s="43"/>
      <c r="C572" s="43"/>
      <c r="D572" s="43"/>
      <c r="E572" s="43"/>
      <c r="F572" s="43"/>
      <c r="G572" s="43"/>
      <c r="H572" s="43"/>
      <c r="J572" s="40"/>
    </row>
    <row r="573" spans="1:10" ht="14">
      <c r="A573" s="43"/>
      <c r="B573" s="43"/>
      <c r="C573" s="43"/>
      <c r="D573" s="43"/>
      <c r="E573" s="43"/>
      <c r="F573" s="43"/>
      <c r="G573" s="43"/>
      <c r="H573" s="43"/>
      <c r="J573" s="40"/>
    </row>
    <row r="574" spans="1:10" ht="14">
      <c r="A574" s="43"/>
      <c r="B574" s="43"/>
      <c r="C574" s="43"/>
      <c r="D574" s="43"/>
      <c r="E574" s="43"/>
      <c r="F574" s="43"/>
      <c r="G574" s="43"/>
      <c r="H574" s="43"/>
      <c r="J574" s="40"/>
    </row>
    <row r="575" spans="1:10" ht="14">
      <c r="A575" s="43"/>
      <c r="B575" s="43"/>
      <c r="C575" s="43"/>
      <c r="D575" s="43"/>
      <c r="E575" s="43"/>
      <c r="F575" s="43"/>
      <c r="G575" s="43"/>
      <c r="H575" s="43"/>
      <c r="J575" s="40"/>
    </row>
    <row r="576" spans="1:10" ht="14">
      <c r="A576" s="43"/>
      <c r="B576" s="43"/>
      <c r="C576" s="43"/>
      <c r="D576" s="43"/>
      <c r="E576" s="43"/>
      <c r="F576" s="43"/>
      <c r="G576" s="43"/>
      <c r="H576" s="43"/>
      <c r="J576" s="40"/>
    </row>
    <row r="577" spans="1:10" ht="14">
      <c r="A577" s="43"/>
      <c r="B577" s="43"/>
      <c r="C577" s="43"/>
      <c r="D577" s="43"/>
      <c r="E577" s="43"/>
      <c r="F577" s="43"/>
      <c r="G577" s="43"/>
      <c r="H577" s="43"/>
      <c r="J577" s="40"/>
    </row>
    <row r="578" spans="1:10" ht="14">
      <c r="A578" s="43"/>
      <c r="B578" s="43"/>
      <c r="C578" s="43"/>
      <c r="D578" s="43"/>
      <c r="E578" s="43"/>
      <c r="F578" s="43"/>
      <c r="G578" s="43"/>
      <c r="H578" s="43"/>
      <c r="J578" s="40"/>
    </row>
    <row r="579" spans="1:10" ht="14">
      <c r="A579" s="43"/>
      <c r="B579" s="43"/>
      <c r="C579" s="43"/>
      <c r="D579" s="43"/>
      <c r="E579" s="43"/>
      <c r="F579" s="43"/>
      <c r="G579" s="43"/>
      <c r="H579" s="43"/>
      <c r="J579" s="40"/>
    </row>
    <row r="580" spans="1:10" ht="14">
      <c r="A580" s="43"/>
      <c r="B580" s="43"/>
      <c r="C580" s="43"/>
      <c r="D580" s="43"/>
      <c r="E580" s="43"/>
      <c r="F580" s="43"/>
      <c r="G580" s="43"/>
      <c r="H580" s="43"/>
      <c r="J580" s="40"/>
    </row>
    <row r="581" spans="1:10" ht="14">
      <c r="A581" s="43"/>
      <c r="B581" s="43"/>
      <c r="C581" s="43"/>
      <c r="D581" s="43"/>
      <c r="E581" s="43"/>
      <c r="F581" s="43"/>
      <c r="G581" s="43"/>
      <c r="H581" s="43"/>
      <c r="J581" s="40"/>
    </row>
    <row r="582" spans="1:10" ht="14">
      <c r="A582" s="43"/>
      <c r="B582" s="43"/>
      <c r="C582" s="43"/>
      <c r="D582" s="43"/>
      <c r="E582" s="43"/>
      <c r="F582" s="43"/>
      <c r="G582" s="43"/>
      <c r="H582" s="43"/>
      <c r="J582" s="40"/>
    </row>
    <row r="583" spans="1:10" ht="14">
      <c r="A583" s="43"/>
      <c r="B583" s="43"/>
      <c r="C583" s="43"/>
      <c r="D583" s="43"/>
      <c r="E583" s="43"/>
      <c r="F583" s="43"/>
      <c r="G583" s="43"/>
      <c r="H583" s="43"/>
      <c r="J583" s="40"/>
    </row>
    <row r="584" spans="1:10" ht="14">
      <c r="A584" s="43"/>
      <c r="B584" s="43"/>
      <c r="C584" s="43"/>
      <c r="D584" s="43"/>
      <c r="E584" s="43"/>
      <c r="F584" s="43"/>
      <c r="G584" s="43"/>
      <c r="H584" s="43"/>
      <c r="J584" s="40"/>
    </row>
    <row r="585" spans="1:10" ht="14">
      <c r="A585" s="43"/>
      <c r="B585" s="43"/>
      <c r="C585" s="43"/>
      <c r="D585" s="43"/>
      <c r="E585" s="43"/>
      <c r="F585" s="43"/>
      <c r="G585" s="43"/>
      <c r="H585" s="43"/>
      <c r="J585" s="40"/>
    </row>
    <row r="586" spans="1:10" ht="14">
      <c r="A586" s="43"/>
      <c r="B586" s="43"/>
      <c r="C586" s="43"/>
      <c r="D586" s="43"/>
      <c r="E586" s="43"/>
      <c r="F586" s="43"/>
      <c r="G586" s="43"/>
      <c r="H586" s="43"/>
      <c r="J586" s="40"/>
    </row>
    <row r="587" spans="1:10" ht="14">
      <c r="A587" s="43"/>
      <c r="B587" s="43"/>
      <c r="C587" s="43"/>
      <c r="D587" s="43"/>
      <c r="E587" s="43"/>
      <c r="F587" s="43"/>
      <c r="G587" s="43"/>
      <c r="H587" s="43"/>
      <c r="J587" s="40"/>
    </row>
    <row r="588" spans="1:10" ht="14">
      <c r="A588" s="43"/>
      <c r="B588" s="43"/>
      <c r="C588" s="43"/>
      <c r="D588" s="43"/>
      <c r="E588" s="43"/>
      <c r="F588" s="43"/>
      <c r="G588" s="43"/>
      <c r="H588" s="43"/>
      <c r="J588" s="40"/>
    </row>
    <row r="589" spans="1:10" ht="14">
      <c r="A589" s="43"/>
      <c r="B589" s="43"/>
      <c r="C589" s="43"/>
      <c r="D589" s="43"/>
      <c r="E589" s="43"/>
      <c r="F589" s="43"/>
      <c r="G589" s="43"/>
      <c r="H589" s="43"/>
      <c r="J589" s="40"/>
    </row>
    <row r="590" spans="1:10" ht="14">
      <c r="A590" s="43"/>
      <c r="B590" s="43"/>
      <c r="C590" s="43"/>
      <c r="D590" s="43"/>
      <c r="E590" s="43"/>
      <c r="F590" s="43"/>
      <c r="G590" s="43"/>
      <c r="H590" s="43"/>
      <c r="J590" s="40"/>
    </row>
    <row r="591" spans="1:10" ht="14">
      <c r="A591" s="43"/>
      <c r="B591" s="43"/>
      <c r="C591" s="43"/>
      <c r="D591" s="43"/>
      <c r="E591" s="43"/>
      <c r="F591" s="43"/>
      <c r="G591" s="43"/>
      <c r="H591" s="43"/>
      <c r="J591" s="40"/>
    </row>
    <row r="592" spans="1:10" ht="14">
      <c r="A592" s="43"/>
      <c r="B592" s="43"/>
      <c r="C592" s="43"/>
      <c r="D592" s="43"/>
      <c r="E592" s="43"/>
      <c r="F592" s="43"/>
      <c r="G592" s="43"/>
      <c r="H592" s="43"/>
      <c r="J592" s="40"/>
    </row>
    <row r="593" spans="1:10" ht="14">
      <c r="A593" s="43"/>
      <c r="B593" s="43"/>
      <c r="C593" s="43"/>
      <c r="D593" s="43"/>
      <c r="E593" s="43"/>
      <c r="F593" s="43"/>
      <c r="G593" s="43"/>
      <c r="H593" s="43"/>
      <c r="J593" s="40"/>
    </row>
    <row r="594" spans="1:10" ht="14">
      <c r="A594" s="43"/>
      <c r="B594" s="43"/>
      <c r="C594" s="43"/>
      <c r="D594" s="43"/>
      <c r="E594" s="43"/>
      <c r="F594" s="43"/>
      <c r="G594" s="43"/>
      <c r="H594" s="43"/>
      <c r="J594" s="40"/>
    </row>
    <row r="595" spans="1:10" ht="14">
      <c r="A595" s="43"/>
      <c r="B595" s="43"/>
      <c r="C595" s="43"/>
      <c r="D595" s="43"/>
      <c r="E595" s="43"/>
      <c r="F595" s="43"/>
      <c r="G595" s="43"/>
      <c r="H595" s="43"/>
      <c r="J595" s="40"/>
    </row>
    <row r="596" spans="1:10" ht="14">
      <c r="A596" s="43"/>
      <c r="B596" s="43"/>
      <c r="C596" s="43"/>
      <c r="D596" s="43"/>
      <c r="E596" s="43"/>
      <c r="F596" s="43"/>
      <c r="G596" s="43"/>
      <c r="H596" s="43"/>
      <c r="J596" s="40"/>
    </row>
    <row r="597" spans="1:10" ht="14">
      <c r="A597" s="43"/>
      <c r="B597" s="43"/>
      <c r="C597" s="43"/>
      <c r="D597" s="43"/>
      <c r="E597" s="43"/>
      <c r="F597" s="43"/>
      <c r="G597" s="43"/>
      <c r="H597" s="43"/>
      <c r="J597" s="40"/>
    </row>
    <row r="598" spans="1:10" ht="14">
      <c r="A598" s="43"/>
      <c r="B598" s="43"/>
      <c r="C598" s="43"/>
      <c r="D598" s="43"/>
      <c r="E598" s="43"/>
      <c r="F598" s="43"/>
      <c r="G598" s="43"/>
      <c r="H598" s="43"/>
      <c r="J598" s="40"/>
    </row>
    <row r="599" spans="1:10" ht="14">
      <c r="A599" s="43"/>
      <c r="B599" s="43"/>
      <c r="C599" s="43"/>
      <c r="D599" s="43"/>
      <c r="E599" s="43"/>
      <c r="F599" s="43"/>
      <c r="G599" s="43"/>
      <c r="H599" s="43"/>
      <c r="J599" s="40"/>
    </row>
    <row r="600" spans="1:10" ht="14">
      <c r="A600" s="43"/>
      <c r="B600" s="43"/>
      <c r="C600" s="43"/>
      <c r="D600" s="43"/>
      <c r="E600" s="43"/>
      <c r="F600" s="43"/>
      <c r="G600" s="43"/>
      <c r="H600" s="43"/>
      <c r="J600" s="40"/>
    </row>
    <row r="601" spans="1:10" ht="14">
      <c r="A601" s="43"/>
      <c r="B601" s="43"/>
      <c r="C601" s="43"/>
      <c r="D601" s="43"/>
      <c r="E601" s="43"/>
      <c r="F601" s="43"/>
      <c r="G601" s="43"/>
      <c r="H601" s="43"/>
      <c r="J601" s="40"/>
    </row>
    <row r="602" spans="1:10" ht="14">
      <c r="A602" s="43"/>
      <c r="B602" s="43"/>
      <c r="C602" s="43"/>
      <c r="D602" s="43"/>
      <c r="E602" s="43"/>
      <c r="F602" s="43"/>
      <c r="G602" s="43"/>
      <c r="H602" s="43"/>
      <c r="J602" s="40"/>
    </row>
    <row r="603" spans="1:10" ht="14">
      <c r="A603" s="43"/>
      <c r="B603" s="43"/>
      <c r="C603" s="43"/>
      <c r="D603" s="43"/>
      <c r="E603" s="43"/>
      <c r="F603" s="43"/>
      <c r="G603" s="43"/>
      <c r="H603" s="43"/>
      <c r="J603" s="40"/>
    </row>
    <row r="604" spans="1:10" ht="14">
      <c r="A604" s="43"/>
      <c r="B604" s="43"/>
      <c r="C604" s="43"/>
      <c r="D604" s="43"/>
      <c r="E604" s="43"/>
      <c r="F604" s="43"/>
      <c r="G604" s="43"/>
      <c r="H604" s="43"/>
      <c r="J604" s="40"/>
    </row>
    <row r="605" spans="1:10" ht="14">
      <c r="A605" s="43"/>
      <c r="B605" s="43"/>
      <c r="C605" s="43"/>
      <c r="D605" s="43"/>
      <c r="E605" s="43"/>
      <c r="F605" s="43"/>
      <c r="G605" s="43"/>
      <c r="H605" s="43"/>
      <c r="J605" s="40"/>
    </row>
    <row r="606" spans="1:10" ht="14">
      <c r="A606" s="43"/>
      <c r="B606" s="43"/>
      <c r="C606" s="43"/>
      <c r="D606" s="43"/>
      <c r="E606" s="43"/>
      <c r="F606" s="43"/>
      <c r="G606" s="43"/>
      <c r="H606" s="43"/>
      <c r="J606" s="40"/>
    </row>
    <row r="607" spans="1:10" ht="14">
      <c r="A607" s="43"/>
      <c r="B607" s="43"/>
      <c r="C607" s="43"/>
      <c r="D607" s="43"/>
      <c r="E607" s="43"/>
      <c r="F607" s="43"/>
      <c r="G607" s="43"/>
      <c r="H607" s="43"/>
      <c r="J607" s="40"/>
    </row>
    <row r="608" spans="1:10" ht="14">
      <c r="A608" s="43"/>
      <c r="B608" s="43"/>
      <c r="C608" s="43"/>
      <c r="D608" s="43"/>
      <c r="E608" s="43"/>
      <c r="F608" s="43"/>
      <c r="G608" s="43"/>
      <c r="H608" s="43"/>
      <c r="J608" s="40"/>
    </row>
    <row r="609" spans="1:10" ht="14">
      <c r="A609" s="43"/>
      <c r="B609" s="43"/>
      <c r="C609" s="43"/>
      <c r="D609" s="43"/>
      <c r="E609" s="43"/>
      <c r="F609" s="43"/>
      <c r="G609" s="43"/>
      <c r="H609" s="43"/>
      <c r="J609" s="40"/>
    </row>
    <row r="610" spans="1:10" ht="14">
      <c r="A610" s="43"/>
      <c r="B610" s="43"/>
      <c r="C610" s="43"/>
      <c r="D610" s="43"/>
      <c r="E610" s="43"/>
      <c r="F610" s="43"/>
      <c r="G610" s="43"/>
      <c r="H610" s="43"/>
      <c r="J610" s="40"/>
    </row>
    <row r="611" spans="1:10" ht="14">
      <c r="A611" s="43"/>
      <c r="B611" s="43"/>
      <c r="C611" s="43"/>
      <c r="D611" s="43"/>
      <c r="E611" s="43"/>
      <c r="F611" s="43"/>
      <c r="G611" s="43"/>
      <c r="H611" s="43"/>
      <c r="J611" s="40"/>
    </row>
    <row r="612" spans="1:10" ht="14">
      <c r="A612" s="43"/>
      <c r="B612" s="43"/>
      <c r="C612" s="43"/>
      <c r="D612" s="43"/>
      <c r="E612" s="43"/>
      <c r="F612" s="43"/>
      <c r="G612" s="43"/>
      <c r="H612" s="43"/>
      <c r="J612" s="40"/>
    </row>
    <row r="613" spans="1:10" ht="14">
      <c r="A613" s="43"/>
      <c r="B613" s="43"/>
      <c r="C613" s="43"/>
      <c r="D613" s="43"/>
      <c r="E613" s="43"/>
      <c r="F613" s="43"/>
      <c r="G613" s="43"/>
      <c r="H613" s="43"/>
      <c r="J613" s="40"/>
    </row>
    <row r="614" spans="1:10" ht="14">
      <c r="A614" s="43"/>
      <c r="B614" s="43"/>
      <c r="C614" s="43"/>
      <c r="D614" s="43"/>
      <c r="E614" s="43"/>
      <c r="F614" s="43"/>
      <c r="G614" s="43"/>
      <c r="H614" s="43"/>
      <c r="J614" s="40"/>
    </row>
    <row r="615" spans="1:10" ht="14">
      <c r="A615" s="43"/>
      <c r="B615" s="43"/>
      <c r="C615" s="43"/>
      <c r="D615" s="43"/>
      <c r="E615" s="43"/>
      <c r="F615" s="43"/>
      <c r="G615" s="43"/>
      <c r="H615" s="43"/>
      <c r="J615" s="40"/>
    </row>
    <row r="616" spans="1:10" ht="14">
      <c r="A616" s="43"/>
      <c r="B616" s="43"/>
      <c r="C616" s="43"/>
      <c r="D616" s="43"/>
      <c r="E616" s="43"/>
      <c r="F616" s="43"/>
      <c r="G616" s="43"/>
      <c r="H616" s="43"/>
      <c r="J616" s="40"/>
    </row>
    <row r="617" spans="1:10" ht="14">
      <c r="A617" s="43"/>
      <c r="B617" s="43"/>
      <c r="C617" s="43"/>
      <c r="D617" s="43"/>
      <c r="E617" s="43"/>
      <c r="F617" s="43"/>
      <c r="G617" s="43"/>
      <c r="H617" s="43"/>
      <c r="J617" s="40"/>
    </row>
    <row r="618" spans="1:10" ht="14">
      <c r="A618" s="43"/>
      <c r="B618" s="43"/>
      <c r="C618" s="43"/>
      <c r="D618" s="43"/>
      <c r="E618" s="43"/>
      <c r="F618" s="43"/>
      <c r="G618" s="43"/>
      <c r="H618" s="43"/>
      <c r="J618" s="40"/>
    </row>
    <row r="619" spans="1:10" ht="14">
      <c r="A619" s="43"/>
      <c r="B619" s="43"/>
      <c r="C619" s="43"/>
      <c r="D619" s="43"/>
      <c r="E619" s="43"/>
      <c r="F619" s="43"/>
      <c r="G619" s="43"/>
      <c r="H619" s="43"/>
      <c r="J619" s="40"/>
    </row>
    <row r="620" spans="1:10" ht="14">
      <c r="A620" s="43"/>
      <c r="B620" s="43"/>
      <c r="C620" s="43"/>
      <c r="D620" s="43"/>
      <c r="E620" s="43"/>
      <c r="F620" s="43"/>
      <c r="G620" s="43"/>
      <c r="H620" s="43"/>
      <c r="J620" s="40"/>
    </row>
    <row r="621" spans="1:10" ht="14">
      <c r="A621" s="43"/>
      <c r="B621" s="43"/>
      <c r="C621" s="43"/>
      <c r="D621" s="43"/>
      <c r="E621" s="43"/>
      <c r="F621" s="43"/>
      <c r="G621" s="43"/>
      <c r="H621" s="43"/>
      <c r="J621" s="40"/>
    </row>
    <row r="622" spans="1:10" ht="14">
      <c r="A622" s="43"/>
      <c r="B622" s="43"/>
      <c r="C622" s="43"/>
      <c r="D622" s="43"/>
      <c r="E622" s="43"/>
      <c r="F622" s="43"/>
      <c r="G622" s="43"/>
      <c r="H622" s="43"/>
      <c r="J622" s="40"/>
    </row>
    <row r="623" spans="1:10" ht="14">
      <c r="A623" s="43"/>
      <c r="B623" s="43"/>
      <c r="C623" s="43"/>
      <c r="D623" s="43"/>
      <c r="E623" s="43"/>
      <c r="F623" s="43"/>
      <c r="G623" s="43"/>
      <c r="H623" s="43"/>
      <c r="J623" s="40"/>
    </row>
    <row r="624" spans="1:10" ht="14">
      <c r="A624" s="43"/>
      <c r="B624" s="43"/>
      <c r="C624" s="43"/>
      <c r="D624" s="43"/>
      <c r="E624" s="43"/>
      <c r="F624" s="43"/>
      <c r="G624" s="43"/>
      <c r="H624" s="43"/>
      <c r="J624" s="40"/>
    </row>
    <row r="625" spans="1:10" ht="14">
      <c r="A625" s="43"/>
      <c r="B625" s="43"/>
      <c r="C625" s="43"/>
      <c r="D625" s="43"/>
      <c r="E625" s="43"/>
      <c r="F625" s="43"/>
      <c r="G625" s="43"/>
      <c r="H625" s="43"/>
      <c r="J625" s="40"/>
    </row>
    <row r="626" spans="1:10" ht="14">
      <c r="A626" s="43"/>
      <c r="B626" s="43"/>
      <c r="C626" s="43"/>
      <c r="D626" s="43"/>
      <c r="E626" s="43"/>
      <c r="F626" s="43"/>
      <c r="G626" s="43"/>
      <c r="H626" s="43"/>
      <c r="J626" s="40"/>
    </row>
    <row r="627" spans="1:10" ht="14">
      <c r="A627" s="43"/>
      <c r="B627" s="43"/>
      <c r="C627" s="43"/>
      <c r="D627" s="43"/>
      <c r="E627" s="43"/>
      <c r="F627" s="43"/>
      <c r="G627" s="43"/>
      <c r="H627" s="43"/>
      <c r="J627" s="40"/>
    </row>
    <row r="628" spans="1:10" ht="14">
      <c r="A628" s="43"/>
      <c r="B628" s="43"/>
      <c r="C628" s="43"/>
      <c r="D628" s="43"/>
      <c r="E628" s="43"/>
      <c r="F628" s="43"/>
      <c r="G628" s="43"/>
      <c r="H628" s="43"/>
      <c r="J628" s="40"/>
    </row>
    <row r="629" spans="1:10" ht="14">
      <c r="A629" s="43"/>
      <c r="B629" s="43"/>
      <c r="C629" s="43"/>
      <c r="D629" s="43"/>
      <c r="E629" s="43"/>
      <c r="F629" s="43"/>
      <c r="G629" s="43"/>
      <c r="H629" s="43"/>
      <c r="J629" s="40"/>
    </row>
    <row r="630" spans="1:10" ht="14">
      <c r="A630" s="43"/>
      <c r="B630" s="43"/>
      <c r="C630" s="43"/>
      <c r="D630" s="43"/>
      <c r="E630" s="43"/>
      <c r="F630" s="43"/>
      <c r="G630" s="43"/>
      <c r="H630" s="43"/>
      <c r="J630" s="40"/>
    </row>
    <row r="631" spans="1:10" ht="14">
      <c r="A631" s="43"/>
      <c r="B631" s="43"/>
      <c r="C631" s="43"/>
      <c r="D631" s="43"/>
      <c r="E631" s="43"/>
      <c r="F631" s="43"/>
      <c r="G631" s="43"/>
      <c r="H631" s="43"/>
      <c r="J631" s="40"/>
    </row>
    <row r="632" spans="1:10" ht="14">
      <c r="A632" s="43"/>
      <c r="B632" s="43"/>
      <c r="C632" s="43"/>
      <c r="D632" s="43"/>
      <c r="E632" s="43"/>
      <c r="F632" s="43"/>
      <c r="G632" s="43"/>
      <c r="H632" s="43"/>
      <c r="J632" s="40"/>
    </row>
    <row r="633" spans="1:10" ht="14">
      <c r="A633" s="43"/>
      <c r="B633" s="43"/>
      <c r="C633" s="43"/>
      <c r="D633" s="43"/>
      <c r="E633" s="43"/>
      <c r="F633" s="43"/>
      <c r="G633" s="43"/>
      <c r="H633" s="43"/>
      <c r="J633" s="40"/>
    </row>
    <row r="634" spans="1:10" ht="14">
      <c r="A634" s="43"/>
      <c r="B634" s="43"/>
      <c r="C634" s="43"/>
      <c r="D634" s="43"/>
      <c r="E634" s="43"/>
      <c r="F634" s="43"/>
      <c r="G634" s="43"/>
      <c r="H634" s="43"/>
      <c r="J634" s="40"/>
    </row>
    <row r="635" spans="1:10" ht="14">
      <c r="A635" s="43"/>
      <c r="B635" s="43"/>
      <c r="C635" s="43"/>
      <c r="D635" s="43"/>
      <c r="E635" s="43"/>
      <c r="F635" s="43"/>
      <c r="G635" s="43"/>
      <c r="H635" s="43"/>
      <c r="J635" s="40"/>
    </row>
    <row r="636" spans="1:10" ht="14">
      <c r="A636" s="43"/>
      <c r="B636" s="43"/>
      <c r="C636" s="43"/>
      <c r="D636" s="43"/>
      <c r="E636" s="43"/>
      <c r="F636" s="43"/>
      <c r="G636" s="43"/>
      <c r="H636" s="43"/>
      <c r="J636" s="40"/>
    </row>
    <row r="637" spans="1:10" ht="14">
      <c r="A637" s="43"/>
      <c r="B637" s="43"/>
      <c r="C637" s="43"/>
      <c r="D637" s="43"/>
      <c r="E637" s="43"/>
      <c r="F637" s="43"/>
      <c r="G637" s="43"/>
      <c r="H637" s="43"/>
      <c r="J637" s="40"/>
    </row>
    <row r="638" spans="1:10" ht="14">
      <c r="A638" s="43"/>
      <c r="B638" s="43"/>
      <c r="C638" s="43"/>
      <c r="D638" s="43"/>
      <c r="E638" s="43"/>
      <c r="F638" s="43"/>
      <c r="G638" s="43"/>
      <c r="H638" s="43"/>
      <c r="J638" s="40"/>
    </row>
    <row r="639" spans="1:10" ht="14">
      <c r="A639" s="43"/>
      <c r="B639" s="43"/>
      <c r="C639" s="43"/>
      <c r="D639" s="43"/>
      <c r="E639" s="43"/>
      <c r="F639" s="43"/>
      <c r="G639" s="43"/>
      <c r="H639" s="43"/>
      <c r="J639" s="40"/>
    </row>
    <row r="640" spans="1:10" ht="14">
      <c r="A640" s="43"/>
      <c r="B640" s="43"/>
      <c r="C640" s="43"/>
      <c r="D640" s="43"/>
      <c r="E640" s="43"/>
      <c r="F640" s="43"/>
      <c r="G640" s="43"/>
      <c r="H640" s="43"/>
      <c r="J640" s="40"/>
    </row>
    <row r="641" spans="1:10" ht="14">
      <c r="A641" s="43"/>
      <c r="B641" s="43"/>
      <c r="C641" s="43"/>
      <c r="D641" s="43"/>
      <c r="E641" s="43"/>
      <c r="F641" s="43"/>
      <c r="G641" s="43"/>
      <c r="H641" s="43"/>
      <c r="J641" s="40"/>
    </row>
    <row r="642" spans="1:10" ht="14">
      <c r="A642" s="43"/>
      <c r="B642" s="43"/>
      <c r="C642" s="43"/>
      <c r="D642" s="43"/>
      <c r="E642" s="43"/>
      <c r="F642" s="43"/>
      <c r="G642" s="43"/>
      <c r="H642" s="43"/>
      <c r="J642" s="40"/>
    </row>
    <row r="643" spans="1:10" ht="14">
      <c r="A643" s="43"/>
      <c r="B643" s="43"/>
      <c r="C643" s="43"/>
      <c r="D643" s="43"/>
      <c r="E643" s="43"/>
      <c r="F643" s="43"/>
      <c r="G643" s="43"/>
      <c r="H643" s="43"/>
      <c r="J643" s="40"/>
    </row>
    <row r="644" spans="1:10" ht="14">
      <c r="A644" s="43"/>
      <c r="B644" s="43"/>
      <c r="C644" s="43"/>
      <c r="D644" s="43"/>
      <c r="E644" s="43"/>
      <c r="F644" s="43"/>
      <c r="G644" s="43"/>
      <c r="H644" s="43"/>
      <c r="J644" s="40"/>
    </row>
    <row r="645" spans="1:10" ht="14">
      <c r="A645" s="43"/>
      <c r="B645" s="43"/>
      <c r="C645" s="43"/>
      <c r="D645" s="43"/>
      <c r="E645" s="43"/>
      <c r="F645" s="43"/>
      <c r="G645" s="43"/>
      <c r="H645" s="43"/>
      <c r="J645" s="40"/>
    </row>
    <row r="646" spans="1:10" ht="14">
      <c r="A646" s="43"/>
      <c r="B646" s="43"/>
      <c r="C646" s="43"/>
      <c r="D646" s="43"/>
      <c r="E646" s="43"/>
      <c r="F646" s="43"/>
      <c r="G646" s="43"/>
      <c r="H646" s="43"/>
      <c r="J646" s="40"/>
    </row>
    <row r="647" spans="1:10" ht="14">
      <c r="A647" s="43"/>
      <c r="B647" s="43"/>
      <c r="C647" s="43"/>
      <c r="D647" s="43"/>
      <c r="E647" s="43"/>
      <c r="F647" s="43"/>
      <c r="G647" s="43"/>
      <c r="H647" s="43"/>
      <c r="J647" s="40"/>
    </row>
    <row r="648" spans="1:10" ht="14">
      <c r="A648" s="43"/>
      <c r="B648" s="43"/>
      <c r="C648" s="43"/>
      <c r="D648" s="43"/>
      <c r="E648" s="43"/>
      <c r="F648" s="43"/>
      <c r="G648" s="43"/>
      <c r="H648" s="43"/>
      <c r="J648" s="40"/>
    </row>
    <row r="649" spans="1:10" ht="14">
      <c r="A649" s="43"/>
      <c r="B649" s="43"/>
      <c r="C649" s="43"/>
      <c r="D649" s="43"/>
      <c r="E649" s="43"/>
      <c r="F649" s="43"/>
      <c r="G649" s="43"/>
      <c r="H649" s="43"/>
      <c r="J649" s="40"/>
    </row>
    <row r="650" spans="1:10" ht="14">
      <c r="A650" s="43"/>
      <c r="B650" s="43"/>
      <c r="C650" s="43"/>
      <c r="D650" s="43"/>
      <c r="E650" s="43"/>
      <c r="F650" s="43"/>
      <c r="G650" s="43"/>
      <c r="H650" s="43"/>
      <c r="J650" s="40"/>
    </row>
    <row r="651" spans="1:10" ht="14">
      <c r="A651" s="43"/>
      <c r="B651" s="43"/>
      <c r="C651" s="43"/>
      <c r="D651" s="43"/>
      <c r="E651" s="43"/>
      <c r="F651" s="43"/>
      <c r="G651" s="43"/>
      <c r="H651" s="43"/>
      <c r="J651" s="40"/>
    </row>
    <row r="652" spans="1:10" ht="14">
      <c r="A652" s="43"/>
      <c r="B652" s="43"/>
      <c r="C652" s="43"/>
      <c r="D652" s="43"/>
      <c r="E652" s="43"/>
      <c r="F652" s="43"/>
      <c r="G652" s="43"/>
      <c r="H652" s="43"/>
      <c r="J652" s="40"/>
    </row>
    <row r="653" spans="1:10" ht="14">
      <c r="A653" s="43"/>
      <c r="B653" s="43"/>
      <c r="C653" s="43"/>
      <c r="D653" s="43"/>
      <c r="E653" s="43"/>
      <c r="F653" s="43"/>
      <c r="G653" s="43"/>
      <c r="H653" s="43"/>
      <c r="J653" s="40"/>
    </row>
    <row r="654" spans="1:10" ht="14">
      <c r="A654" s="43"/>
      <c r="B654" s="43"/>
      <c r="C654" s="43"/>
      <c r="D654" s="43"/>
      <c r="E654" s="43"/>
      <c r="F654" s="43"/>
      <c r="G654" s="43"/>
      <c r="H654" s="43"/>
      <c r="J654" s="40"/>
    </row>
    <row r="655" spans="1:10" ht="14">
      <c r="A655" s="43"/>
      <c r="B655" s="43"/>
      <c r="C655" s="43"/>
      <c r="D655" s="43"/>
      <c r="E655" s="43"/>
      <c r="F655" s="43"/>
      <c r="G655" s="43"/>
      <c r="H655" s="43"/>
      <c r="J655" s="40"/>
    </row>
    <row r="656" spans="1:10" ht="14">
      <c r="A656" s="43"/>
      <c r="B656" s="43"/>
      <c r="C656" s="43"/>
      <c r="D656" s="43"/>
      <c r="E656" s="43"/>
      <c r="F656" s="43"/>
      <c r="G656" s="43"/>
      <c r="H656" s="43"/>
      <c r="J656" s="40"/>
    </row>
    <row r="657" spans="1:10" ht="14">
      <c r="A657" s="43"/>
      <c r="B657" s="43"/>
      <c r="C657" s="43"/>
      <c r="D657" s="43"/>
      <c r="E657" s="43"/>
      <c r="F657" s="43"/>
      <c r="G657" s="43"/>
      <c r="H657" s="43"/>
      <c r="J657" s="40"/>
    </row>
    <row r="658" spans="1:10" ht="14">
      <c r="A658" s="43"/>
      <c r="B658" s="43"/>
      <c r="C658" s="43"/>
      <c r="D658" s="43"/>
      <c r="E658" s="43"/>
      <c r="F658" s="43"/>
      <c r="G658" s="43"/>
      <c r="H658" s="43"/>
      <c r="J658" s="40"/>
    </row>
    <row r="659" spans="1:10" ht="14">
      <c r="A659" s="43"/>
      <c r="B659" s="43"/>
      <c r="C659" s="43"/>
      <c r="D659" s="43"/>
      <c r="E659" s="43"/>
      <c r="F659" s="43"/>
      <c r="G659" s="43"/>
      <c r="H659" s="43"/>
      <c r="J659" s="40"/>
    </row>
    <row r="660" spans="1:10" ht="14">
      <c r="A660" s="43"/>
      <c r="B660" s="43"/>
      <c r="C660" s="43"/>
      <c r="D660" s="43"/>
      <c r="E660" s="43"/>
      <c r="F660" s="43"/>
      <c r="G660" s="43"/>
      <c r="H660" s="43"/>
      <c r="J660" s="40"/>
    </row>
    <row r="661" spans="1:10" ht="14">
      <c r="A661" s="43"/>
      <c r="B661" s="43"/>
      <c r="C661" s="43"/>
      <c r="D661" s="43"/>
      <c r="E661" s="43"/>
      <c r="F661" s="43"/>
      <c r="G661" s="43"/>
      <c r="H661" s="43"/>
      <c r="J661" s="40"/>
    </row>
    <row r="662" spans="1:10" ht="14">
      <c r="A662" s="43"/>
      <c r="B662" s="43"/>
      <c r="C662" s="43"/>
      <c r="D662" s="43"/>
      <c r="E662" s="43"/>
      <c r="F662" s="43"/>
      <c r="G662" s="43"/>
      <c r="H662" s="43"/>
      <c r="J662" s="40"/>
    </row>
    <row r="663" spans="1:10" ht="14">
      <c r="A663" s="43"/>
      <c r="B663" s="43"/>
      <c r="C663" s="43"/>
      <c r="D663" s="43"/>
      <c r="E663" s="43"/>
      <c r="F663" s="43"/>
      <c r="G663" s="43"/>
      <c r="H663" s="43"/>
      <c r="J663" s="40"/>
    </row>
    <row r="664" spans="1:10" ht="14">
      <c r="A664" s="43"/>
      <c r="B664" s="43"/>
      <c r="C664" s="43"/>
      <c r="D664" s="43"/>
      <c r="E664" s="43"/>
      <c r="F664" s="43"/>
      <c r="G664" s="43"/>
      <c r="H664" s="43"/>
      <c r="J664" s="40"/>
    </row>
    <row r="665" spans="1:10" ht="14">
      <c r="A665" s="43"/>
      <c r="B665" s="43"/>
      <c r="C665" s="43"/>
      <c r="D665" s="43"/>
      <c r="E665" s="43"/>
      <c r="F665" s="43"/>
      <c r="G665" s="43"/>
      <c r="H665" s="43"/>
      <c r="J665" s="40"/>
    </row>
    <row r="666" spans="1:10" ht="14">
      <c r="A666" s="43"/>
      <c r="B666" s="43"/>
      <c r="C666" s="43"/>
      <c r="D666" s="43"/>
      <c r="E666" s="43"/>
      <c r="F666" s="43"/>
      <c r="G666" s="43"/>
      <c r="H666" s="43"/>
      <c r="J666" s="40"/>
    </row>
    <row r="667" spans="1:10" ht="14">
      <c r="A667" s="43"/>
      <c r="B667" s="43"/>
      <c r="C667" s="43"/>
      <c r="D667" s="43"/>
      <c r="E667" s="43"/>
      <c r="F667" s="43"/>
      <c r="G667" s="43"/>
      <c r="H667" s="43"/>
      <c r="J667" s="40"/>
    </row>
    <row r="668" spans="1:10" ht="14">
      <c r="A668" s="43"/>
      <c r="B668" s="43"/>
      <c r="C668" s="43"/>
      <c r="D668" s="43"/>
      <c r="E668" s="43"/>
      <c r="F668" s="43"/>
      <c r="G668" s="43"/>
      <c r="H668" s="43"/>
      <c r="J668" s="40"/>
    </row>
    <row r="669" spans="1:10" ht="14">
      <c r="A669" s="43"/>
      <c r="B669" s="43"/>
      <c r="C669" s="43"/>
      <c r="D669" s="43"/>
      <c r="E669" s="43"/>
      <c r="F669" s="43"/>
      <c r="G669" s="43"/>
      <c r="H669" s="43"/>
      <c r="J669" s="40"/>
    </row>
    <row r="670" spans="1:10" ht="14">
      <c r="A670" s="43"/>
      <c r="B670" s="43"/>
      <c r="C670" s="43"/>
      <c r="D670" s="43"/>
      <c r="E670" s="43"/>
      <c r="F670" s="43"/>
      <c r="G670" s="43"/>
      <c r="H670" s="43"/>
      <c r="J670" s="40"/>
    </row>
    <row r="671" spans="1:10" ht="14">
      <c r="A671" s="43"/>
      <c r="B671" s="43"/>
      <c r="C671" s="43"/>
      <c r="D671" s="43"/>
      <c r="E671" s="43"/>
      <c r="F671" s="43"/>
      <c r="G671" s="43"/>
      <c r="H671" s="43"/>
      <c r="J671" s="40"/>
    </row>
    <row r="672" spans="1:10" ht="14">
      <c r="A672" s="43"/>
      <c r="B672" s="43"/>
      <c r="C672" s="43"/>
      <c r="D672" s="43"/>
      <c r="E672" s="43"/>
      <c r="F672" s="43"/>
      <c r="G672" s="43"/>
      <c r="H672" s="43"/>
      <c r="J672" s="40"/>
    </row>
    <row r="673" spans="1:10" ht="14">
      <c r="A673" s="43"/>
      <c r="B673" s="43"/>
      <c r="C673" s="43"/>
      <c r="D673" s="43"/>
      <c r="E673" s="43"/>
      <c r="F673" s="43"/>
      <c r="G673" s="43"/>
      <c r="H673" s="43"/>
      <c r="J673" s="40"/>
    </row>
    <row r="674" spans="1:10" ht="14">
      <c r="A674" s="43"/>
      <c r="B674" s="43"/>
      <c r="C674" s="43"/>
      <c r="D674" s="43"/>
      <c r="E674" s="43"/>
      <c r="F674" s="43"/>
      <c r="G674" s="43"/>
      <c r="H674" s="43"/>
      <c r="J674" s="40"/>
    </row>
    <row r="675" spans="1:10" ht="14">
      <c r="A675" s="43"/>
      <c r="B675" s="43"/>
      <c r="C675" s="43"/>
      <c r="D675" s="43"/>
      <c r="E675" s="43"/>
      <c r="F675" s="43"/>
      <c r="G675" s="43"/>
      <c r="H675" s="43"/>
      <c r="J675" s="40"/>
    </row>
    <row r="676" spans="1:10" ht="14">
      <c r="A676" s="43"/>
      <c r="B676" s="43"/>
      <c r="C676" s="43"/>
      <c r="D676" s="43"/>
      <c r="E676" s="43"/>
      <c r="F676" s="43"/>
      <c r="G676" s="43"/>
      <c r="H676" s="43"/>
      <c r="J676" s="40"/>
    </row>
    <row r="677" spans="1:10" ht="14">
      <c r="A677" s="43"/>
      <c r="B677" s="43"/>
      <c r="C677" s="43"/>
      <c r="D677" s="43"/>
      <c r="E677" s="43"/>
      <c r="F677" s="43"/>
      <c r="G677" s="43"/>
      <c r="H677" s="43"/>
      <c r="J677" s="40"/>
    </row>
    <row r="678" spans="1:10" ht="14">
      <c r="A678" s="43"/>
      <c r="B678" s="43"/>
      <c r="C678" s="43"/>
      <c r="D678" s="43"/>
      <c r="E678" s="43"/>
      <c r="F678" s="43"/>
      <c r="G678" s="43"/>
      <c r="H678" s="43"/>
      <c r="J678" s="40"/>
    </row>
    <row r="679" spans="1:10" ht="14">
      <c r="A679" s="43"/>
      <c r="B679" s="43"/>
      <c r="C679" s="43"/>
      <c r="D679" s="43"/>
      <c r="E679" s="43"/>
      <c r="F679" s="43"/>
      <c r="G679" s="43"/>
      <c r="H679" s="43"/>
      <c r="J679" s="40"/>
    </row>
    <row r="680" spans="1:10" ht="14">
      <c r="A680" s="43"/>
      <c r="B680" s="43"/>
      <c r="C680" s="43"/>
      <c r="D680" s="43"/>
      <c r="E680" s="43"/>
      <c r="F680" s="43"/>
      <c r="G680" s="43"/>
      <c r="H680" s="43"/>
      <c r="J680" s="40"/>
    </row>
    <row r="681" spans="1:10" ht="14">
      <c r="A681" s="43"/>
      <c r="B681" s="43"/>
      <c r="C681" s="43"/>
      <c r="D681" s="43"/>
      <c r="E681" s="43"/>
      <c r="F681" s="43"/>
      <c r="G681" s="43"/>
      <c r="H681" s="43"/>
      <c r="J681" s="40"/>
    </row>
    <row r="682" spans="1:10" ht="14">
      <c r="A682" s="43"/>
      <c r="B682" s="43"/>
      <c r="C682" s="43"/>
      <c r="D682" s="43"/>
      <c r="E682" s="43"/>
      <c r="F682" s="43"/>
      <c r="G682" s="43"/>
      <c r="H682" s="43"/>
      <c r="J682" s="40"/>
    </row>
    <row r="683" spans="1:10" ht="14">
      <c r="A683" s="43"/>
      <c r="B683" s="43"/>
      <c r="C683" s="43"/>
      <c r="D683" s="43"/>
      <c r="E683" s="43"/>
      <c r="F683" s="43"/>
      <c r="G683" s="43"/>
      <c r="H683" s="43"/>
      <c r="J683" s="40"/>
    </row>
    <row r="684" spans="1:10" ht="14">
      <c r="A684" s="43"/>
      <c r="B684" s="43"/>
      <c r="C684" s="43"/>
      <c r="D684" s="43"/>
      <c r="E684" s="43"/>
      <c r="F684" s="43"/>
      <c r="G684" s="43"/>
      <c r="H684" s="43"/>
      <c r="J684" s="40"/>
    </row>
    <row r="685" spans="1:10" ht="14">
      <c r="A685" s="43"/>
      <c r="B685" s="43"/>
      <c r="C685" s="43"/>
      <c r="D685" s="43"/>
      <c r="E685" s="43"/>
      <c r="F685" s="43"/>
      <c r="G685" s="43"/>
      <c r="H685" s="43"/>
      <c r="J685" s="40"/>
    </row>
    <row r="686" spans="1:10" ht="14">
      <c r="A686" s="43"/>
      <c r="B686" s="43"/>
      <c r="C686" s="43"/>
      <c r="D686" s="43"/>
      <c r="E686" s="43"/>
      <c r="F686" s="43"/>
      <c r="G686" s="43"/>
      <c r="H686" s="43"/>
      <c r="J686" s="40"/>
    </row>
    <row r="687" spans="1:10" ht="14">
      <c r="A687" s="43"/>
      <c r="B687" s="43"/>
      <c r="C687" s="43"/>
      <c r="D687" s="43"/>
      <c r="E687" s="43"/>
      <c r="F687" s="43"/>
      <c r="G687" s="43"/>
      <c r="H687" s="43"/>
      <c r="J687" s="40"/>
    </row>
    <row r="688" spans="1:10" ht="14">
      <c r="A688" s="43"/>
      <c r="B688" s="43"/>
      <c r="C688" s="43"/>
      <c r="D688" s="43"/>
      <c r="E688" s="43"/>
      <c r="F688" s="43"/>
      <c r="G688" s="43"/>
      <c r="H688" s="43"/>
      <c r="J688" s="40"/>
    </row>
    <row r="689" spans="1:10" ht="14">
      <c r="A689" s="43"/>
      <c r="B689" s="43"/>
      <c r="C689" s="43"/>
      <c r="D689" s="43"/>
      <c r="E689" s="43"/>
      <c r="F689" s="43"/>
      <c r="G689" s="43"/>
      <c r="H689" s="43"/>
      <c r="J689" s="40"/>
    </row>
    <row r="690" spans="1:10" ht="14">
      <c r="A690" s="43"/>
      <c r="B690" s="43"/>
      <c r="C690" s="43"/>
      <c r="D690" s="43"/>
      <c r="E690" s="43"/>
      <c r="F690" s="43"/>
      <c r="G690" s="43"/>
      <c r="H690" s="43"/>
      <c r="J690" s="40"/>
    </row>
    <row r="691" spans="1:10" ht="14">
      <c r="A691" s="43"/>
      <c r="B691" s="43"/>
      <c r="C691" s="43"/>
      <c r="D691" s="43"/>
      <c r="E691" s="43"/>
      <c r="F691" s="43"/>
      <c r="G691" s="43"/>
      <c r="H691" s="43"/>
      <c r="J691" s="40"/>
    </row>
    <row r="692" spans="1:10" ht="14">
      <c r="A692" s="43"/>
      <c r="B692" s="43"/>
      <c r="C692" s="43"/>
      <c r="D692" s="43"/>
      <c r="E692" s="43"/>
      <c r="F692" s="43"/>
      <c r="G692" s="43"/>
      <c r="H692" s="43"/>
      <c r="J692" s="40"/>
    </row>
    <row r="693" spans="1:10" ht="14">
      <c r="A693" s="43"/>
      <c r="B693" s="43"/>
      <c r="C693" s="43"/>
      <c r="D693" s="43"/>
      <c r="E693" s="43"/>
      <c r="F693" s="43"/>
      <c r="G693" s="43"/>
      <c r="H693" s="43"/>
      <c r="J693" s="40"/>
    </row>
    <row r="694" spans="1:10" ht="14">
      <c r="A694" s="43"/>
      <c r="B694" s="43"/>
      <c r="C694" s="43"/>
      <c r="D694" s="43"/>
      <c r="E694" s="43"/>
      <c r="F694" s="43"/>
      <c r="G694" s="43"/>
      <c r="H694" s="43"/>
      <c r="J694" s="40"/>
    </row>
    <row r="695" spans="1:10" ht="14">
      <c r="A695" s="43"/>
      <c r="B695" s="43"/>
      <c r="C695" s="43"/>
      <c r="D695" s="43"/>
      <c r="E695" s="43"/>
      <c r="F695" s="43"/>
      <c r="G695" s="43"/>
      <c r="H695" s="43"/>
      <c r="J695" s="40"/>
    </row>
    <row r="696" spans="1:10" ht="14">
      <c r="A696" s="43"/>
      <c r="B696" s="43"/>
      <c r="C696" s="43"/>
      <c r="D696" s="43"/>
      <c r="E696" s="43"/>
      <c r="F696" s="43"/>
      <c r="G696" s="43"/>
      <c r="H696" s="43"/>
      <c r="J696" s="40"/>
    </row>
    <row r="697" spans="1:10" ht="14">
      <c r="A697" s="43"/>
      <c r="B697" s="43"/>
      <c r="C697" s="43"/>
      <c r="D697" s="43"/>
      <c r="E697" s="43"/>
      <c r="F697" s="43"/>
      <c r="G697" s="43"/>
      <c r="H697" s="43"/>
      <c r="J697" s="40"/>
    </row>
    <row r="698" spans="1:10" ht="14">
      <c r="A698" s="43"/>
      <c r="B698" s="43"/>
      <c r="C698" s="43"/>
      <c r="D698" s="43"/>
      <c r="E698" s="43"/>
      <c r="F698" s="43"/>
      <c r="G698" s="43"/>
      <c r="H698" s="43"/>
      <c r="J698" s="40"/>
    </row>
    <row r="699" spans="1:10" ht="14">
      <c r="A699" s="43"/>
      <c r="B699" s="43"/>
      <c r="C699" s="43"/>
      <c r="D699" s="43"/>
      <c r="E699" s="43"/>
      <c r="F699" s="43"/>
      <c r="G699" s="43"/>
      <c r="H699" s="43"/>
      <c r="J699" s="40"/>
    </row>
    <row r="700" spans="1:10" ht="14">
      <c r="A700" s="43"/>
      <c r="B700" s="43"/>
      <c r="C700" s="43"/>
      <c r="D700" s="43"/>
      <c r="E700" s="43"/>
      <c r="F700" s="43"/>
      <c r="G700" s="43"/>
      <c r="H700" s="43"/>
      <c r="J700" s="40"/>
    </row>
    <row r="701" spans="1:10" ht="14">
      <c r="A701" s="43"/>
      <c r="B701" s="43"/>
      <c r="C701" s="43"/>
      <c r="D701" s="43"/>
      <c r="E701" s="43"/>
      <c r="F701" s="43"/>
      <c r="G701" s="43"/>
      <c r="H701" s="43"/>
      <c r="J701" s="40"/>
    </row>
    <row r="702" spans="1:10" ht="14">
      <c r="A702" s="43"/>
      <c r="B702" s="43"/>
      <c r="C702" s="43"/>
      <c r="D702" s="43"/>
      <c r="E702" s="43"/>
      <c r="F702" s="43"/>
      <c r="G702" s="43"/>
      <c r="H702" s="43"/>
      <c r="J702" s="40"/>
    </row>
    <row r="703" spans="1:10" ht="14">
      <c r="A703" s="43"/>
      <c r="B703" s="43"/>
      <c r="C703" s="43"/>
      <c r="D703" s="43"/>
      <c r="E703" s="43"/>
      <c r="F703" s="43"/>
      <c r="G703" s="43"/>
      <c r="H703" s="43"/>
      <c r="J703" s="40"/>
    </row>
    <row r="704" spans="1:10" ht="14">
      <c r="A704" s="43"/>
      <c r="B704" s="43"/>
      <c r="C704" s="43"/>
      <c r="D704" s="43"/>
      <c r="E704" s="43"/>
      <c r="F704" s="43"/>
      <c r="G704" s="43"/>
      <c r="H704" s="43"/>
      <c r="J704" s="40"/>
    </row>
    <row r="705" spans="1:10" ht="14">
      <c r="A705" s="43"/>
      <c r="B705" s="43"/>
      <c r="C705" s="43"/>
      <c r="D705" s="43"/>
      <c r="E705" s="43"/>
      <c r="F705" s="43"/>
      <c r="G705" s="43"/>
      <c r="H705" s="43"/>
      <c r="J705" s="40"/>
    </row>
    <row r="706" spans="1:10" ht="14">
      <c r="A706" s="43"/>
      <c r="B706" s="43"/>
      <c r="C706" s="43"/>
      <c r="D706" s="43"/>
      <c r="E706" s="43"/>
      <c r="F706" s="43"/>
      <c r="G706" s="43"/>
      <c r="H706" s="43"/>
      <c r="J706" s="40"/>
    </row>
    <row r="707" spans="1:10" ht="14">
      <c r="A707" s="43"/>
      <c r="B707" s="43"/>
      <c r="C707" s="43"/>
      <c r="D707" s="43"/>
      <c r="E707" s="43"/>
      <c r="F707" s="43"/>
      <c r="G707" s="43"/>
      <c r="H707" s="43"/>
      <c r="J707" s="40"/>
    </row>
    <row r="708" spans="1:10" ht="14">
      <c r="A708" s="43"/>
      <c r="B708" s="43"/>
      <c r="C708" s="43"/>
      <c r="D708" s="43"/>
      <c r="E708" s="43"/>
      <c r="F708" s="43"/>
      <c r="G708" s="43"/>
      <c r="H708" s="43"/>
      <c r="J708" s="40"/>
    </row>
    <row r="709" spans="1:10" ht="14">
      <c r="A709" s="43"/>
      <c r="B709" s="43"/>
      <c r="C709" s="43"/>
      <c r="D709" s="43"/>
      <c r="E709" s="43"/>
      <c r="F709" s="43"/>
      <c r="G709" s="43"/>
      <c r="H709" s="43"/>
      <c r="J709" s="40"/>
    </row>
    <row r="710" spans="1:10" ht="14">
      <c r="A710" s="43"/>
      <c r="B710" s="43"/>
      <c r="C710" s="43"/>
      <c r="D710" s="43"/>
      <c r="E710" s="43"/>
      <c r="F710" s="43"/>
      <c r="G710" s="43"/>
      <c r="H710" s="43"/>
      <c r="J710" s="40"/>
    </row>
    <row r="711" spans="1:10" ht="14">
      <c r="A711" s="43"/>
      <c r="B711" s="43"/>
      <c r="C711" s="43"/>
      <c r="D711" s="43"/>
      <c r="E711" s="43"/>
      <c r="F711" s="43"/>
      <c r="G711" s="43"/>
      <c r="H711" s="43"/>
      <c r="J711" s="40"/>
    </row>
    <row r="712" spans="1:10" ht="14">
      <c r="A712" s="43"/>
      <c r="B712" s="43"/>
      <c r="C712" s="43"/>
      <c r="D712" s="43"/>
      <c r="E712" s="43"/>
      <c r="F712" s="43"/>
      <c r="G712" s="43"/>
      <c r="H712" s="43"/>
      <c r="J712" s="40"/>
    </row>
    <row r="713" spans="1:10" ht="14">
      <c r="A713" s="43"/>
      <c r="B713" s="43"/>
      <c r="C713" s="43"/>
      <c r="D713" s="43"/>
      <c r="E713" s="43"/>
      <c r="F713" s="43"/>
      <c r="G713" s="43"/>
      <c r="H713" s="43"/>
      <c r="J713" s="40"/>
    </row>
    <row r="714" spans="1:10" ht="14">
      <c r="A714" s="43"/>
      <c r="B714" s="43"/>
      <c r="C714" s="43"/>
      <c r="D714" s="43"/>
      <c r="E714" s="43"/>
      <c r="F714" s="43"/>
      <c r="G714" s="43"/>
      <c r="H714" s="43"/>
      <c r="J714" s="40"/>
    </row>
    <row r="715" spans="1:10" ht="14">
      <c r="A715" s="43"/>
      <c r="B715" s="43"/>
      <c r="C715" s="43"/>
      <c r="D715" s="43"/>
      <c r="E715" s="43"/>
      <c r="F715" s="43"/>
      <c r="G715" s="43"/>
      <c r="H715" s="43"/>
      <c r="J715" s="40"/>
    </row>
    <row r="716" spans="1:10" ht="14">
      <c r="A716" s="43"/>
      <c r="B716" s="43"/>
      <c r="C716" s="43"/>
      <c r="D716" s="43"/>
      <c r="E716" s="43"/>
      <c r="F716" s="43"/>
      <c r="G716" s="43"/>
      <c r="H716" s="43"/>
      <c r="J716" s="40"/>
    </row>
    <row r="717" spans="1:10" ht="14">
      <c r="A717" s="43"/>
      <c r="B717" s="43"/>
      <c r="C717" s="43"/>
      <c r="D717" s="43"/>
      <c r="E717" s="43"/>
      <c r="F717" s="43"/>
      <c r="G717" s="43"/>
      <c r="H717" s="43"/>
      <c r="J717" s="40"/>
    </row>
    <row r="718" spans="1:10" ht="14">
      <c r="A718" s="43"/>
      <c r="B718" s="43"/>
      <c r="C718" s="43"/>
      <c r="D718" s="43"/>
      <c r="E718" s="43"/>
      <c r="F718" s="43"/>
      <c r="G718" s="43"/>
      <c r="H718" s="43"/>
      <c r="J718" s="40"/>
    </row>
    <row r="719" spans="1:10" ht="14">
      <c r="A719" s="43"/>
      <c r="B719" s="43"/>
      <c r="C719" s="43"/>
      <c r="D719" s="43"/>
      <c r="E719" s="43"/>
      <c r="F719" s="43"/>
      <c r="G719" s="43"/>
      <c r="H719" s="43"/>
      <c r="J719" s="40"/>
    </row>
    <row r="720" spans="1:10" ht="14">
      <c r="A720" s="43"/>
      <c r="B720" s="43"/>
      <c r="C720" s="43"/>
      <c r="D720" s="43"/>
      <c r="E720" s="43"/>
      <c r="F720" s="43"/>
      <c r="G720" s="43"/>
      <c r="H720" s="43"/>
      <c r="J720" s="40"/>
    </row>
    <row r="721" spans="1:10" ht="14">
      <c r="A721" s="43"/>
      <c r="B721" s="43"/>
      <c r="C721" s="43"/>
      <c r="D721" s="43"/>
      <c r="E721" s="43"/>
      <c r="F721" s="43"/>
      <c r="G721" s="43"/>
      <c r="H721" s="43"/>
      <c r="J721" s="40"/>
    </row>
    <row r="722" spans="1:10" ht="14">
      <c r="A722" s="43"/>
      <c r="B722" s="43"/>
      <c r="C722" s="43"/>
      <c r="D722" s="43"/>
      <c r="E722" s="43"/>
      <c r="F722" s="43"/>
      <c r="G722" s="43"/>
      <c r="H722" s="43"/>
      <c r="J722" s="40"/>
    </row>
    <row r="723" spans="1:10" ht="14">
      <c r="A723" s="43"/>
      <c r="B723" s="43"/>
      <c r="C723" s="43"/>
      <c r="D723" s="43"/>
      <c r="E723" s="43"/>
      <c r="F723" s="43"/>
      <c r="G723" s="43"/>
      <c r="H723" s="43"/>
      <c r="J723" s="40"/>
    </row>
    <row r="724" spans="1:10" ht="14">
      <c r="A724" s="43"/>
      <c r="B724" s="43"/>
      <c r="C724" s="43"/>
      <c r="D724" s="43"/>
      <c r="E724" s="43"/>
      <c r="F724" s="43"/>
      <c r="G724" s="43"/>
      <c r="H724" s="43"/>
      <c r="J724" s="40"/>
    </row>
    <row r="725" spans="1:10" ht="14">
      <c r="A725" s="43"/>
      <c r="B725" s="43"/>
      <c r="C725" s="43"/>
      <c r="D725" s="43"/>
      <c r="E725" s="43"/>
      <c r="F725" s="43"/>
      <c r="G725" s="43"/>
      <c r="H725" s="43"/>
      <c r="J725" s="40"/>
    </row>
    <row r="726" spans="1:10" ht="14">
      <c r="A726" s="43"/>
      <c r="B726" s="43"/>
      <c r="C726" s="43"/>
      <c r="D726" s="43"/>
      <c r="E726" s="43"/>
      <c r="F726" s="43"/>
      <c r="G726" s="43"/>
      <c r="H726" s="43"/>
      <c r="J726" s="40"/>
    </row>
    <row r="727" spans="1:10" ht="14">
      <c r="A727" s="43"/>
      <c r="B727" s="43"/>
      <c r="C727" s="43"/>
      <c r="D727" s="43"/>
      <c r="E727" s="43"/>
      <c r="F727" s="43"/>
      <c r="G727" s="43"/>
      <c r="H727" s="43"/>
      <c r="J727" s="40"/>
    </row>
    <row r="728" spans="1:10" ht="14">
      <c r="A728" s="43"/>
      <c r="B728" s="43"/>
      <c r="C728" s="43"/>
      <c r="D728" s="43"/>
      <c r="E728" s="43"/>
      <c r="F728" s="43"/>
      <c r="G728" s="43"/>
      <c r="H728" s="43"/>
      <c r="J728" s="40"/>
    </row>
    <row r="729" spans="1:10" ht="14">
      <c r="A729" s="43"/>
      <c r="B729" s="43"/>
      <c r="C729" s="43"/>
      <c r="D729" s="43"/>
      <c r="E729" s="43"/>
      <c r="F729" s="43"/>
      <c r="G729" s="43"/>
      <c r="H729" s="43"/>
      <c r="J729" s="40"/>
    </row>
    <row r="730" spans="1:10" ht="14">
      <c r="A730" s="43"/>
      <c r="B730" s="43"/>
      <c r="C730" s="43"/>
      <c r="D730" s="43"/>
      <c r="E730" s="43"/>
      <c r="F730" s="43"/>
      <c r="G730" s="43"/>
      <c r="H730" s="43"/>
      <c r="J730" s="40"/>
    </row>
    <row r="731" spans="1:10" ht="14">
      <c r="A731" s="43"/>
      <c r="B731" s="43"/>
      <c r="C731" s="43"/>
      <c r="D731" s="43"/>
      <c r="E731" s="43"/>
      <c r="F731" s="43"/>
      <c r="G731" s="43"/>
      <c r="H731" s="43"/>
      <c r="J731" s="40"/>
    </row>
    <row r="732" spans="1:10" ht="14">
      <c r="A732" s="43"/>
      <c r="B732" s="43"/>
      <c r="C732" s="43"/>
      <c r="D732" s="43"/>
      <c r="E732" s="43"/>
      <c r="F732" s="43"/>
      <c r="G732" s="43"/>
      <c r="H732" s="43"/>
      <c r="J732" s="40"/>
    </row>
    <row r="733" spans="1:10" ht="14">
      <c r="A733" s="43"/>
      <c r="B733" s="43"/>
      <c r="C733" s="43"/>
      <c r="D733" s="43"/>
      <c r="E733" s="43"/>
      <c r="F733" s="43"/>
      <c r="G733" s="43"/>
      <c r="H733" s="43"/>
      <c r="J733" s="40"/>
    </row>
    <row r="734" spans="1:10" ht="14">
      <c r="A734" s="43"/>
      <c r="B734" s="43"/>
      <c r="C734" s="43"/>
      <c r="D734" s="43"/>
      <c r="E734" s="43"/>
      <c r="F734" s="43"/>
      <c r="G734" s="43"/>
      <c r="H734" s="43"/>
      <c r="J734" s="40"/>
    </row>
    <row r="735" spans="1:10" ht="14">
      <c r="A735" s="43"/>
      <c r="B735" s="43"/>
      <c r="C735" s="43"/>
      <c r="D735" s="43"/>
      <c r="E735" s="43"/>
      <c r="F735" s="43"/>
      <c r="G735" s="43"/>
      <c r="H735" s="43"/>
      <c r="J735" s="40"/>
    </row>
    <row r="736" spans="1:10" ht="14">
      <c r="A736" s="43"/>
      <c r="B736" s="43"/>
      <c r="C736" s="43"/>
      <c r="D736" s="43"/>
      <c r="E736" s="43"/>
      <c r="F736" s="43"/>
      <c r="G736" s="43"/>
      <c r="H736" s="43"/>
      <c r="J736" s="40"/>
    </row>
    <row r="737" spans="1:10" ht="14">
      <c r="A737" s="43"/>
      <c r="B737" s="43"/>
      <c r="C737" s="43"/>
      <c r="D737" s="43"/>
      <c r="E737" s="43"/>
      <c r="F737" s="43"/>
      <c r="G737" s="43"/>
      <c r="H737" s="43"/>
      <c r="J737" s="40"/>
    </row>
    <row r="738" spans="1:10" ht="14">
      <c r="A738" s="43"/>
      <c r="B738" s="43"/>
      <c r="C738" s="43"/>
      <c r="D738" s="43"/>
      <c r="E738" s="43"/>
      <c r="F738" s="43"/>
      <c r="G738" s="43"/>
      <c r="H738" s="43"/>
      <c r="J738" s="40"/>
    </row>
    <row r="739" spans="1:10" ht="14">
      <c r="A739" s="43"/>
      <c r="B739" s="43"/>
      <c r="C739" s="43"/>
      <c r="D739" s="43"/>
      <c r="E739" s="43"/>
      <c r="F739" s="43"/>
      <c r="G739" s="43"/>
      <c r="H739" s="43"/>
      <c r="J739" s="40"/>
    </row>
    <row r="740" spans="1:10" ht="14">
      <c r="A740" s="43"/>
      <c r="B740" s="43"/>
      <c r="C740" s="43"/>
      <c r="D740" s="43"/>
      <c r="E740" s="43"/>
      <c r="F740" s="43"/>
      <c r="G740" s="43"/>
      <c r="H740" s="43"/>
      <c r="J740" s="40"/>
    </row>
    <row r="741" spans="1:10" ht="14">
      <c r="A741" s="43"/>
      <c r="B741" s="43"/>
      <c r="C741" s="43"/>
      <c r="D741" s="43"/>
      <c r="E741" s="43"/>
      <c r="F741" s="43"/>
      <c r="G741" s="43"/>
      <c r="H741" s="43"/>
      <c r="J741" s="40"/>
    </row>
    <row r="742" spans="1:10" ht="14">
      <c r="A742" s="43"/>
      <c r="B742" s="43"/>
      <c r="C742" s="43"/>
      <c r="D742" s="43"/>
      <c r="E742" s="43"/>
      <c r="F742" s="43"/>
      <c r="G742" s="43"/>
      <c r="H742" s="43"/>
      <c r="J742" s="40"/>
    </row>
    <row r="743" spans="1:10" ht="14">
      <c r="A743" s="43"/>
      <c r="B743" s="43"/>
      <c r="C743" s="43"/>
      <c r="D743" s="43"/>
      <c r="E743" s="43"/>
      <c r="F743" s="43"/>
      <c r="G743" s="43"/>
      <c r="H743" s="43"/>
      <c r="J743" s="40"/>
    </row>
    <row r="744" spans="1:10" ht="14">
      <c r="A744" s="43"/>
      <c r="B744" s="43"/>
      <c r="C744" s="43"/>
      <c r="D744" s="43"/>
      <c r="E744" s="43"/>
      <c r="F744" s="43"/>
      <c r="G744" s="43"/>
      <c r="H744" s="43"/>
      <c r="J744" s="40"/>
    </row>
    <row r="745" spans="1:10" ht="14">
      <c r="A745" s="43"/>
      <c r="B745" s="43"/>
      <c r="C745" s="43"/>
      <c r="D745" s="43"/>
      <c r="E745" s="43"/>
      <c r="F745" s="43"/>
      <c r="G745" s="43"/>
      <c r="H745" s="43"/>
      <c r="J745" s="40"/>
    </row>
    <row r="746" spans="1:10" ht="14">
      <c r="A746" s="43"/>
      <c r="B746" s="43"/>
      <c r="C746" s="43"/>
      <c r="D746" s="43"/>
      <c r="E746" s="43"/>
      <c r="F746" s="43"/>
      <c r="G746" s="43"/>
      <c r="H746" s="43"/>
      <c r="J746" s="40"/>
    </row>
    <row r="747" spans="1:10" ht="14">
      <c r="A747" s="43"/>
      <c r="B747" s="43"/>
      <c r="C747" s="43"/>
      <c r="D747" s="43"/>
      <c r="E747" s="43"/>
      <c r="F747" s="43"/>
      <c r="G747" s="43"/>
      <c r="H747" s="43"/>
      <c r="J747" s="40"/>
    </row>
    <row r="748" spans="1:10" ht="14">
      <c r="A748" s="43"/>
      <c r="B748" s="43"/>
      <c r="C748" s="43"/>
      <c r="D748" s="43"/>
      <c r="E748" s="43"/>
      <c r="F748" s="43"/>
      <c r="G748" s="43"/>
      <c r="H748" s="43"/>
      <c r="J748" s="40"/>
    </row>
    <row r="749" spans="1:10" ht="14">
      <c r="A749" s="43"/>
      <c r="B749" s="43"/>
      <c r="C749" s="43"/>
      <c r="D749" s="43"/>
      <c r="E749" s="43"/>
      <c r="F749" s="43"/>
      <c r="G749" s="43"/>
      <c r="H749" s="43"/>
      <c r="J749" s="40"/>
    </row>
    <row r="750" spans="1:10" ht="14">
      <c r="A750" s="43"/>
      <c r="B750" s="43"/>
      <c r="C750" s="43"/>
      <c r="D750" s="43"/>
      <c r="E750" s="43"/>
      <c r="F750" s="43"/>
      <c r="G750" s="43"/>
      <c r="H750" s="43"/>
      <c r="J750" s="40"/>
    </row>
    <row r="751" spans="1:10" ht="14">
      <c r="A751" s="43"/>
      <c r="B751" s="43"/>
      <c r="C751" s="43"/>
      <c r="D751" s="43"/>
      <c r="E751" s="43"/>
      <c r="F751" s="43"/>
      <c r="G751" s="43"/>
      <c r="H751" s="43"/>
      <c r="J751" s="40"/>
    </row>
    <row r="752" spans="1:10" ht="14">
      <c r="A752" s="43"/>
      <c r="B752" s="43"/>
      <c r="C752" s="43"/>
      <c r="D752" s="43"/>
      <c r="E752" s="43"/>
      <c r="F752" s="43"/>
      <c r="G752" s="43"/>
      <c r="H752" s="43"/>
      <c r="J752" s="40"/>
    </row>
    <row r="753" spans="1:10" ht="14">
      <c r="A753" s="43"/>
      <c r="B753" s="43"/>
      <c r="C753" s="43"/>
      <c r="D753" s="43"/>
      <c r="E753" s="43"/>
      <c r="F753" s="43"/>
      <c r="G753" s="43"/>
      <c r="H753" s="43"/>
      <c r="J753" s="40"/>
    </row>
    <row r="754" spans="1:10" ht="14">
      <c r="A754" s="43"/>
      <c r="B754" s="43"/>
      <c r="C754" s="43"/>
      <c r="D754" s="43"/>
      <c r="E754" s="43"/>
      <c r="F754" s="43"/>
      <c r="G754" s="43"/>
      <c r="H754" s="43"/>
      <c r="J754" s="40"/>
    </row>
    <row r="755" spans="1:10" ht="14">
      <c r="A755" s="43"/>
      <c r="B755" s="43"/>
      <c r="C755" s="43"/>
      <c r="D755" s="43"/>
      <c r="E755" s="43"/>
      <c r="F755" s="43"/>
      <c r="G755" s="43"/>
      <c r="H755" s="43"/>
      <c r="J755" s="40"/>
    </row>
    <row r="756" spans="1:10" ht="14">
      <c r="A756" s="43"/>
      <c r="B756" s="43"/>
      <c r="C756" s="43"/>
      <c r="D756" s="43"/>
      <c r="E756" s="43"/>
      <c r="F756" s="43"/>
      <c r="G756" s="43"/>
      <c r="H756" s="43"/>
      <c r="J756" s="40"/>
    </row>
    <row r="757" spans="1:10" ht="14">
      <c r="A757" s="43"/>
      <c r="B757" s="43"/>
      <c r="C757" s="43"/>
      <c r="D757" s="43"/>
      <c r="E757" s="43"/>
      <c r="F757" s="43"/>
      <c r="G757" s="43"/>
      <c r="H757" s="43"/>
      <c r="J757" s="40"/>
    </row>
    <row r="758" spans="1:10" ht="14">
      <c r="A758" s="43"/>
      <c r="B758" s="43"/>
      <c r="C758" s="43"/>
      <c r="D758" s="43"/>
      <c r="E758" s="43"/>
      <c r="F758" s="43"/>
      <c r="G758" s="43"/>
      <c r="H758" s="43"/>
      <c r="J758" s="40"/>
    </row>
    <row r="759" spans="1:10" ht="14">
      <c r="A759" s="43"/>
      <c r="B759" s="43"/>
      <c r="C759" s="43"/>
      <c r="D759" s="43"/>
      <c r="E759" s="43"/>
      <c r="F759" s="43"/>
      <c r="G759" s="43"/>
      <c r="H759" s="43"/>
      <c r="J759" s="40"/>
    </row>
    <row r="760" spans="1:10" ht="14">
      <c r="A760" s="43"/>
      <c r="B760" s="43"/>
      <c r="C760" s="43"/>
      <c r="D760" s="43"/>
      <c r="E760" s="43"/>
      <c r="F760" s="43"/>
      <c r="G760" s="43"/>
      <c r="H760" s="43"/>
      <c r="J760" s="40"/>
    </row>
    <row r="761" spans="1:10" ht="14">
      <c r="A761" s="43"/>
      <c r="B761" s="43"/>
      <c r="C761" s="43"/>
      <c r="D761" s="43"/>
      <c r="E761" s="43"/>
      <c r="F761" s="43"/>
      <c r="G761" s="43"/>
      <c r="H761" s="43"/>
      <c r="J761" s="40"/>
    </row>
    <row r="762" spans="1:10" ht="14">
      <c r="A762" s="43"/>
      <c r="B762" s="43"/>
      <c r="C762" s="43"/>
      <c r="D762" s="43"/>
      <c r="E762" s="43"/>
      <c r="F762" s="43"/>
      <c r="G762" s="43"/>
      <c r="H762" s="43"/>
      <c r="J762" s="40"/>
    </row>
    <row r="763" spans="1:10" ht="14">
      <c r="A763" s="43"/>
      <c r="B763" s="43"/>
      <c r="C763" s="43"/>
      <c r="D763" s="43"/>
      <c r="E763" s="43"/>
      <c r="F763" s="43"/>
      <c r="G763" s="43"/>
      <c r="H763" s="43"/>
      <c r="J763" s="40"/>
    </row>
    <row r="764" spans="1:10" ht="14">
      <c r="A764" s="43"/>
      <c r="B764" s="43"/>
      <c r="C764" s="43"/>
      <c r="D764" s="43"/>
      <c r="E764" s="43"/>
      <c r="F764" s="43"/>
      <c r="G764" s="43"/>
      <c r="H764" s="43"/>
      <c r="J764" s="40"/>
    </row>
    <row r="765" spans="1:10" ht="14">
      <c r="A765" s="43"/>
      <c r="B765" s="43"/>
      <c r="C765" s="43"/>
      <c r="D765" s="43"/>
      <c r="E765" s="43"/>
      <c r="F765" s="43"/>
      <c r="G765" s="43"/>
      <c r="H765" s="43"/>
      <c r="J765" s="40"/>
    </row>
    <row r="766" spans="1:10" ht="14">
      <c r="A766" s="43"/>
      <c r="B766" s="43"/>
      <c r="C766" s="43"/>
      <c r="D766" s="43"/>
      <c r="E766" s="43"/>
      <c r="F766" s="43"/>
      <c r="G766" s="43"/>
      <c r="H766" s="43"/>
      <c r="J766" s="40"/>
    </row>
    <row r="767" spans="1:10" ht="14">
      <c r="A767" s="43"/>
      <c r="B767" s="43"/>
      <c r="C767" s="43"/>
      <c r="D767" s="43"/>
      <c r="E767" s="43"/>
      <c r="F767" s="43"/>
      <c r="G767" s="43"/>
      <c r="H767" s="43"/>
      <c r="J767" s="40"/>
    </row>
    <row r="768" spans="1:10" ht="14">
      <c r="A768" s="43"/>
      <c r="B768" s="43"/>
      <c r="C768" s="43"/>
      <c r="D768" s="43"/>
      <c r="E768" s="43"/>
      <c r="F768" s="43"/>
      <c r="G768" s="43"/>
      <c r="H768" s="43"/>
      <c r="J768" s="40"/>
    </row>
    <row r="769" spans="1:10" ht="14">
      <c r="A769" s="43"/>
      <c r="B769" s="43"/>
      <c r="C769" s="43"/>
      <c r="D769" s="43"/>
      <c r="E769" s="43"/>
      <c r="F769" s="43"/>
      <c r="G769" s="43"/>
      <c r="H769" s="43"/>
      <c r="J769" s="40"/>
    </row>
    <row r="770" spans="1:10" ht="14">
      <c r="A770" s="43"/>
      <c r="B770" s="43"/>
      <c r="C770" s="43"/>
      <c r="D770" s="43"/>
      <c r="E770" s="43"/>
      <c r="F770" s="43"/>
      <c r="G770" s="43"/>
      <c r="H770" s="43"/>
      <c r="J770" s="40"/>
    </row>
    <row r="771" spans="1:10" ht="14">
      <c r="A771" s="43"/>
      <c r="B771" s="43"/>
      <c r="C771" s="43"/>
      <c r="D771" s="43"/>
      <c r="E771" s="43"/>
      <c r="F771" s="43"/>
      <c r="G771" s="43"/>
      <c r="H771" s="43"/>
      <c r="J771" s="40"/>
    </row>
    <row r="772" spans="1:10" ht="14">
      <c r="A772" s="43"/>
      <c r="B772" s="43"/>
      <c r="C772" s="43"/>
      <c r="D772" s="43"/>
      <c r="E772" s="43"/>
      <c r="F772" s="43"/>
      <c r="G772" s="43"/>
      <c r="H772" s="43"/>
      <c r="J772" s="40"/>
    </row>
    <row r="773" spans="1:10" ht="14">
      <c r="A773" s="43"/>
      <c r="B773" s="43"/>
      <c r="C773" s="43"/>
      <c r="D773" s="43"/>
      <c r="E773" s="43"/>
      <c r="F773" s="43"/>
      <c r="G773" s="43"/>
      <c r="H773" s="43"/>
      <c r="J773" s="40"/>
    </row>
    <row r="774" spans="1:10" ht="14">
      <c r="A774" s="43"/>
      <c r="B774" s="43"/>
      <c r="C774" s="43"/>
      <c r="D774" s="43"/>
      <c r="E774" s="43"/>
      <c r="F774" s="43"/>
      <c r="G774" s="43"/>
      <c r="H774" s="43"/>
      <c r="J774" s="40"/>
    </row>
    <row r="775" spans="1:10" ht="14">
      <c r="A775" s="43"/>
      <c r="B775" s="43"/>
      <c r="C775" s="43"/>
      <c r="D775" s="43"/>
      <c r="E775" s="43"/>
      <c r="F775" s="43"/>
      <c r="G775" s="43"/>
      <c r="H775" s="43"/>
      <c r="J775" s="40"/>
    </row>
    <row r="776" spans="1:10" ht="14">
      <c r="A776" s="43"/>
      <c r="B776" s="43"/>
      <c r="C776" s="43"/>
      <c r="D776" s="43"/>
      <c r="E776" s="43"/>
      <c r="F776" s="43"/>
      <c r="G776" s="43"/>
      <c r="H776" s="43"/>
      <c r="J776" s="40"/>
    </row>
    <row r="777" spans="1:10" ht="14">
      <c r="A777" s="43"/>
      <c r="B777" s="43"/>
      <c r="C777" s="43"/>
      <c r="D777" s="43"/>
      <c r="E777" s="43"/>
      <c r="F777" s="43"/>
      <c r="G777" s="43"/>
      <c r="H777" s="43"/>
      <c r="J777" s="40"/>
    </row>
    <row r="778" spans="1:10" ht="14">
      <c r="A778" s="43"/>
      <c r="B778" s="43"/>
      <c r="C778" s="43"/>
      <c r="D778" s="43"/>
      <c r="E778" s="43"/>
      <c r="F778" s="43"/>
      <c r="G778" s="43"/>
      <c r="H778" s="43"/>
      <c r="J778" s="40"/>
    </row>
    <row r="779" spans="1:10" ht="14">
      <c r="A779" s="43"/>
      <c r="B779" s="43"/>
      <c r="C779" s="43"/>
      <c r="D779" s="43"/>
      <c r="E779" s="43"/>
      <c r="F779" s="43"/>
      <c r="G779" s="43"/>
      <c r="H779" s="43"/>
      <c r="J779" s="40"/>
    </row>
    <row r="780" spans="1:10" ht="14">
      <c r="A780" s="43"/>
      <c r="B780" s="43"/>
      <c r="C780" s="43"/>
      <c r="D780" s="43"/>
      <c r="E780" s="43"/>
      <c r="F780" s="43"/>
      <c r="G780" s="43"/>
      <c r="H780" s="43"/>
      <c r="J780" s="40"/>
    </row>
    <row r="781" spans="1:10" ht="14">
      <c r="A781" s="43"/>
      <c r="B781" s="43"/>
      <c r="C781" s="43"/>
      <c r="D781" s="43"/>
      <c r="E781" s="43"/>
      <c r="F781" s="43"/>
      <c r="G781" s="43"/>
      <c r="H781" s="43"/>
      <c r="J781" s="40"/>
    </row>
    <row r="782" spans="1:10" ht="14">
      <c r="A782" s="43"/>
      <c r="B782" s="43"/>
      <c r="C782" s="43"/>
      <c r="D782" s="43"/>
      <c r="E782" s="43"/>
      <c r="F782" s="43"/>
      <c r="G782" s="43"/>
      <c r="H782" s="43"/>
      <c r="J782" s="40"/>
    </row>
    <row r="783" spans="1:10" ht="14">
      <c r="A783" s="43"/>
      <c r="B783" s="43"/>
      <c r="C783" s="43"/>
      <c r="D783" s="43"/>
      <c r="E783" s="43"/>
      <c r="F783" s="43"/>
      <c r="G783" s="43"/>
      <c r="H783" s="43"/>
      <c r="J783" s="40"/>
    </row>
    <row r="784" spans="1:10" ht="14">
      <c r="A784" s="43"/>
      <c r="B784" s="43"/>
      <c r="C784" s="43"/>
      <c r="D784" s="43"/>
      <c r="E784" s="43"/>
      <c r="F784" s="43"/>
      <c r="G784" s="43"/>
      <c r="H784" s="43"/>
      <c r="J784" s="40"/>
    </row>
    <row r="785" spans="1:10" ht="14">
      <c r="A785" s="43"/>
      <c r="B785" s="43"/>
      <c r="C785" s="43"/>
      <c r="D785" s="43"/>
      <c r="E785" s="43"/>
      <c r="F785" s="43"/>
      <c r="G785" s="43"/>
      <c r="H785" s="43"/>
      <c r="J785" s="40"/>
    </row>
    <row r="786" spans="1:10" ht="14">
      <c r="A786" s="43"/>
      <c r="B786" s="43"/>
      <c r="C786" s="43"/>
      <c r="D786" s="43"/>
      <c r="E786" s="43"/>
      <c r="F786" s="43"/>
      <c r="G786" s="43"/>
      <c r="H786" s="43"/>
      <c r="J786" s="40"/>
    </row>
    <row r="787" spans="1:10" ht="14">
      <c r="A787" s="43"/>
      <c r="B787" s="43"/>
      <c r="C787" s="43"/>
      <c r="D787" s="43"/>
      <c r="E787" s="43"/>
      <c r="F787" s="43"/>
      <c r="G787" s="43"/>
      <c r="H787" s="43"/>
      <c r="J787" s="40"/>
    </row>
    <row r="788" spans="1:10" ht="14">
      <c r="A788" s="43"/>
      <c r="B788" s="43"/>
      <c r="C788" s="43"/>
      <c r="D788" s="43"/>
      <c r="E788" s="43"/>
      <c r="F788" s="43"/>
      <c r="G788" s="43"/>
      <c r="H788" s="43"/>
      <c r="J788" s="40"/>
    </row>
    <row r="789" spans="1:10" ht="14">
      <c r="A789" s="43"/>
      <c r="B789" s="43"/>
      <c r="C789" s="43"/>
      <c r="D789" s="43"/>
      <c r="E789" s="43"/>
      <c r="F789" s="43"/>
      <c r="G789" s="43"/>
      <c r="H789" s="43"/>
      <c r="J789" s="40"/>
    </row>
    <row r="790" spans="1:10" ht="14">
      <c r="A790" s="43"/>
      <c r="B790" s="43"/>
      <c r="C790" s="43"/>
      <c r="D790" s="43"/>
      <c r="E790" s="43"/>
      <c r="F790" s="43"/>
      <c r="G790" s="43"/>
      <c r="H790" s="43"/>
      <c r="J790" s="40"/>
    </row>
    <row r="791" spans="1:10" ht="14">
      <c r="A791" s="43"/>
      <c r="B791" s="43"/>
      <c r="C791" s="43"/>
      <c r="D791" s="43"/>
      <c r="E791" s="43"/>
      <c r="F791" s="43"/>
      <c r="G791" s="43"/>
      <c r="H791" s="43"/>
      <c r="J791" s="40"/>
    </row>
    <row r="792" spans="1:10" ht="14">
      <c r="A792" s="43"/>
      <c r="B792" s="43"/>
      <c r="C792" s="43"/>
      <c r="D792" s="43"/>
      <c r="E792" s="43"/>
      <c r="F792" s="43"/>
      <c r="G792" s="43"/>
      <c r="H792" s="43"/>
      <c r="J792" s="40"/>
    </row>
    <row r="793" spans="1:10" ht="14">
      <c r="A793" s="43"/>
      <c r="B793" s="43"/>
      <c r="C793" s="43"/>
      <c r="D793" s="43"/>
      <c r="E793" s="43"/>
      <c r="F793" s="43"/>
      <c r="G793" s="43"/>
      <c r="H793" s="43"/>
      <c r="J793" s="40"/>
    </row>
    <row r="794" spans="1:10" ht="14">
      <c r="A794" s="43"/>
      <c r="B794" s="43"/>
      <c r="C794" s="43"/>
      <c r="D794" s="43"/>
      <c r="E794" s="43"/>
      <c r="F794" s="43"/>
      <c r="G794" s="43"/>
      <c r="H794" s="43"/>
      <c r="J794" s="40"/>
    </row>
    <row r="795" spans="1:10" ht="14">
      <c r="A795" s="43"/>
      <c r="B795" s="43"/>
      <c r="C795" s="43"/>
      <c r="D795" s="43"/>
      <c r="E795" s="43"/>
      <c r="F795" s="43"/>
      <c r="G795" s="43"/>
      <c r="H795" s="43"/>
      <c r="J795" s="40"/>
    </row>
    <row r="796" spans="1:10" ht="14">
      <c r="A796" s="43"/>
      <c r="B796" s="43"/>
      <c r="C796" s="43"/>
      <c r="D796" s="43"/>
      <c r="E796" s="43"/>
      <c r="F796" s="43"/>
      <c r="G796" s="43"/>
      <c r="H796" s="43"/>
      <c r="J796" s="40"/>
    </row>
    <row r="797" spans="1:10" ht="14">
      <c r="A797" s="43"/>
      <c r="B797" s="43"/>
      <c r="C797" s="43"/>
      <c r="D797" s="43"/>
      <c r="E797" s="43"/>
      <c r="F797" s="43"/>
      <c r="G797" s="43"/>
      <c r="H797" s="43"/>
      <c r="J797" s="40"/>
    </row>
    <row r="798" spans="1:10" ht="14">
      <c r="A798" s="43"/>
      <c r="B798" s="43"/>
      <c r="C798" s="43"/>
      <c r="D798" s="43"/>
      <c r="E798" s="43"/>
      <c r="F798" s="43"/>
      <c r="G798" s="43"/>
      <c r="H798" s="43"/>
      <c r="J798" s="40"/>
    </row>
    <row r="799" spans="1:10" ht="14">
      <c r="A799" s="43"/>
      <c r="B799" s="43"/>
      <c r="C799" s="43"/>
      <c r="D799" s="43"/>
      <c r="E799" s="43"/>
      <c r="F799" s="43"/>
      <c r="G799" s="43"/>
      <c r="H799" s="43"/>
      <c r="J799" s="40"/>
    </row>
    <row r="800" spans="1:10" ht="14">
      <c r="A800" s="43"/>
      <c r="B800" s="43"/>
      <c r="C800" s="43"/>
      <c r="D800" s="43"/>
      <c r="E800" s="43"/>
      <c r="F800" s="43"/>
      <c r="G800" s="43"/>
      <c r="H800" s="43"/>
      <c r="J800" s="40"/>
    </row>
    <row r="801" spans="1:10" ht="14">
      <c r="A801" s="43"/>
      <c r="B801" s="43"/>
      <c r="C801" s="43"/>
      <c r="D801" s="43"/>
      <c r="E801" s="43"/>
      <c r="F801" s="43"/>
      <c r="G801" s="43"/>
      <c r="H801" s="43"/>
      <c r="J801" s="40"/>
    </row>
    <row r="802" spans="1:10" ht="14">
      <c r="A802" s="43"/>
      <c r="B802" s="43"/>
      <c r="C802" s="43"/>
      <c r="D802" s="43"/>
      <c r="E802" s="43"/>
      <c r="F802" s="43"/>
      <c r="G802" s="43"/>
      <c r="H802" s="43"/>
      <c r="J802" s="40"/>
    </row>
    <row r="803" spans="1:10" ht="14">
      <c r="A803" s="43"/>
      <c r="B803" s="43"/>
      <c r="C803" s="43"/>
      <c r="D803" s="43"/>
      <c r="E803" s="43"/>
      <c r="F803" s="43"/>
      <c r="G803" s="43"/>
      <c r="H803" s="43"/>
      <c r="J803" s="40"/>
    </row>
    <row r="804" spans="1:10" ht="14">
      <c r="A804" s="43"/>
      <c r="B804" s="43"/>
      <c r="C804" s="43"/>
      <c r="D804" s="43"/>
      <c r="E804" s="43"/>
      <c r="F804" s="43"/>
      <c r="G804" s="43"/>
      <c r="H804" s="43"/>
      <c r="J804" s="40"/>
    </row>
    <row r="805" spans="1:10" ht="14">
      <c r="A805" s="43"/>
      <c r="B805" s="43"/>
      <c r="C805" s="43"/>
      <c r="D805" s="43"/>
      <c r="E805" s="43"/>
      <c r="F805" s="43"/>
      <c r="G805" s="43"/>
      <c r="H805" s="43"/>
      <c r="J805" s="40"/>
    </row>
    <row r="806" spans="1:10" ht="14">
      <c r="A806" s="43"/>
      <c r="B806" s="43"/>
      <c r="C806" s="43"/>
      <c r="D806" s="43"/>
      <c r="E806" s="43"/>
      <c r="F806" s="43"/>
      <c r="G806" s="43"/>
      <c r="H806" s="43"/>
      <c r="J806" s="40"/>
    </row>
    <row r="807" spans="1:10" ht="14">
      <c r="A807" s="43"/>
      <c r="B807" s="43"/>
      <c r="C807" s="43"/>
      <c r="D807" s="43"/>
      <c r="E807" s="43"/>
      <c r="F807" s="43"/>
      <c r="G807" s="43"/>
      <c r="H807" s="43"/>
      <c r="J807" s="40"/>
    </row>
    <row r="808" spans="1:10" ht="14">
      <c r="A808" s="43"/>
      <c r="B808" s="43"/>
      <c r="C808" s="43"/>
      <c r="D808" s="43"/>
      <c r="E808" s="43"/>
      <c r="F808" s="43"/>
      <c r="G808" s="43"/>
      <c r="H808" s="43"/>
      <c r="J808" s="40"/>
    </row>
    <row r="809" spans="1:10" ht="14">
      <c r="A809" s="43"/>
      <c r="B809" s="43"/>
      <c r="C809" s="43"/>
      <c r="D809" s="43"/>
      <c r="E809" s="43"/>
      <c r="F809" s="43"/>
      <c r="G809" s="43"/>
      <c r="H809" s="43"/>
      <c r="J809" s="40"/>
    </row>
    <row r="810" spans="1:10" ht="14">
      <c r="A810" s="43"/>
      <c r="B810" s="43"/>
      <c r="C810" s="43"/>
      <c r="D810" s="43"/>
      <c r="E810" s="43"/>
      <c r="F810" s="43"/>
      <c r="G810" s="43"/>
      <c r="H810" s="43"/>
      <c r="J810" s="40"/>
    </row>
    <row r="811" spans="1:10" ht="14">
      <c r="A811" s="43"/>
      <c r="B811" s="43"/>
      <c r="C811" s="43"/>
      <c r="D811" s="43"/>
      <c r="E811" s="43"/>
      <c r="F811" s="43"/>
      <c r="G811" s="43"/>
      <c r="H811" s="43"/>
      <c r="J811" s="40"/>
    </row>
    <row r="812" spans="1:10" ht="14">
      <c r="A812" s="43"/>
      <c r="B812" s="43"/>
      <c r="C812" s="43"/>
      <c r="D812" s="43"/>
      <c r="E812" s="43"/>
      <c r="F812" s="43"/>
      <c r="G812" s="43"/>
      <c r="H812" s="43"/>
      <c r="J812" s="40"/>
    </row>
    <row r="813" spans="1:10" ht="14">
      <c r="A813" s="43"/>
      <c r="B813" s="43"/>
      <c r="C813" s="43"/>
      <c r="D813" s="43"/>
      <c r="E813" s="43"/>
      <c r="F813" s="43"/>
      <c r="G813" s="43"/>
      <c r="H813" s="43"/>
      <c r="J813" s="40"/>
    </row>
    <row r="814" spans="1:10" ht="14">
      <c r="A814" s="43"/>
      <c r="B814" s="43"/>
      <c r="C814" s="43"/>
      <c r="D814" s="43"/>
      <c r="E814" s="43"/>
      <c r="F814" s="43"/>
      <c r="G814" s="43"/>
      <c r="H814" s="43"/>
      <c r="J814" s="40"/>
    </row>
    <row r="815" spans="1:10" ht="14">
      <c r="A815" s="43"/>
      <c r="B815" s="43"/>
      <c r="C815" s="43"/>
      <c r="D815" s="43"/>
      <c r="E815" s="43"/>
      <c r="F815" s="43"/>
      <c r="G815" s="43"/>
      <c r="H815" s="43"/>
      <c r="J815" s="40"/>
    </row>
    <row r="816" spans="1:10" ht="14">
      <c r="A816" s="43"/>
      <c r="B816" s="43"/>
      <c r="C816" s="43"/>
      <c r="D816" s="43"/>
      <c r="E816" s="43"/>
      <c r="F816" s="43"/>
      <c r="G816" s="43"/>
      <c r="H816" s="43"/>
      <c r="J816" s="40"/>
    </row>
    <row r="817" spans="1:10" ht="14">
      <c r="A817" s="43"/>
      <c r="B817" s="43"/>
      <c r="C817" s="43"/>
      <c r="D817" s="43"/>
      <c r="E817" s="43"/>
      <c r="F817" s="43"/>
      <c r="G817" s="43"/>
      <c r="H817" s="43"/>
      <c r="J817" s="40"/>
    </row>
    <row r="818" spans="1:10" ht="14">
      <c r="A818" s="43"/>
      <c r="B818" s="43"/>
      <c r="C818" s="43"/>
      <c r="D818" s="43"/>
      <c r="E818" s="43"/>
      <c r="F818" s="43"/>
      <c r="G818" s="43"/>
      <c r="H818" s="43"/>
      <c r="J818" s="40"/>
    </row>
    <row r="819" spans="1:10" ht="14">
      <c r="A819" s="43"/>
      <c r="B819" s="43"/>
      <c r="C819" s="43"/>
      <c r="D819" s="43"/>
      <c r="E819" s="43"/>
      <c r="F819" s="43"/>
      <c r="G819" s="43"/>
      <c r="H819" s="43"/>
      <c r="J819" s="40"/>
    </row>
    <row r="820" spans="1:10" ht="14">
      <c r="A820" s="43"/>
      <c r="B820" s="43"/>
      <c r="C820" s="43"/>
      <c r="D820" s="43"/>
      <c r="E820" s="43"/>
      <c r="F820" s="43"/>
      <c r="G820" s="43"/>
      <c r="H820" s="43"/>
      <c r="J820" s="40"/>
    </row>
    <row r="821" spans="1:10" ht="14">
      <c r="A821" s="43"/>
      <c r="B821" s="43"/>
      <c r="C821" s="43"/>
      <c r="D821" s="43"/>
      <c r="E821" s="43"/>
      <c r="F821" s="43"/>
      <c r="G821" s="43"/>
      <c r="H821" s="43"/>
      <c r="J821" s="40"/>
    </row>
    <row r="822" spans="1:10" ht="14">
      <c r="A822" s="43"/>
      <c r="B822" s="43"/>
      <c r="C822" s="43"/>
      <c r="D822" s="43"/>
      <c r="E822" s="43"/>
      <c r="F822" s="43"/>
      <c r="G822" s="43"/>
      <c r="H822" s="43"/>
      <c r="J822" s="40"/>
    </row>
    <row r="823" spans="1:10" ht="14">
      <c r="A823" s="43"/>
      <c r="B823" s="43"/>
      <c r="C823" s="43"/>
      <c r="D823" s="43"/>
      <c r="E823" s="43"/>
      <c r="F823" s="43"/>
      <c r="G823" s="43"/>
      <c r="H823" s="43"/>
      <c r="J823" s="40"/>
    </row>
    <row r="824" spans="1:10" ht="14">
      <c r="A824" s="43"/>
      <c r="B824" s="43"/>
      <c r="C824" s="43"/>
      <c r="D824" s="43"/>
      <c r="E824" s="43"/>
      <c r="F824" s="43"/>
      <c r="G824" s="43"/>
      <c r="H824" s="43"/>
      <c r="J824" s="40"/>
    </row>
    <row r="825" spans="1:10" ht="14">
      <c r="A825" s="43"/>
      <c r="B825" s="43"/>
      <c r="C825" s="43"/>
      <c r="D825" s="43"/>
      <c r="E825" s="43"/>
      <c r="F825" s="43"/>
      <c r="G825" s="43"/>
      <c r="H825" s="43"/>
      <c r="J825" s="40"/>
    </row>
    <row r="826" spans="1:10" ht="14">
      <c r="A826" s="43"/>
      <c r="B826" s="43"/>
      <c r="C826" s="43"/>
      <c r="D826" s="43"/>
      <c r="E826" s="43"/>
      <c r="F826" s="43"/>
      <c r="G826" s="43"/>
      <c r="H826" s="43"/>
      <c r="J826" s="40"/>
    </row>
    <row r="827" spans="1:10" ht="14">
      <c r="A827" s="43"/>
      <c r="B827" s="43"/>
      <c r="C827" s="43"/>
      <c r="D827" s="43"/>
      <c r="E827" s="43"/>
      <c r="F827" s="43"/>
      <c r="G827" s="43"/>
      <c r="H827" s="43"/>
      <c r="J827" s="40"/>
    </row>
    <row r="828" spans="1:10" ht="14">
      <c r="A828" s="43"/>
      <c r="B828" s="43"/>
      <c r="C828" s="43"/>
      <c r="D828" s="43"/>
      <c r="E828" s="43"/>
      <c r="F828" s="43"/>
      <c r="G828" s="43"/>
      <c r="H828" s="43"/>
      <c r="J828" s="40"/>
    </row>
    <row r="829" spans="1:10" ht="14">
      <c r="A829" s="43"/>
      <c r="B829" s="43"/>
      <c r="C829" s="43"/>
      <c r="D829" s="43"/>
      <c r="E829" s="43"/>
      <c r="F829" s="43"/>
      <c r="G829" s="43"/>
      <c r="H829" s="43"/>
      <c r="J829" s="40"/>
    </row>
    <row r="830" spans="1:10" ht="14">
      <c r="A830" s="43"/>
      <c r="B830" s="43"/>
      <c r="C830" s="43"/>
      <c r="D830" s="43"/>
      <c r="E830" s="43"/>
      <c r="F830" s="43"/>
      <c r="G830" s="43"/>
      <c r="H830" s="43"/>
      <c r="J830" s="40"/>
    </row>
    <row r="831" spans="1:10" ht="14">
      <c r="A831" s="43"/>
      <c r="B831" s="43"/>
      <c r="C831" s="43"/>
      <c r="D831" s="43"/>
      <c r="E831" s="43"/>
      <c r="F831" s="43"/>
      <c r="G831" s="43"/>
      <c r="H831" s="43"/>
      <c r="J831" s="40"/>
    </row>
    <row r="832" spans="1:10" ht="14">
      <c r="A832" s="43"/>
      <c r="B832" s="43"/>
      <c r="C832" s="43"/>
      <c r="D832" s="43"/>
      <c r="E832" s="43"/>
      <c r="F832" s="43"/>
      <c r="G832" s="43"/>
      <c r="H832" s="43"/>
      <c r="J832" s="40"/>
    </row>
    <row r="833" spans="1:10" ht="14">
      <c r="A833" s="43"/>
      <c r="B833" s="43"/>
      <c r="C833" s="43"/>
      <c r="D833" s="43"/>
      <c r="E833" s="43"/>
      <c r="F833" s="43"/>
      <c r="G833" s="43"/>
      <c r="H833" s="43"/>
      <c r="J833" s="40"/>
    </row>
    <row r="834" spans="1:10" ht="14">
      <c r="A834" s="43"/>
      <c r="B834" s="43"/>
      <c r="C834" s="43"/>
      <c r="D834" s="43"/>
      <c r="E834" s="43"/>
      <c r="F834" s="43"/>
      <c r="G834" s="43"/>
      <c r="H834" s="43"/>
      <c r="J834" s="40"/>
    </row>
    <row r="835" spans="1:10" ht="14">
      <c r="A835" s="43"/>
      <c r="B835" s="43"/>
      <c r="C835" s="43"/>
      <c r="D835" s="43"/>
      <c r="E835" s="43"/>
      <c r="F835" s="43"/>
      <c r="G835" s="43"/>
      <c r="H835" s="43"/>
      <c r="J835" s="40"/>
    </row>
    <row r="836" spans="1:10" ht="14">
      <c r="A836" s="43"/>
      <c r="B836" s="43"/>
      <c r="C836" s="43"/>
      <c r="D836" s="43"/>
      <c r="E836" s="43"/>
      <c r="F836" s="43"/>
      <c r="G836" s="43"/>
      <c r="H836" s="43"/>
      <c r="J836" s="40"/>
    </row>
    <row r="837" spans="1:10" ht="14">
      <c r="A837" s="43"/>
      <c r="B837" s="43"/>
      <c r="C837" s="43"/>
      <c r="D837" s="43"/>
      <c r="E837" s="43"/>
      <c r="F837" s="43"/>
      <c r="G837" s="43"/>
      <c r="H837" s="43"/>
      <c r="J837" s="40"/>
    </row>
    <row r="838" spans="1:10" ht="14">
      <c r="A838" s="43"/>
      <c r="B838" s="43"/>
      <c r="C838" s="43"/>
      <c r="D838" s="43"/>
      <c r="E838" s="43"/>
      <c r="F838" s="43"/>
      <c r="G838" s="43"/>
      <c r="H838" s="43"/>
      <c r="J838" s="40"/>
    </row>
    <row r="839" spans="1:10" ht="14">
      <c r="A839" s="43"/>
      <c r="B839" s="43"/>
      <c r="C839" s="43"/>
      <c r="D839" s="43"/>
      <c r="E839" s="43"/>
      <c r="F839" s="43"/>
      <c r="G839" s="43"/>
      <c r="H839" s="43"/>
      <c r="J839" s="40"/>
    </row>
    <row r="840" spans="1:10" ht="14">
      <c r="A840" s="43"/>
      <c r="B840" s="43"/>
      <c r="C840" s="43"/>
      <c r="D840" s="43"/>
      <c r="E840" s="43"/>
      <c r="F840" s="43"/>
      <c r="G840" s="43"/>
      <c r="H840" s="43"/>
      <c r="J840" s="40"/>
    </row>
    <row r="841" spans="1:10" ht="14">
      <c r="A841" s="43"/>
      <c r="B841" s="43"/>
      <c r="C841" s="43"/>
      <c r="D841" s="43"/>
      <c r="E841" s="43"/>
      <c r="F841" s="43"/>
      <c r="G841" s="43"/>
      <c r="H841" s="43"/>
      <c r="J841" s="40"/>
    </row>
    <row r="842" spans="1:10" ht="14">
      <c r="A842" s="43"/>
      <c r="B842" s="43"/>
      <c r="C842" s="43"/>
      <c r="D842" s="43"/>
      <c r="E842" s="43"/>
      <c r="F842" s="43"/>
      <c r="G842" s="43"/>
      <c r="H842" s="43"/>
      <c r="J842" s="40"/>
    </row>
    <row r="843" spans="1:10" ht="14">
      <c r="A843" s="43"/>
      <c r="B843" s="43"/>
      <c r="C843" s="43"/>
      <c r="D843" s="43"/>
      <c r="E843" s="43"/>
      <c r="F843" s="43"/>
      <c r="G843" s="43"/>
      <c r="H843" s="43"/>
      <c r="J843" s="40"/>
    </row>
    <row r="844" spans="1:10" ht="14">
      <c r="A844" s="43"/>
      <c r="B844" s="43"/>
      <c r="C844" s="43"/>
      <c r="D844" s="43"/>
      <c r="E844" s="43"/>
      <c r="F844" s="43"/>
      <c r="G844" s="43"/>
      <c r="H844" s="43"/>
      <c r="J844" s="40"/>
    </row>
    <row r="845" spans="1:10" ht="14">
      <c r="A845" s="43"/>
      <c r="B845" s="43"/>
      <c r="C845" s="43"/>
      <c r="D845" s="43"/>
      <c r="E845" s="43"/>
      <c r="F845" s="43"/>
      <c r="G845" s="43"/>
      <c r="H845" s="43"/>
      <c r="J845" s="40"/>
    </row>
    <row r="846" spans="1:10" ht="14">
      <c r="A846" s="43"/>
      <c r="B846" s="43"/>
      <c r="C846" s="43"/>
      <c r="D846" s="43"/>
      <c r="E846" s="43"/>
      <c r="F846" s="43"/>
      <c r="G846" s="43"/>
      <c r="H846" s="43"/>
      <c r="J846" s="40"/>
    </row>
    <row r="847" spans="1:10" ht="14">
      <c r="A847" s="43"/>
      <c r="B847" s="43"/>
      <c r="C847" s="43"/>
      <c r="D847" s="43"/>
      <c r="E847" s="43"/>
      <c r="F847" s="43"/>
      <c r="G847" s="43"/>
      <c r="H847" s="43"/>
      <c r="J847" s="40"/>
    </row>
    <row r="848" spans="1:10" ht="14">
      <c r="A848" s="43"/>
      <c r="B848" s="43"/>
      <c r="C848" s="43"/>
      <c r="D848" s="43"/>
      <c r="E848" s="43"/>
      <c r="F848" s="43"/>
      <c r="G848" s="43"/>
      <c r="H848" s="43"/>
      <c r="J848" s="40"/>
    </row>
    <row r="849" spans="1:10" ht="14">
      <c r="A849" s="43"/>
      <c r="B849" s="43"/>
      <c r="C849" s="43"/>
      <c r="D849" s="43"/>
      <c r="E849" s="43"/>
      <c r="F849" s="43"/>
      <c r="G849" s="43"/>
      <c r="H849" s="43"/>
      <c r="J849" s="40"/>
    </row>
    <row r="850" spans="1:10" ht="14">
      <c r="A850" s="43"/>
      <c r="B850" s="43"/>
      <c r="C850" s="43"/>
      <c r="D850" s="43"/>
      <c r="E850" s="43"/>
      <c r="F850" s="43"/>
      <c r="G850" s="43"/>
      <c r="H850" s="43"/>
      <c r="J850" s="40"/>
    </row>
    <row r="851" spans="1:10" ht="14">
      <c r="A851" s="43"/>
      <c r="B851" s="43"/>
      <c r="C851" s="43"/>
      <c r="D851" s="43"/>
      <c r="E851" s="43"/>
      <c r="F851" s="43"/>
      <c r="G851" s="43"/>
      <c r="H851" s="43"/>
      <c r="J851" s="40"/>
    </row>
    <row r="852" spans="1:10" ht="14">
      <c r="A852" s="43"/>
      <c r="B852" s="43"/>
      <c r="C852" s="43"/>
      <c r="D852" s="43"/>
      <c r="E852" s="43"/>
      <c r="F852" s="43"/>
      <c r="G852" s="43"/>
      <c r="H852" s="43"/>
      <c r="J852" s="40"/>
    </row>
    <row r="853" spans="1:10" ht="14">
      <c r="A853" s="43"/>
      <c r="B853" s="43"/>
      <c r="C853" s="43"/>
      <c r="D853" s="43"/>
      <c r="E853" s="43"/>
      <c r="F853" s="43"/>
      <c r="G853" s="43"/>
      <c r="H853" s="43"/>
      <c r="J853" s="40"/>
    </row>
    <row r="854" spans="1:10" ht="14">
      <c r="A854" s="43"/>
      <c r="B854" s="43"/>
      <c r="C854" s="43"/>
      <c r="D854" s="43"/>
      <c r="E854" s="43"/>
      <c r="F854" s="43"/>
      <c r="G854" s="43"/>
      <c r="H854" s="43"/>
      <c r="J854" s="40"/>
    </row>
    <row r="855" spans="1:10" ht="14">
      <c r="A855" s="43"/>
      <c r="B855" s="43"/>
      <c r="C855" s="43"/>
      <c r="D855" s="43"/>
      <c r="E855" s="43"/>
      <c r="F855" s="43"/>
      <c r="G855" s="43"/>
      <c r="H855" s="43"/>
      <c r="J855" s="40"/>
    </row>
    <row r="856" spans="1:10" ht="14">
      <c r="A856" s="43"/>
      <c r="B856" s="43"/>
      <c r="C856" s="43"/>
      <c r="D856" s="43"/>
      <c r="E856" s="43"/>
      <c r="F856" s="43"/>
      <c r="G856" s="43"/>
      <c r="H856" s="43"/>
      <c r="J856" s="40"/>
    </row>
    <row r="857" spans="1:10" ht="14">
      <c r="A857" s="43"/>
      <c r="B857" s="43"/>
      <c r="C857" s="43"/>
      <c r="D857" s="43"/>
      <c r="E857" s="43"/>
      <c r="F857" s="43"/>
      <c r="G857" s="43"/>
      <c r="H857" s="43"/>
      <c r="J857" s="40"/>
    </row>
    <row r="858" spans="1:10" ht="14">
      <c r="A858" s="43"/>
      <c r="B858" s="43"/>
      <c r="C858" s="43"/>
      <c r="D858" s="43"/>
      <c r="E858" s="43"/>
      <c r="F858" s="43"/>
      <c r="G858" s="43"/>
      <c r="H858" s="43"/>
      <c r="J858" s="40"/>
    </row>
    <row r="859" spans="1:10" ht="14">
      <c r="A859" s="43"/>
      <c r="B859" s="43"/>
      <c r="C859" s="43"/>
      <c r="D859" s="43"/>
      <c r="E859" s="43"/>
      <c r="F859" s="43"/>
      <c r="G859" s="43"/>
      <c r="H859" s="43"/>
      <c r="J859" s="40"/>
    </row>
    <row r="860" spans="1:10" ht="14">
      <c r="A860" s="43"/>
      <c r="B860" s="43"/>
      <c r="C860" s="43"/>
      <c r="D860" s="43"/>
      <c r="E860" s="43"/>
      <c r="F860" s="43"/>
      <c r="G860" s="43"/>
      <c r="H860" s="43"/>
      <c r="J860" s="40"/>
    </row>
    <row r="861" spans="1:10" ht="14">
      <c r="A861" s="43"/>
      <c r="B861" s="43"/>
      <c r="C861" s="43"/>
      <c r="D861" s="43"/>
      <c r="E861" s="43"/>
      <c r="F861" s="43"/>
      <c r="G861" s="43"/>
      <c r="H861" s="43"/>
      <c r="J861" s="40"/>
    </row>
    <row r="862" spans="1:10" ht="14">
      <c r="A862" s="43"/>
      <c r="B862" s="43"/>
      <c r="C862" s="43"/>
      <c r="D862" s="43"/>
      <c r="E862" s="43"/>
      <c r="F862" s="43"/>
      <c r="G862" s="43"/>
      <c r="H862" s="43"/>
      <c r="J862" s="40"/>
    </row>
    <row r="863" spans="1:10" ht="14">
      <c r="A863" s="43"/>
      <c r="B863" s="43"/>
      <c r="C863" s="43"/>
      <c r="D863" s="43"/>
      <c r="E863" s="43"/>
      <c r="F863" s="43"/>
      <c r="G863" s="43"/>
      <c r="H863" s="43"/>
      <c r="J863" s="40"/>
    </row>
    <row r="864" spans="1:10" ht="14">
      <c r="A864" s="43"/>
      <c r="B864" s="43"/>
      <c r="C864" s="43"/>
      <c r="D864" s="43"/>
      <c r="E864" s="43"/>
      <c r="F864" s="43"/>
      <c r="G864" s="43"/>
      <c r="H864" s="43"/>
      <c r="J864" s="40"/>
    </row>
    <row r="865" spans="1:10" ht="14">
      <c r="A865" s="43"/>
      <c r="B865" s="43"/>
      <c r="C865" s="43"/>
      <c r="D865" s="43"/>
      <c r="E865" s="43"/>
      <c r="F865" s="43"/>
      <c r="G865" s="43"/>
      <c r="H865" s="43"/>
      <c r="J865" s="40"/>
    </row>
    <row r="866" spans="1:10" ht="14">
      <c r="A866" s="43"/>
      <c r="B866" s="43"/>
      <c r="C866" s="43"/>
      <c r="D866" s="43"/>
      <c r="E866" s="43"/>
      <c r="F866" s="43"/>
      <c r="G866" s="43"/>
      <c r="H866" s="43"/>
      <c r="J866" s="40"/>
    </row>
    <row r="867" spans="1:10" ht="14">
      <c r="A867" s="43"/>
      <c r="B867" s="43"/>
      <c r="C867" s="43"/>
      <c r="D867" s="43"/>
      <c r="E867" s="43"/>
      <c r="F867" s="43"/>
      <c r="G867" s="43"/>
      <c r="H867" s="43"/>
      <c r="J867" s="40"/>
    </row>
    <row r="868" spans="1:10" ht="14">
      <c r="A868" s="43"/>
      <c r="B868" s="43"/>
      <c r="C868" s="43"/>
      <c r="D868" s="43"/>
      <c r="E868" s="43"/>
      <c r="F868" s="43"/>
      <c r="G868" s="43"/>
      <c r="H868" s="43"/>
      <c r="J868" s="40"/>
    </row>
    <row r="869" spans="1:10" ht="14">
      <c r="A869" s="43"/>
      <c r="B869" s="43"/>
      <c r="C869" s="43"/>
      <c r="D869" s="43"/>
      <c r="E869" s="43"/>
      <c r="F869" s="43"/>
      <c r="G869" s="43"/>
      <c r="H869" s="43"/>
      <c r="J869" s="40"/>
    </row>
    <row r="870" spans="1:10" ht="14">
      <c r="A870" s="43"/>
      <c r="B870" s="43"/>
      <c r="C870" s="43"/>
      <c r="D870" s="43"/>
      <c r="E870" s="43"/>
      <c r="F870" s="43"/>
      <c r="G870" s="43"/>
      <c r="H870" s="43"/>
      <c r="J870" s="40"/>
    </row>
    <row r="871" spans="1:10" ht="14">
      <c r="A871" s="43"/>
      <c r="B871" s="43"/>
      <c r="C871" s="43"/>
      <c r="D871" s="43"/>
      <c r="E871" s="43"/>
      <c r="F871" s="43"/>
      <c r="G871" s="43"/>
      <c r="H871" s="43"/>
      <c r="J871" s="40"/>
    </row>
    <row r="872" spans="1:10" ht="14">
      <c r="A872" s="43"/>
      <c r="B872" s="43"/>
      <c r="C872" s="43"/>
      <c r="D872" s="43"/>
      <c r="E872" s="43"/>
      <c r="F872" s="43"/>
      <c r="G872" s="43"/>
      <c r="H872" s="43"/>
      <c r="J872" s="40"/>
    </row>
    <row r="873" spans="1:10" ht="14">
      <c r="A873" s="43"/>
      <c r="B873" s="43"/>
      <c r="C873" s="43"/>
      <c r="D873" s="43"/>
      <c r="E873" s="43"/>
      <c r="F873" s="43"/>
      <c r="G873" s="43"/>
      <c r="H873" s="43"/>
      <c r="J873" s="40"/>
    </row>
    <row r="874" spans="1:10" ht="14">
      <c r="A874" s="43"/>
      <c r="B874" s="43"/>
      <c r="C874" s="43"/>
      <c r="D874" s="43"/>
      <c r="E874" s="43"/>
      <c r="F874" s="43"/>
      <c r="G874" s="43"/>
      <c r="H874" s="43"/>
      <c r="J874" s="40"/>
    </row>
    <row r="875" spans="1:10" ht="14">
      <c r="A875" s="43"/>
      <c r="B875" s="43"/>
      <c r="C875" s="43"/>
      <c r="D875" s="43"/>
      <c r="E875" s="43"/>
      <c r="F875" s="43"/>
      <c r="G875" s="43"/>
      <c r="H875" s="43"/>
      <c r="J875" s="40"/>
    </row>
    <row r="876" spans="1:10" ht="14">
      <c r="A876" s="43"/>
      <c r="B876" s="43"/>
      <c r="C876" s="43"/>
      <c r="D876" s="43"/>
      <c r="E876" s="43"/>
      <c r="F876" s="43"/>
      <c r="G876" s="43"/>
      <c r="H876" s="43"/>
      <c r="J876" s="40"/>
    </row>
    <row r="877" spans="1:10" ht="14">
      <c r="A877" s="43"/>
      <c r="B877" s="43"/>
      <c r="C877" s="43"/>
      <c r="D877" s="43"/>
      <c r="E877" s="43"/>
      <c r="F877" s="43"/>
      <c r="G877" s="43"/>
      <c r="H877" s="43"/>
      <c r="J877" s="40"/>
    </row>
    <row r="878" spans="1:10" ht="14">
      <c r="A878" s="43"/>
      <c r="B878" s="43"/>
      <c r="C878" s="43"/>
      <c r="D878" s="43"/>
      <c r="E878" s="43"/>
      <c r="F878" s="43"/>
      <c r="G878" s="43"/>
      <c r="H878" s="43"/>
      <c r="J878" s="40"/>
    </row>
    <row r="879" spans="1:10" ht="14">
      <c r="A879" s="43"/>
      <c r="B879" s="43"/>
      <c r="C879" s="43"/>
      <c r="D879" s="43"/>
      <c r="E879" s="43"/>
      <c r="F879" s="43"/>
      <c r="G879" s="43"/>
      <c r="H879" s="43"/>
      <c r="J879" s="40"/>
    </row>
    <row r="880" spans="1:10" ht="14">
      <c r="A880" s="43"/>
      <c r="B880" s="43"/>
      <c r="C880" s="43"/>
      <c r="D880" s="43"/>
      <c r="E880" s="43"/>
      <c r="F880" s="43"/>
      <c r="G880" s="43"/>
      <c r="H880" s="43"/>
      <c r="J880" s="40"/>
    </row>
    <row r="881" spans="1:10" ht="14">
      <c r="A881" s="43"/>
      <c r="B881" s="43"/>
      <c r="C881" s="43"/>
      <c r="D881" s="43"/>
      <c r="E881" s="43"/>
      <c r="F881" s="43"/>
      <c r="G881" s="43"/>
      <c r="H881" s="43"/>
      <c r="J881" s="40"/>
    </row>
    <row r="882" spans="1:10" ht="14">
      <c r="A882" s="43"/>
      <c r="B882" s="43"/>
      <c r="C882" s="43"/>
      <c r="D882" s="43"/>
      <c r="E882" s="43"/>
      <c r="F882" s="43"/>
      <c r="G882" s="43"/>
      <c r="H882" s="43"/>
      <c r="J882" s="40"/>
    </row>
    <row r="883" spans="1:10" ht="14">
      <c r="A883" s="43"/>
      <c r="B883" s="43"/>
      <c r="C883" s="43"/>
      <c r="D883" s="43"/>
      <c r="E883" s="43"/>
      <c r="F883" s="43"/>
      <c r="G883" s="43"/>
      <c r="H883" s="43"/>
      <c r="J883" s="40"/>
    </row>
    <row r="884" spans="1:10" ht="14">
      <c r="A884" s="43"/>
      <c r="B884" s="43"/>
      <c r="C884" s="43"/>
      <c r="D884" s="43"/>
      <c r="E884" s="43"/>
      <c r="F884" s="43"/>
      <c r="G884" s="43"/>
      <c r="H884" s="43"/>
      <c r="J884" s="40"/>
    </row>
    <row r="885" spans="1:10" ht="14">
      <c r="A885" s="43"/>
      <c r="B885" s="43"/>
      <c r="C885" s="43"/>
      <c r="D885" s="43"/>
      <c r="E885" s="43"/>
      <c r="F885" s="43"/>
      <c r="G885" s="43"/>
      <c r="H885" s="43"/>
      <c r="J885" s="40"/>
    </row>
    <row r="886" spans="1:10" ht="14">
      <c r="A886" s="43"/>
      <c r="B886" s="43"/>
      <c r="C886" s="43"/>
      <c r="D886" s="43"/>
      <c r="E886" s="43"/>
      <c r="F886" s="43"/>
      <c r="G886" s="43"/>
      <c r="H886" s="43"/>
      <c r="J886" s="40"/>
    </row>
    <row r="887" spans="1:10" ht="14">
      <c r="A887" s="43"/>
      <c r="B887" s="43"/>
      <c r="C887" s="43"/>
      <c r="D887" s="43"/>
      <c r="E887" s="43"/>
      <c r="F887" s="43"/>
      <c r="G887" s="43"/>
      <c r="H887" s="43"/>
      <c r="J887" s="40"/>
    </row>
    <row r="888" spans="1:10" ht="14">
      <c r="A888" s="43"/>
      <c r="B888" s="43"/>
      <c r="C888" s="43"/>
      <c r="D888" s="43"/>
      <c r="E888" s="43"/>
      <c r="F888" s="43"/>
      <c r="G888" s="43"/>
      <c r="H888" s="43"/>
      <c r="J888" s="40"/>
    </row>
    <row r="889" spans="1:10" ht="14">
      <c r="A889" s="43"/>
      <c r="B889" s="43"/>
      <c r="C889" s="43"/>
      <c r="D889" s="43"/>
      <c r="E889" s="43"/>
      <c r="F889" s="43"/>
      <c r="G889" s="43"/>
      <c r="H889" s="43"/>
      <c r="J889" s="40"/>
    </row>
    <row r="890" spans="1:10" ht="14">
      <c r="A890" s="43"/>
      <c r="B890" s="43"/>
      <c r="C890" s="43"/>
      <c r="D890" s="43"/>
      <c r="E890" s="43"/>
      <c r="F890" s="43"/>
      <c r="G890" s="43"/>
      <c r="H890" s="43"/>
      <c r="J890" s="40"/>
    </row>
    <row r="891" spans="1:10" ht="14">
      <c r="A891" s="43"/>
      <c r="B891" s="43"/>
      <c r="C891" s="43"/>
      <c r="D891" s="43"/>
      <c r="E891" s="43"/>
      <c r="F891" s="43"/>
      <c r="G891" s="43"/>
      <c r="H891" s="43"/>
      <c r="J891" s="40"/>
    </row>
    <row r="892" spans="1:10" ht="14">
      <c r="A892" s="43"/>
      <c r="B892" s="43"/>
      <c r="C892" s="43"/>
      <c r="D892" s="43"/>
      <c r="E892" s="43"/>
      <c r="F892" s="43"/>
      <c r="G892" s="43"/>
      <c r="H892" s="43"/>
      <c r="J892" s="40"/>
    </row>
    <row r="893" spans="1:10" ht="14">
      <c r="A893" s="43"/>
      <c r="B893" s="43"/>
      <c r="C893" s="43"/>
      <c r="D893" s="43"/>
      <c r="E893" s="43"/>
      <c r="F893" s="43"/>
      <c r="G893" s="43"/>
      <c r="H893" s="43"/>
      <c r="J893" s="40"/>
    </row>
    <row r="894" spans="1:10" ht="14">
      <c r="A894" s="43"/>
      <c r="B894" s="43"/>
      <c r="C894" s="43"/>
      <c r="D894" s="43"/>
      <c r="E894" s="43"/>
      <c r="F894" s="43"/>
      <c r="G894" s="43"/>
      <c r="H894" s="43"/>
      <c r="J894" s="40"/>
    </row>
    <row r="895" spans="1:10" ht="14">
      <c r="A895" s="43"/>
      <c r="B895" s="43"/>
      <c r="C895" s="43"/>
      <c r="D895" s="43"/>
      <c r="E895" s="43"/>
      <c r="F895" s="43"/>
      <c r="G895" s="43"/>
      <c r="H895" s="43"/>
      <c r="J895" s="40"/>
    </row>
    <row r="896" spans="1:10" ht="14">
      <c r="A896" s="43"/>
      <c r="B896" s="43"/>
      <c r="C896" s="43"/>
      <c r="D896" s="43"/>
      <c r="E896" s="43"/>
      <c r="F896" s="43"/>
      <c r="G896" s="43"/>
      <c r="H896" s="43"/>
      <c r="J896" s="40"/>
    </row>
    <row r="897" spans="1:10" ht="14">
      <c r="A897" s="43"/>
      <c r="B897" s="43"/>
      <c r="C897" s="43"/>
      <c r="D897" s="43"/>
      <c r="E897" s="43"/>
      <c r="F897" s="43"/>
      <c r="G897" s="43"/>
      <c r="H897" s="43"/>
      <c r="J897" s="40"/>
    </row>
    <row r="898" spans="1:10" ht="14">
      <c r="A898" s="43"/>
      <c r="B898" s="43"/>
      <c r="C898" s="43"/>
      <c r="D898" s="43"/>
      <c r="E898" s="43"/>
      <c r="F898" s="43"/>
      <c r="G898" s="43"/>
      <c r="H898" s="43"/>
      <c r="J898" s="40"/>
    </row>
    <row r="899" spans="1:10" ht="14">
      <c r="A899" s="43"/>
      <c r="B899" s="43"/>
      <c r="C899" s="43"/>
      <c r="D899" s="43"/>
      <c r="E899" s="43"/>
      <c r="F899" s="43"/>
      <c r="G899" s="43"/>
      <c r="H899" s="43"/>
      <c r="J899" s="40"/>
    </row>
    <row r="900" spans="1:10" ht="14">
      <c r="A900" s="43"/>
      <c r="B900" s="43"/>
      <c r="C900" s="43"/>
      <c r="D900" s="43"/>
      <c r="E900" s="43"/>
      <c r="F900" s="43"/>
      <c r="G900" s="43"/>
      <c r="H900" s="43"/>
      <c r="J900" s="40"/>
    </row>
    <row r="901" spans="1:10" ht="14">
      <c r="A901" s="43"/>
      <c r="B901" s="43"/>
      <c r="C901" s="43"/>
      <c r="D901" s="43"/>
      <c r="E901" s="43"/>
      <c r="F901" s="43"/>
      <c r="G901" s="43"/>
      <c r="H901" s="43"/>
      <c r="J901" s="40"/>
    </row>
    <row r="902" spans="1:10" ht="14">
      <c r="A902" s="43"/>
      <c r="B902" s="43"/>
      <c r="C902" s="43"/>
      <c r="D902" s="43"/>
      <c r="E902" s="43"/>
      <c r="F902" s="43"/>
      <c r="G902" s="43"/>
      <c r="H902" s="43"/>
      <c r="J902" s="40"/>
    </row>
    <row r="903" spans="1:10" ht="14">
      <c r="A903" s="43"/>
      <c r="B903" s="43"/>
      <c r="C903" s="43"/>
      <c r="D903" s="43"/>
      <c r="E903" s="43"/>
      <c r="F903" s="43"/>
      <c r="G903" s="43"/>
      <c r="H903" s="43"/>
      <c r="J903" s="40"/>
    </row>
    <row r="904" spans="1:10" ht="14">
      <c r="A904" s="43"/>
      <c r="B904" s="43"/>
      <c r="C904" s="43"/>
      <c r="D904" s="43"/>
      <c r="E904" s="43"/>
      <c r="F904" s="43"/>
      <c r="G904" s="43"/>
      <c r="H904" s="43"/>
      <c r="J904" s="40"/>
    </row>
    <row r="905" spans="1:10" ht="14">
      <c r="A905" s="43"/>
      <c r="B905" s="43"/>
      <c r="C905" s="43"/>
      <c r="D905" s="43"/>
      <c r="E905" s="43"/>
      <c r="F905" s="43"/>
      <c r="G905" s="43"/>
      <c r="H905" s="43"/>
      <c r="J905" s="40"/>
    </row>
    <row r="906" spans="1:10" ht="14">
      <c r="A906" s="43"/>
      <c r="B906" s="43"/>
      <c r="C906" s="43"/>
      <c r="D906" s="43"/>
      <c r="E906" s="43"/>
      <c r="F906" s="43"/>
      <c r="G906" s="43"/>
      <c r="H906" s="43"/>
      <c r="J906" s="40"/>
    </row>
    <row r="907" spans="1:10" ht="14">
      <c r="A907" s="43"/>
      <c r="B907" s="43"/>
      <c r="C907" s="43"/>
      <c r="D907" s="43"/>
      <c r="E907" s="43"/>
      <c r="F907" s="43"/>
      <c r="G907" s="43"/>
      <c r="H907" s="43"/>
      <c r="J907" s="40"/>
    </row>
    <row r="908" spans="1:10" ht="14">
      <c r="A908" s="43"/>
      <c r="B908" s="43"/>
      <c r="C908" s="43"/>
      <c r="D908" s="43"/>
      <c r="E908" s="43"/>
      <c r="F908" s="43"/>
      <c r="G908" s="43"/>
      <c r="H908" s="43"/>
      <c r="J908" s="40"/>
    </row>
    <row r="909" spans="1:10" ht="14">
      <c r="A909" s="43"/>
      <c r="B909" s="43"/>
      <c r="C909" s="43"/>
      <c r="D909" s="43"/>
      <c r="E909" s="43"/>
      <c r="F909" s="43"/>
      <c r="G909" s="43"/>
      <c r="H909" s="43"/>
      <c r="J909" s="40"/>
    </row>
    <row r="910" spans="1:10" ht="14">
      <c r="A910" s="43"/>
      <c r="B910" s="43"/>
      <c r="C910" s="43"/>
      <c r="D910" s="43"/>
      <c r="E910" s="43"/>
      <c r="F910" s="43"/>
      <c r="G910" s="43"/>
      <c r="H910" s="43"/>
      <c r="J910" s="40"/>
    </row>
    <row r="911" spans="1:10" ht="14">
      <c r="A911" s="43"/>
      <c r="B911" s="43"/>
      <c r="C911" s="43"/>
      <c r="D911" s="43"/>
      <c r="E911" s="43"/>
      <c r="F911" s="43"/>
      <c r="G911" s="43"/>
      <c r="H911" s="43"/>
      <c r="J911" s="40"/>
    </row>
    <row r="912" spans="1:10" ht="14">
      <c r="A912" s="43"/>
      <c r="B912" s="43"/>
      <c r="C912" s="43"/>
      <c r="D912" s="43"/>
      <c r="E912" s="43"/>
      <c r="F912" s="43"/>
      <c r="G912" s="43"/>
      <c r="H912" s="43"/>
      <c r="J912" s="40"/>
    </row>
    <row r="913" spans="1:10" ht="14">
      <c r="A913" s="43"/>
      <c r="B913" s="43"/>
      <c r="C913" s="43"/>
      <c r="D913" s="43"/>
      <c r="E913" s="43"/>
      <c r="F913" s="43"/>
      <c r="G913" s="43"/>
      <c r="H913" s="43"/>
      <c r="J913" s="40"/>
    </row>
    <row r="914" spans="1:10" ht="14">
      <c r="A914" s="43"/>
      <c r="B914" s="43"/>
      <c r="C914" s="43"/>
      <c r="D914" s="43"/>
      <c r="E914" s="43"/>
      <c r="F914" s="43"/>
      <c r="G914" s="43"/>
      <c r="H914" s="43"/>
      <c r="J914" s="40"/>
    </row>
    <row r="915" spans="1:10" ht="14">
      <c r="A915" s="43"/>
      <c r="B915" s="43"/>
      <c r="C915" s="43"/>
      <c r="D915" s="43"/>
      <c r="E915" s="43"/>
      <c r="F915" s="43"/>
      <c r="G915" s="43"/>
      <c r="H915" s="43"/>
      <c r="J915" s="40"/>
    </row>
    <row r="916" spans="1:10" ht="14">
      <c r="A916" s="43"/>
      <c r="B916" s="43"/>
      <c r="C916" s="43"/>
      <c r="D916" s="43"/>
      <c r="E916" s="43"/>
      <c r="F916" s="43"/>
      <c r="G916" s="43"/>
      <c r="H916" s="43"/>
      <c r="J916" s="40"/>
    </row>
    <row r="917" spans="1:10" ht="14">
      <c r="A917" s="43"/>
      <c r="B917" s="43"/>
      <c r="C917" s="43"/>
      <c r="D917" s="43"/>
      <c r="E917" s="43"/>
      <c r="F917" s="43"/>
      <c r="G917" s="43"/>
      <c r="H917" s="43"/>
      <c r="J917" s="40"/>
    </row>
    <row r="918" spans="1:10" ht="14">
      <c r="A918" s="43"/>
      <c r="B918" s="43"/>
      <c r="C918" s="43"/>
      <c r="D918" s="43"/>
      <c r="E918" s="43"/>
      <c r="F918" s="43"/>
      <c r="G918" s="43"/>
      <c r="H918" s="43"/>
      <c r="J918" s="40"/>
    </row>
    <row r="919" spans="1:10" ht="14">
      <c r="A919" s="43"/>
      <c r="B919" s="43"/>
      <c r="C919" s="43"/>
      <c r="D919" s="43"/>
      <c r="E919" s="43"/>
      <c r="F919" s="43"/>
      <c r="G919" s="43"/>
      <c r="H919" s="43"/>
      <c r="J919" s="40"/>
    </row>
    <row r="920" spans="1:10" ht="14">
      <c r="A920" s="43"/>
      <c r="B920" s="43"/>
      <c r="C920" s="43"/>
      <c r="D920" s="43"/>
      <c r="E920" s="43"/>
      <c r="F920" s="43"/>
      <c r="G920" s="43"/>
      <c r="H920" s="43"/>
      <c r="J920" s="40"/>
    </row>
    <row r="921" spans="1:10" ht="14">
      <c r="A921" s="43"/>
      <c r="B921" s="43"/>
      <c r="C921" s="43"/>
      <c r="D921" s="43"/>
      <c r="E921" s="43"/>
      <c r="F921" s="43"/>
      <c r="G921" s="43"/>
      <c r="H921" s="43"/>
      <c r="J921" s="40"/>
    </row>
    <row r="922" spans="1:10" ht="14">
      <c r="A922" s="43"/>
      <c r="B922" s="43"/>
      <c r="C922" s="43"/>
      <c r="D922" s="43"/>
      <c r="E922" s="43"/>
      <c r="F922" s="43"/>
      <c r="G922" s="43"/>
      <c r="H922" s="43"/>
      <c r="J922" s="40"/>
    </row>
    <row r="923" spans="1:10" ht="14">
      <c r="A923" s="43"/>
      <c r="B923" s="43"/>
      <c r="C923" s="43"/>
      <c r="D923" s="43"/>
      <c r="E923" s="43"/>
      <c r="F923" s="43"/>
      <c r="G923" s="43"/>
      <c r="H923" s="43"/>
      <c r="J923" s="40"/>
    </row>
    <row r="924" spans="1:10" ht="14">
      <c r="A924" s="43"/>
      <c r="B924" s="43"/>
      <c r="C924" s="43"/>
      <c r="D924" s="43"/>
      <c r="E924" s="43"/>
      <c r="F924" s="43"/>
      <c r="G924" s="43"/>
      <c r="H924" s="43"/>
      <c r="J924" s="40"/>
    </row>
    <row r="925" spans="1:10" ht="14">
      <c r="A925" s="43"/>
      <c r="B925" s="43"/>
      <c r="C925" s="43"/>
      <c r="D925" s="43"/>
      <c r="E925" s="43"/>
      <c r="F925" s="43"/>
      <c r="G925" s="43"/>
      <c r="H925" s="43"/>
      <c r="J925" s="40"/>
    </row>
    <row r="926" spans="1:10" ht="14">
      <c r="A926" s="43"/>
      <c r="B926" s="43"/>
      <c r="C926" s="43"/>
      <c r="D926" s="43"/>
      <c r="E926" s="43"/>
      <c r="F926" s="43"/>
      <c r="G926" s="43"/>
      <c r="H926" s="43"/>
      <c r="J926" s="40"/>
    </row>
    <row r="927" spans="1:10" ht="14">
      <c r="A927" s="43"/>
      <c r="B927" s="43"/>
      <c r="C927" s="43"/>
      <c r="D927" s="43"/>
      <c r="E927" s="43"/>
      <c r="F927" s="43"/>
      <c r="G927" s="43"/>
      <c r="H927" s="43"/>
      <c r="J927" s="40"/>
    </row>
    <row r="928" spans="1:10" ht="14">
      <c r="A928" s="43"/>
      <c r="B928" s="43"/>
      <c r="C928" s="43"/>
      <c r="D928" s="43"/>
      <c r="E928" s="43"/>
      <c r="F928" s="43"/>
      <c r="G928" s="43"/>
      <c r="H928" s="43"/>
      <c r="J928" s="40"/>
    </row>
    <row r="929" spans="1:10" ht="14">
      <c r="A929" s="43"/>
      <c r="B929" s="43"/>
      <c r="C929" s="43"/>
      <c r="D929" s="43"/>
      <c r="E929" s="43"/>
      <c r="F929" s="43"/>
      <c r="G929" s="43"/>
      <c r="H929" s="43"/>
      <c r="J929" s="40"/>
    </row>
    <row r="930" spans="1:10" ht="14">
      <c r="A930" s="43"/>
      <c r="B930" s="43"/>
      <c r="C930" s="43"/>
      <c r="D930" s="43"/>
      <c r="E930" s="43"/>
      <c r="F930" s="43"/>
      <c r="G930" s="43"/>
      <c r="H930" s="43"/>
      <c r="J930" s="40"/>
    </row>
    <row r="931" spans="1:10" ht="14">
      <c r="A931" s="43"/>
      <c r="B931" s="43"/>
      <c r="C931" s="43"/>
      <c r="D931" s="43"/>
      <c r="E931" s="43"/>
      <c r="F931" s="43"/>
      <c r="G931" s="43"/>
      <c r="H931" s="43"/>
      <c r="J931" s="40"/>
    </row>
    <row r="932" spans="1:10" ht="14">
      <c r="A932" s="43"/>
      <c r="B932" s="43"/>
      <c r="C932" s="43"/>
      <c r="D932" s="43"/>
      <c r="E932" s="43"/>
      <c r="F932" s="43"/>
      <c r="G932" s="43"/>
      <c r="H932" s="43"/>
      <c r="J932" s="40"/>
    </row>
    <row r="933" spans="1:10" ht="14">
      <c r="A933" s="43"/>
      <c r="B933" s="43"/>
      <c r="C933" s="43"/>
      <c r="D933" s="43"/>
      <c r="E933" s="43"/>
      <c r="F933" s="43"/>
      <c r="G933" s="43"/>
      <c r="H933" s="43"/>
      <c r="J933" s="40"/>
    </row>
    <row r="934" spans="1:10" ht="14">
      <c r="A934" s="43"/>
      <c r="B934" s="43"/>
      <c r="C934" s="43"/>
      <c r="D934" s="43"/>
      <c r="E934" s="43"/>
      <c r="F934" s="43"/>
      <c r="G934" s="43"/>
      <c r="H934" s="43"/>
      <c r="J934" s="40"/>
    </row>
    <row r="935" spans="1:10" ht="14">
      <c r="A935" s="43"/>
      <c r="B935" s="43"/>
      <c r="C935" s="43"/>
      <c r="D935" s="43"/>
      <c r="E935" s="43"/>
      <c r="F935" s="43"/>
      <c r="G935" s="43"/>
      <c r="H935" s="43"/>
      <c r="J935" s="40"/>
    </row>
    <row r="936" spans="1:10" ht="14">
      <c r="A936" s="43"/>
      <c r="B936" s="43"/>
      <c r="C936" s="43"/>
      <c r="D936" s="43"/>
      <c r="E936" s="43"/>
      <c r="F936" s="43"/>
      <c r="G936" s="43"/>
      <c r="H936" s="43"/>
      <c r="J936" s="40"/>
    </row>
    <row r="937" spans="1:10" ht="14">
      <c r="A937" s="43"/>
      <c r="B937" s="43"/>
      <c r="C937" s="43"/>
      <c r="D937" s="43"/>
      <c r="E937" s="43"/>
      <c r="F937" s="43"/>
      <c r="G937" s="43"/>
      <c r="H937" s="43"/>
      <c r="J937" s="40"/>
    </row>
    <row r="938" spans="1:10" ht="14">
      <c r="A938" s="43"/>
      <c r="B938" s="43"/>
      <c r="C938" s="43"/>
      <c r="D938" s="43"/>
      <c r="E938" s="43"/>
      <c r="F938" s="43"/>
      <c r="G938" s="43"/>
      <c r="H938" s="43"/>
      <c r="J938" s="40"/>
    </row>
    <row r="939" spans="1:10" ht="14">
      <c r="A939" s="43"/>
      <c r="B939" s="43"/>
      <c r="C939" s="43"/>
      <c r="D939" s="43"/>
      <c r="E939" s="43"/>
      <c r="F939" s="43"/>
      <c r="G939" s="43"/>
      <c r="H939" s="43"/>
      <c r="J939" s="40"/>
    </row>
    <row r="940" spans="1:10" ht="14">
      <c r="A940" s="43"/>
      <c r="B940" s="43"/>
      <c r="C940" s="43"/>
      <c r="D940" s="43"/>
      <c r="E940" s="43"/>
      <c r="F940" s="43"/>
      <c r="G940" s="43"/>
      <c r="H940" s="43"/>
      <c r="J940" s="40"/>
    </row>
    <row r="941" spans="1:10" ht="14">
      <c r="A941" s="43"/>
      <c r="B941" s="43"/>
      <c r="C941" s="43"/>
      <c r="D941" s="43"/>
      <c r="E941" s="43"/>
      <c r="F941" s="43"/>
      <c r="G941" s="43"/>
      <c r="H941" s="43"/>
      <c r="J941" s="40"/>
    </row>
    <row r="942" spans="1:10" ht="14">
      <c r="A942" s="43"/>
      <c r="B942" s="43"/>
      <c r="C942" s="43"/>
      <c r="D942" s="43"/>
      <c r="E942" s="43"/>
      <c r="F942" s="43"/>
      <c r="G942" s="43"/>
      <c r="H942" s="43"/>
      <c r="J942" s="40"/>
    </row>
    <row r="943" spans="1:10" ht="14">
      <c r="A943" s="43"/>
      <c r="B943" s="43"/>
      <c r="C943" s="43"/>
      <c r="D943" s="43"/>
      <c r="E943" s="43"/>
      <c r="F943" s="43"/>
      <c r="G943" s="43"/>
      <c r="H943" s="43"/>
      <c r="J943" s="40"/>
    </row>
    <row r="944" spans="1:10" ht="14">
      <c r="A944" s="43"/>
      <c r="B944" s="43"/>
      <c r="C944" s="43"/>
      <c r="D944" s="43"/>
      <c r="E944" s="43"/>
      <c r="F944" s="43"/>
      <c r="G944" s="43"/>
      <c r="H944" s="43"/>
      <c r="J944" s="40"/>
    </row>
    <row r="945" spans="1:10" ht="14">
      <c r="A945" s="43"/>
      <c r="B945" s="43"/>
      <c r="C945" s="43"/>
      <c r="D945" s="43"/>
      <c r="E945" s="43"/>
      <c r="F945" s="43"/>
      <c r="G945" s="43"/>
      <c r="H945" s="43"/>
      <c r="J945" s="40"/>
    </row>
    <row r="946" spans="1:10" ht="14">
      <c r="A946" s="43"/>
      <c r="B946" s="43"/>
      <c r="C946" s="43"/>
      <c r="D946" s="43"/>
      <c r="E946" s="43"/>
      <c r="F946" s="43"/>
      <c r="G946" s="43"/>
      <c r="H946" s="43"/>
      <c r="J946" s="40"/>
    </row>
    <row r="947" spans="1:10" ht="14">
      <c r="A947" s="43"/>
      <c r="B947" s="43"/>
      <c r="C947" s="43"/>
      <c r="D947" s="43"/>
      <c r="E947" s="43"/>
      <c r="F947" s="43"/>
      <c r="G947" s="43"/>
      <c r="H947" s="43"/>
      <c r="J947" s="40"/>
    </row>
    <row r="948" spans="1:10" ht="14">
      <c r="A948" s="43"/>
      <c r="B948" s="43"/>
      <c r="C948" s="43"/>
      <c r="D948" s="43"/>
      <c r="E948" s="43"/>
      <c r="F948" s="43"/>
      <c r="G948" s="43"/>
      <c r="H948" s="43"/>
      <c r="J948" s="40"/>
    </row>
    <row r="949" spans="1:10" ht="14">
      <c r="A949" s="43"/>
      <c r="B949" s="43"/>
      <c r="C949" s="43"/>
      <c r="D949" s="43"/>
      <c r="E949" s="43"/>
      <c r="F949" s="43"/>
      <c r="G949" s="43"/>
      <c r="H949" s="43"/>
      <c r="J949" s="40"/>
    </row>
    <row r="950" spans="1:10" ht="14">
      <c r="A950" s="43"/>
      <c r="B950" s="43"/>
      <c r="C950" s="43"/>
      <c r="D950" s="43"/>
      <c r="E950" s="43"/>
      <c r="F950" s="43"/>
      <c r="G950" s="43"/>
      <c r="H950" s="43"/>
      <c r="J950" s="40"/>
    </row>
    <row r="951" spans="1:10" ht="14">
      <c r="A951" s="43"/>
      <c r="B951" s="43"/>
      <c r="C951" s="43"/>
      <c r="D951" s="43"/>
      <c r="E951" s="43"/>
      <c r="F951" s="43"/>
      <c r="G951" s="43"/>
      <c r="H951" s="43"/>
      <c r="J951" s="40"/>
    </row>
    <row r="952" spans="1:10" ht="14">
      <c r="A952" s="43"/>
      <c r="B952" s="43"/>
      <c r="C952" s="43"/>
      <c r="D952" s="43"/>
      <c r="E952" s="43"/>
      <c r="F952" s="43"/>
      <c r="G952" s="43"/>
      <c r="H952" s="43"/>
      <c r="J952" s="40"/>
    </row>
    <row r="953" spans="1:10" ht="14">
      <c r="A953" s="43"/>
      <c r="B953" s="43"/>
      <c r="C953" s="43"/>
      <c r="D953" s="43"/>
      <c r="E953" s="43"/>
      <c r="F953" s="43"/>
      <c r="G953" s="43"/>
      <c r="H953" s="43"/>
      <c r="J953" s="40"/>
    </row>
    <row r="954" spans="1:10" ht="14">
      <c r="A954" s="43"/>
      <c r="B954" s="43"/>
      <c r="C954" s="43"/>
      <c r="D954" s="43"/>
      <c r="E954" s="43"/>
      <c r="F954" s="43"/>
      <c r="G954" s="43"/>
      <c r="H954" s="43"/>
      <c r="J954" s="40"/>
    </row>
    <row r="955" spans="1:10" ht="14">
      <c r="A955" s="43"/>
      <c r="B955" s="43"/>
      <c r="C955" s="43"/>
      <c r="D955" s="43"/>
      <c r="E955" s="43"/>
      <c r="F955" s="43"/>
      <c r="G955" s="43"/>
      <c r="H955" s="43"/>
      <c r="J955" s="40"/>
    </row>
    <row r="956" spans="1:10" ht="14">
      <c r="A956" s="43"/>
      <c r="B956" s="43"/>
      <c r="C956" s="43"/>
      <c r="D956" s="43"/>
      <c r="E956" s="43"/>
      <c r="F956" s="43"/>
      <c r="G956" s="43"/>
      <c r="H956" s="43"/>
      <c r="J956" s="40"/>
    </row>
    <row r="957" spans="1:10" ht="14">
      <c r="A957" s="43"/>
      <c r="B957" s="43"/>
      <c r="C957" s="43"/>
      <c r="D957" s="43"/>
      <c r="E957" s="43"/>
      <c r="F957" s="43"/>
      <c r="G957" s="43"/>
      <c r="H957" s="43"/>
      <c r="J957" s="40"/>
    </row>
    <row r="958" spans="1:10" ht="14">
      <c r="A958" s="43"/>
      <c r="B958" s="43"/>
      <c r="C958" s="43"/>
      <c r="D958" s="43"/>
      <c r="E958" s="43"/>
      <c r="F958" s="43"/>
      <c r="G958" s="43"/>
      <c r="H958" s="43"/>
      <c r="J958" s="40"/>
    </row>
    <row r="959" spans="1:10" ht="14">
      <c r="A959" s="43"/>
      <c r="B959" s="43"/>
      <c r="C959" s="43"/>
      <c r="D959" s="43"/>
      <c r="E959" s="43"/>
      <c r="F959" s="43"/>
      <c r="G959" s="43"/>
      <c r="H959" s="43"/>
      <c r="J959" s="40"/>
    </row>
    <row r="960" spans="1:10" ht="14">
      <c r="A960" s="43"/>
      <c r="B960" s="43"/>
      <c r="C960" s="43"/>
      <c r="D960" s="43"/>
      <c r="E960" s="43"/>
      <c r="F960" s="43"/>
      <c r="G960" s="43"/>
      <c r="H960" s="43"/>
      <c r="J960" s="40"/>
    </row>
    <row r="961" spans="1:10" ht="14">
      <c r="A961" s="43"/>
      <c r="B961" s="43"/>
      <c r="C961" s="43"/>
      <c r="D961" s="43"/>
      <c r="E961" s="43"/>
      <c r="F961" s="43"/>
      <c r="G961" s="43"/>
      <c r="H961" s="43"/>
      <c r="J961" s="40"/>
    </row>
    <row r="962" spans="1:10" ht="14">
      <c r="A962" s="43"/>
      <c r="B962" s="43"/>
      <c r="C962" s="43"/>
      <c r="D962" s="43"/>
      <c r="E962" s="43"/>
      <c r="F962" s="43"/>
      <c r="G962" s="43"/>
      <c r="H962" s="43"/>
      <c r="J962" s="40"/>
    </row>
    <row r="963" spans="1:10" ht="14">
      <c r="A963" s="43"/>
      <c r="B963" s="43"/>
      <c r="C963" s="43"/>
      <c r="D963" s="43"/>
      <c r="E963" s="43"/>
      <c r="F963" s="43"/>
      <c r="G963" s="43"/>
      <c r="H963" s="43"/>
      <c r="J963" s="40"/>
    </row>
    <row r="964" spans="1:10" ht="14">
      <c r="A964" s="43"/>
      <c r="B964" s="43"/>
      <c r="C964" s="43"/>
      <c r="D964" s="43"/>
      <c r="E964" s="43"/>
      <c r="F964" s="43"/>
      <c r="G964" s="43"/>
      <c r="H964" s="43"/>
      <c r="J964" s="40"/>
    </row>
    <row r="965" spans="1:10" ht="14">
      <c r="A965" s="43"/>
      <c r="B965" s="43"/>
      <c r="C965" s="43"/>
      <c r="D965" s="43"/>
      <c r="E965" s="43"/>
      <c r="F965" s="43"/>
      <c r="G965" s="43"/>
      <c r="H965" s="43"/>
      <c r="J965" s="40"/>
    </row>
    <row r="966" spans="1:10" ht="14">
      <c r="A966" s="43"/>
      <c r="B966" s="43"/>
      <c r="C966" s="43"/>
      <c r="D966" s="43"/>
      <c r="E966" s="43"/>
      <c r="F966" s="43"/>
      <c r="G966" s="43"/>
      <c r="H966" s="43"/>
      <c r="J966" s="40"/>
    </row>
    <row r="967" spans="1:10" ht="14">
      <c r="A967" s="43"/>
      <c r="B967" s="43"/>
      <c r="C967" s="43"/>
      <c r="D967" s="43"/>
      <c r="E967" s="43"/>
      <c r="F967" s="43"/>
      <c r="G967" s="43"/>
      <c r="H967" s="43"/>
      <c r="J967" s="40"/>
    </row>
    <row r="968" spans="1:10" ht="14">
      <c r="A968" s="43"/>
      <c r="B968" s="43"/>
      <c r="C968" s="43"/>
      <c r="D968" s="43"/>
      <c r="E968" s="43"/>
      <c r="F968" s="43"/>
      <c r="G968" s="43"/>
      <c r="H968" s="43"/>
      <c r="J968" s="40"/>
    </row>
    <row r="969" spans="1:10" ht="14">
      <c r="A969" s="43"/>
      <c r="B969" s="43"/>
      <c r="C969" s="43"/>
      <c r="D969" s="43"/>
      <c r="E969" s="43"/>
      <c r="F969" s="43"/>
      <c r="G969" s="43"/>
      <c r="H969" s="43"/>
      <c r="J969" s="40"/>
    </row>
    <row r="970" spans="1:10" ht="14">
      <c r="A970" s="43"/>
      <c r="B970" s="43"/>
      <c r="C970" s="43"/>
      <c r="D970" s="43"/>
      <c r="E970" s="43"/>
      <c r="F970" s="43"/>
      <c r="G970" s="43"/>
      <c r="H970" s="43"/>
      <c r="J970" s="40"/>
    </row>
    <row r="971" spans="1:10" ht="14">
      <c r="A971" s="43"/>
      <c r="B971" s="43"/>
      <c r="C971" s="43"/>
      <c r="D971" s="43"/>
      <c r="E971" s="43"/>
      <c r="F971" s="43"/>
      <c r="G971" s="43"/>
      <c r="H971" s="43"/>
      <c r="J971" s="40"/>
    </row>
    <row r="972" spans="1:10" ht="14">
      <c r="A972" s="43"/>
      <c r="B972" s="43"/>
      <c r="C972" s="43"/>
      <c r="D972" s="43"/>
      <c r="E972" s="43"/>
      <c r="F972" s="43"/>
      <c r="G972" s="43"/>
      <c r="H972" s="43"/>
      <c r="J972" s="40"/>
    </row>
    <row r="973" spans="1:10" ht="14">
      <c r="A973" s="43"/>
      <c r="B973" s="43"/>
      <c r="C973" s="43"/>
      <c r="D973" s="43"/>
      <c r="E973" s="43"/>
      <c r="F973" s="43"/>
      <c r="G973" s="43"/>
      <c r="H973" s="43"/>
      <c r="J973" s="40"/>
    </row>
    <row r="974" spans="1:10" ht="14">
      <c r="A974" s="43"/>
      <c r="B974" s="43"/>
      <c r="C974" s="43"/>
      <c r="D974" s="43"/>
      <c r="E974" s="43"/>
      <c r="F974" s="43"/>
      <c r="G974" s="43"/>
      <c r="H974" s="43"/>
      <c r="J974" s="40"/>
    </row>
    <row r="975" spans="1:10" ht="14">
      <c r="A975" s="43"/>
      <c r="B975" s="43"/>
      <c r="C975" s="43"/>
      <c r="D975" s="43"/>
      <c r="E975" s="43"/>
      <c r="F975" s="43"/>
      <c r="G975" s="43"/>
      <c r="H975" s="43"/>
      <c r="J975" s="40"/>
    </row>
    <row r="976" spans="1:10" ht="14">
      <c r="A976" s="43"/>
      <c r="B976" s="43"/>
      <c r="C976" s="43"/>
      <c r="D976" s="43"/>
      <c r="E976" s="43"/>
      <c r="F976" s="43"/>
      <c r="G976" s="43"/>
      <c r="H976" s="43"/>
      <c r="J976" s="40"/>
    </row>
    <row r="977" spans="1:10" ht="14">
      <c r="A977" s="43"/>
      <c r="B977" s="43"/>
      <c r="C977" s="43"/>
      <c r="D977" s="43"/>
      <c r="E977" s="43"/>
      <c r="F977" s="43"/>
      <c r="G977" s="43"/>
      <c r="H977" s="43"/>
      <c r="J977" s="40"/>
    </row>
    <row r="978" spans="1:10" ht="14">
      <c r="A978" s="43"/>
      <c r="B978" s="43"/>
      <c r="C978" s="43"/>
      <c r="D978" s="43"/>
      <c r="E978" s="43"/>
      <c r="F978" s="43"/>
      <c r="G978" s="43"/>
      <c r="H978" s="43"/>
      <c r="J978" s="40"/>
    </row>
    <row r="979" spans="1:10" ht="14">
      <c r="A979" s="43"/>
      <c r="B979" s="43"/>
      <c r="C979" s="43"/>
      <c r="D979" s="43"/>
      <c r="E979" s="43"/>
      <c r="F979" s="43"/>
      <c r="G979" s="43"/>
      <c r="H979" s="43"/>
      <c r="J979" s="40"/>
    </row>
    <row r="980" spans="1:10" ht="14">
      <c r="A980" s="43"/>
      <c r="B980" s="43"/>
      <c r="C980" s="43"/>
      <c r="D980" s="43"/>
      <c r="E980" s="43"/>
      <c r="F980" s="43"/>
      <c r="G980" s="43"/>
      <c r="H980" s="43"/>
      <c r="J980" s="40"/>
    </row>
    <row r="981" spans="1:10" ht="14">
      <c r="A981" s="43"/>
      <c r="B981" s="43"/>
      <c r="C981" s="43"/>
      <c r="D981" s="43"/>
      <c r="E981" s="43"/>
      <c r="F981" s="43"/>
      <c r="G981" s="43"/>
      <c r="H981" s="43"/>
      <c r="J981" s="40"/>
    </row>
    <row r="982" spans="1:10" ht="14">
      <c r="A982" s="43"/>
      <c r="B982" s="43"/>
      <c r="C982" s="43"/>
      <c r="D982" s="43"/>
      <c r="E982" s="43"/>
      <c r="F982" s="43"/>
      <c r="G982" s="43"/>
      <c r="H982" s="43"/>
      <c r="J982" s="40"/>
    </row>
    <row r="983" spans="1:10" ht="14">
      <c r="A983" s="43"/>
      <c r="B983" s="43"/>
      <c r="C983" s="43"/>
      <c r="D983" s="43"/>
      <c r="E983" s="43"/>
      <c r="F983" s="43"/>
      <c r="G983" s="43"/>
      <c r="H983" s="43"/>
      <c r="J983" s="40"/>
    </row>
    <row r="984" spans="1:10" ht="14">
      <c r="A984" s="43"/>
      <c r="B984" s="43"/>
      <c r="C984" s="43"/>
      <c r="D984" s="43"/>
      <c r="E984" s="43"/>
      <c r="F984" s="43"/>
      <c r="G984" s="43"/>
      <c r="H984" s="43"/>
      <c r="J984" s="40"/>
    </row>
    <row r="985" spans="1:10" ht="14">
      <c r="A985" s="43"/>
      <c r="B985" s="43"/>
      <c r="C985" s="43"/>
      <c r="D985" s="43"/>
      <c r="E985" s="43"/>
      <c r="F985" s="43"/>
      <c r="G985" s="43"/>
      <c r="H985" s="43"/>
      <c r="J985" s="40"/>
    </row>
    <row r="986" spans="1:10" ht="14">
      <c r="A986" s="43"/>
      <c r="B986" s="43"/>
      <c r="C986" s="43"/>
      <c r="D986" s="43"/>
      <c r="E986" s="43"/>
      <c r="F986" s="43"/>
      <c r="G986" s="43"/>
      <c r="H986" s="43"/>
      <c r="J986" s="40"/>
    </row>
    <row r="987" spans="1:10" ht="14">
      <c r="A987" s="43"/>
      <c r="B987" s="43"/>
      <c r="C987" s="43"/>
      <c r="D987" s="43"/>
      <c r="E987" s="43"/>
      <c r="F987" s="43"/>
      <c r="G987" s="43"/>
      <c r="H987" s="43"/>
      <c r="J987" s="40"/>
    </row>
    <row r="988" spans="1:10" ht="14">
      <c r="A988" s="43"/>
      <c r="B988" s="43"/>
      <c r="C988" s="43"/>
      <c r="D988" s="43"/>
      <c r="E988" s="43"/>
      <c r="F988" s="43"/>
      <c r="G988" s="43"/>
      <c r="H988" s="43"/>
      <c r="J988" s="40"/>
    </row>
    <row r="989" spans="1:10" ht="14">
      <c r="A989" s="43"/>
      <c r="B989" s="43"/>
      <c r="C989" s="43"/>
      <c r="D989" s="43"/>
      <c r="E989" s="43"/>
      <c r="F989" s="43"/>
      <c r="G989" s="43"/>
      <c r="H989" s="43"/>
      <c r="J989" s="40"/>
    </row>
    <row r="990" spans="1:10" ht="14">
      <c r="A990" s="43"/>
      <c r="B990" s="43"/>
      <c r="C990" s="43"/>
      <c r="D990" s="43"/>
      <c r="E990" s="43"/>
      <c r="F990" s="43"/>
      <c r="G990" s="43"/>
      <c r="H990" s="43"/>
      <c r="J990" s="40"/>
    </row>
    <row r="991" spans="1:10" ht="14">
      <c r="A991" s="43"/>
      <c r="B991" s="43"/>
      <c r="C991" s="43"/>
      <c r="D991" s="43"/>
      <c r="E991" s="43"/>
      <c r="F991" s="43"/>
      <c r="G991" s="43"/>
      <c r="H991" s="43"/>
      <c r="J991" s="40"/>
    </row>
    <row r="992" spans="1:10" ht="14">
      <c r="A992" s="43"/>
      <c r="B992" s="43"/>
      <c r="C992" s="43"/>
      <c r="D992" s="43"/>
      <c r="E992" s="43"/>
      <c r="F992" s="43"/>
      <c r="G992" s="43"/>
      <c r="H992" s="43"/>
      <c r="J992" s="40"/>
    </row>
    <row r="993" spans="1:10" ht="14">
      <c r="A993" s="43"/>
      <c r="B993" s="43"/>
      <c r="C993" s="43"/>
      <c r="D993" s="43"/>
      <c r="E993" s="43"/>
      <c r="F993" s="43"/>
      <c r="G993" s="43"/>
      <c r="H993" s="43"/>
      <c r="J993" s="40"/>
    </row>
    <row r="994" spans="1:10" ht="14">
      <c r="A994" s="43"/>
      <c r="B994" s="43"/>
      <c r="C994" s="43"/>
      <c r="D994" s="43"/>
      <c r="E994" s="43"/>
      <c r="F994" s="43"/>
      <c r="G994" s="43"/>
      <c r="H994" s="43"/>
      <c r="J994" s="40"/>
    </row>
    <row r="995" spans="1:10" ht="14">
      <c r="A995" s="43"/>
      <c r="B995" s="43"/>
      <c r="C995" s="43"/>
      <c r="D995" s="43"/>
      <c r="E995" s="43"/>
      <c r="F995" s="43"/>
      <c r="G995" s="43"/>
      <c r="H995" s="43"/>
      <c r="J995" s="40"/>
    </row>
    <row r="996" spans="1:10" ht="14">
      <c r="A996" s="43"/>
      <c r="B996" s="43"/>
      <c r="C996" s="43"/>
      <c r="D996" s="43"/>
      <c r="E996" s="43"/>
      <c r="F996" s="43"/>
      <c r="G996" s="43"/>
      <c r="H996" s="43"/>
      <c r="J996" s="40"/>
    </row>
    <row r="997" spans="1:10" ht="14">
      <c r="A997" s="43"/>
      <c r="B997" s="43"/>
      <c r="C997" s="43"/>
      <c r="D997" s="43"/>
      <c r="E997" s="43"/>
      <c r="F997" s="43"/>
      <c r="G997" s="43"/>
      <c r="H997" s="43"/>
      <c r="J997" s="40"/>
    </row>
    <row r="998" spans="1:10" ht="14">
      <c r="A998" s="43"/>
      <c r="B998" s="43"/>
      <c r="C998" s="43"/>
      <c r="D998" s="43"/>
      <c r="E998" s="43"/>
      <c r="F998" s="43"/>
      <c r="G998" s="43"/>
      <c r="H998" s="43"/>
      <c r="J998" s="40"/>
    </row>
    <row r="999" spans="1:10" ht="14">
      <c r="A999" s="43"/>
      <c r="B999" s="43"/>
      <c r="C999" s="43"/>
      <c r="D999" s="43"/>
      <c r="E999" s="43"/>
      <c r="F999" s="43"/>
      <c r="G999" s="43"/>
      <c r="H999" s="43"/>
      <c r="J999" s="40"/>
    </row>
    <row r="1000" spans="1:10" ht="14">
      <c r="A1000" s="43"/>
      <c r="B1000" s="43"/>
      <c r="C1000" s="43"/>
      <c r="D1000" s="43"/>
      <c r="E1000" s="43"/>
      <c r="F1000" s="43"/>
      <c r="G1000" s="43"/>
      <c r="H1000" s="43"/>
      <c r="J1000" s="40"/>
    </row>
  </sheetData>
  <autoFilter ref="A1:AA231" xr:uid="{00000000-0009-0000-0000-000008000000}">
    <sortState xmlns:xlrd2="http://schemas.microsoft.com/office/spreadsheetml/2017/richdata2" ref="A2:J231">
      <sortCondition ref="H1:H231"/>
    </sortState>
  </autoFilter>
  <hyperlinks>
    <hyperlink ref="G10" r:id="rId1" xr:uid="{278E3685-B226-4E2D-BA9A-CC36BFEA2F07}"/>
    <hyperlink ref="G18" r:id="rId2" display="https://www.linkedin.com/in/mike-cyran-25344315/ ; " xr:uid="{27EF42D6-0C13-447D-AD39-2A8CE5ECC1B4}"/>
    <hyperlink ref="G59" r:id="rId3" xr:uid="{4659F0C8-A295-471D-84D3-4C41671036D8}"/>
    <hyperlink ref="G46" r:id="rId4" display="https://www.linkedin.com/in/sumittandon/" xr:uid="{7DA57E97-A935-41D4-AF52-C8BAFC36E729}"/>
    <hyperlink ref="G51" r:id="rId5" xr:uid="{71F3709E-18D8-4CF2-BAEC-82AFE8D08EEB}"/>
    <hyperlink ref="G85" r:id="rId6" xr:uid="{4119CEEB-E552-4D92-A5F3-5E2D87BA9CF6}"/>
    <hyperlink ref="G73" r:id="rId7" xr:uid="{F50F1AF7-5A08-42AB-A88A-33AF4F0D03B6}"/>
    <hyperlink ref="G74" r:id="rId8" display="https://www.linkedin.com/in/alexander-legel-033171a3/" xr:uid="{DF6BD35D-A4DF-4683-AD1E-91B1F1728030}"/>
    <hyperlink ref="G75" r:id="rId9" display="https://www.linkedin.com/in/sagarpadhiar" xr:uid="{E56FBABD-2051-4FAD-8D1A-BC95C9F220AD}"/>
    <hyperlink ref="G77" r:id="rId10" display="https://www.comparably.com/companies/cisco/karen-wiens" xr:uid="{2D7E72E4-2D66-4D01-85F7-EB57999F77F8}"/>
    <hyperlink ref="G83" r:id="rId11" xr:uid="{114DC0E4-096D-4EB9-8506-69109DF45AB4}"/>
    <hyperlink ref="G89" r:id="rId12" xr:uid="{549458A4-D561-4038-B6DA-C9423A68824D}"/>
    <hyperlink ref="G91" r:id="rId13" xr:uid="{88A798DA-387A-4252-BEEB-2652C622EC69}"/>
    <hyperlink ref="G56" r:id="rId14" display="https://www.linkedin.com/in/rachel-chen-48575b84/" xr:uid="{0B0D8A20-AED4-4083-A1C7-8C1CBB7C3AE5}"/>
    <hyperlink ref="G93" r:id="rId15" xr:uid="{8ABE4324-DDEB-4F43-BDDB-B628199B36E9}"/>
    <hyperlink ref="G95" r:id="rId16" display="https://www.linkedin.com/in/innabrand/" xr:uid="{99301871-90E6-4ADE-A0EB-828D5F3D577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Filtered G500</vt:lpstr>
      <vt:lpstr>BIS + EDBA Final</vt:lpstr>
      <vt:lpstr>CBG Final</vt:lpstr>
      <vt:lpstr>japan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João Pedro de Teixeira Martins</cp:lastModifiedBy>
  <dcterms:created xsi:type="dcterms:W3CDTF">2026-05-11T14:35:01Z</dcterms:created>
  <dcterms:modified xsi:type="dcterms:W3CDTF">2026-07-01T13:50:36Z</dcterms:modified>
</cp:coreProperties>
</file>